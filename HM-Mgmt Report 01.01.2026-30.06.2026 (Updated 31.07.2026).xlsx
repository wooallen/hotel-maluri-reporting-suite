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UM" sheetId="1" state="visible" r:id="rId1"/>
    <sheet name="2026" sheetId="2" state="visible" r:id="rId2"/>
    <sheet name="2025" sheetId="3" state="visible" r:id="rId3"/>
    <sheet name="2024" sheetId="4" state="visible" r:id="rId4"/>
    <sheet name="2026 AC" sheetId="5" state="visible" r:id="rId5"/>
    <sheet name="2025 AC" sheetId="6" state="visible" r:id="rId6"/>
    <sheet name="2024 AC" sheetId="7" state="visible" r:id="rId7"/>
    <sheet name="BS" sheetId="8" state="visible" r:id="rId8"/>
    <sheet name="ACCRUALS" sheetId="9" state="visible" r:id="rId9"/>
  </sheets>
  <definedNames>
    <definedName name="_xlnm.Print_Area" localSheetId="0">SUM!$C$1:$M$228</definedName>
    <definedName name="Print_Titles" localSheetId="0">SUM!$1:$7</definedName>
    <definedName name="_xlnm.Print_Area" localSheetId="1">'2026'!$C$1:$V$228</definedName>
    <definedName name="Print_Titles" localSheetId="1">'2026'!$1:$7</definedName>
    <definedName name="_xlnm.Print_Area" localSheetId="2">'2025'!$C$1:$V$228</definedName>
    <definedName name="Print_Titles" localSheetId="2">'2025'!$1:$7</definedName>
    <definedName name="_xlnm.Print_Area" localSheetId="3">'2024'!$C$1:$V$228</definedName>
    <definedName name="Print_Titles" localSheetId="3">'2024'!$1:$7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<sst xmlns="http://schemas.openxmlformats.org/spreadsheetml/2006/main" count="824" uniqueCount="824">
  <si>
    <t xml:space="preserve">&lt;- Click 1 for standard view, 2 for deep dive</t>
  </si>
  <si>
    <t xml:space="preserve">HOTEL MALURI PROFIT &amp; LOSS STATEMENT</t>
  </si>
  <si>
    <t>SUMMARY</t>
  </si>
  <si>
    <t xml:space="preserve">YEAR 2024</t>
  </si>
  <si>
    <t xml:space="preserve">YEAR 2025</t>
  </si>
  <si>
    <t xml:space="preserve">YEAR 2026</t>
  </si>
  <si>
    <t xml:space="preserve">ACC CODE</t>
  </si>
  <si>
    <t>VAR</t>
  </si>
  <si>
    <t xml:space="preserve">Q2 2026</t>
  </si>
  <si>
    <t xml:space="preserve">Q2 2025</t>
  </si>
  <si>
    <t xml:space="preserve">YTD 2026</t>
  </si>
  <si>
    <t xml:space="preserve">YTD 2025</t>
  </si>
  <si>
    <t>TOTAL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</si>
  <si>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</si>
  <si>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</si>
  <si>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</si>
  <si>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</si>
  <si>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</si>
  <si>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Q3 2025</t>
  </si>
  <si>
    <t xml:space="preserve">Q4 2025</t>
  </si>
  <si>
    <t xml:space="preserve">Q1 2026</t>
  </si>
  <si>
    <t xml:space="preserve">Q3 2026</t>
  </si>
  <si>
    <t xml:space="preserve">Q4 2026</t>
  </si>
  <si>
    <t xml:space="preserve">ROOM STATS</t>
  </si>
  <si>
    <t xml:space="preserve">ROOMS AVAILABLE</t>
  </si>
  <si>
    <t xml:space="preserve">ROOM SOLD</t>
  </si>
  <si>
    <t xml:space="preserve">OCCUPANCY %</t>
  </si>
  <si>
    <t xml:space="preserve">AVERAGE RATE</t>
  </si>
  <si>
    <t xml:space="preserve">REV PAR</t>
  </si>
  <si>
    <t xml:space="preserve">TOTAL COST</t>
  </si>
  <si>
    <t xml:space="preserve">AVERAGE COST</t>
  </si>
  <si>
    <t xml:space="preserve">FOOD REVENUE &amp; COST</t>
  </si>
  <si>
    <t xml:space="preserve">FOOD REVENUE *</t>
  </si>
  <si>
    <t xml:space="preserve">FOOD COST **</t>
  </si>
  <si>
    <t>DIFFERENCE</t>
  </si>
  <si>
    <t>REVENUE</t>
  </si>
  <si>
    <t xml:space="preserve">         ROOM</t>
  </si>
  <si>
    <t>500-1000</t>
  </si>
  <si>
    <t>ROOM</t>
  </si>
  <si>
    <t xml:space="preserve">              ROOM CHARGE (SC)</t>
  </si>
  <si>
    <t>500-1001</t>
  </si>
  <si>
    <t xml:space="preserve">ROOM CHARGE (SC)</t>
  </si>
  <si>
    <t xml:space="preserve">              ROOM CHARGE (NSC)</t>
  </si>
  <si>
    <t>500-1002</t>
  </si>
  <si>
    <t xml:space="preserve">ROOM CHARGE (NSC)</t>
  </si>
  <si>
    <t xml:space="preserve">              ROOM CHARGE - EXTENDED USE</t>
  </si>
  <si>
    <t>500-1003</t>
  </si>
  <si>
    <t xml:space="preserve">ROOM CHARGE - EXTRA CHARGES</t>
  </si>
  <si>
    <t xml:space="preserve">                   GUEST SERVICES - LAUNDRY </t>
  </si>
  <si>
    <t>500-1004</t>
  </si>
  <si>
    <t xml:space="preserve">GUEST SERVICES - LAUNDRY </t>
  </si>
  <si>
    <t xml:space="preserve">                   GUEST SERVICES - BC / CONVENIENCE STORE </t>
  </si>
  <si>
    <t>500-1005</t>
  </si>
  <si>
    <t xml:space="preserve">GUEST SERVICES - BC / CONVENIENCE STORE </t>
  </si>
  <si>
    <t xml:space="preserve">                   GUEST SERVICES - FLOWER / DECORATION</t>
  </si>
  <si>
    <t>500-1006</t>
  </si>
  <si>
    <t xml:space="preserve">GUEST SERVICES - FLOWER</t>
  </si>
  <si>
    <t xml:space="preserve">                   GUEST SERVICES - TELEPHONE</t>
  </si>
  <si>
    <t>500-1007</t>
  </si>
  <si>
    <t xml:space="preserve">GUEST SERVICES - TELEPHONE</t>
  </si>
  <si>
    <t xml:space="preserve">                   GUEST SERVICES - TRANSPORTATION</t>
  </si>
  <si>
    <t>500-1008</t>
  </si>
  <si>
    <t xml:space="preserve">GUEST SERVICES - TRANSPORTATION</t>
  </si>
  <si>
    <t xml:space="preserve">                   GUEST SERVICES - ROOM KEY CARD</t>
  </si>
  <si>
    <t>500-1009</t>
  </si>
  <si>
    <t xml:space="preserve">GUEST SERVICES - ROOM KEY CARD</t>
  </si>
  <si>
    <t xml:space="preserve">              ROOM SERVICE CHARGE</t>
  </si>
  <si>
    <t>500-RMSC</t>
  </si>
  <si>
    <t xml:space="preserve">ROOM SERVICE CHARGE</t>
  </si>
  <si>
    <t xml:space="preserve">         F&amp;B REVENUE</t>
  </si>
  <si>
    <t>500-2000</t>
  </si>
  <si>
    <t xml:space="preserve">F&amp;B REVENUE</t>
  </si>
  <si>
    <t xml:space="preserve">                   BREAKFAST PACKAGE (FO)</t>
  </si>
  <si>
    <t>500-BF01</t>
  </si>
  <si>
    <t xml:space="preserve">BREAKFAST PACKAGE (FO)*</t>
  </si>
  <si>
    <t xml:space="preserve">                   BREAKFAST SERVICE CHARGE</t>
  </si>
  <si>
    <t>500-BFSC</t>
  </si>
  <si>
    <t xml:space="preserve">BREAKFAST SERVICE CHARGE</t>
  </si>
  <si>
    <t xml:space="preserve">                   G3 F&amp;B</t>
  </si>
  <si>
    <t>500-G301</t>
  </si>
  <si>
    <t xml:space="preserve">G3 F&amp;B*</t>
  </si>
  <si>
    <t xml:space="preserve">                   G3 SERVICE CHARGE</t>
  </si>
  <si>
    <t>500-G3SC</t>
  </si>
  <si>
    <t xml:space="preserve">G3 SERVICE CHARGE</t>
  </si>
  <si>
    <t xml:space="preserve">                   SR F&amp;B</t>
  </si>
  <si>
    <t>500-SR01</t>
  </si>
  <si>
    <t xml:space="preserve">SR F&amp;B*</t>
  </si>
  <si>
    <t xml:space="preserve">                   SR SERVICE CHARGE</t>
  </si>
  <si>
    <t>500-SRSC</t>
  </si>
  <si>
    <t xml:space="preserve">SR SERVICE CHARGE</t>
  </si>
  <si>
    <t xml:space="preserve">         BANQUET CHARGE</t>
  </si>
  <si>
    <t>500-3000</t>
  </si>
  <si>
    <t xml:space="preserve">BANQUET CHARGE</t>
  </si>
  <si>
    <t xml:space="preserve">              BANQUET CHARGE</t>
  </si>
  <si>
    <t>500-BQ01</t>
  </si>
  <si>
    <t xml:space="preserve">              BANQUET SERVICE CHARGE</t>
  </si>
  <si>
    <t>500-BQSC</t>
  </si>
  <si>
    <t xml:space="preserve">BANQUET FOOD &amp; BEV (PACKAGE)*</t>
  </si>
  <si>
    <t>500-BQ02</t>
  </si>
  <si>
    <t xml:space="preserve">BANQUET EQUIPMENT RENTAL</t>
  </si>
  <si>
    <t>500-BQ03</t>
  </si>
  <si>
    <t xml:space="preserve">BANQUET HALL RENTAL</t>
  </si>
  <si>
    <t>500-BQ04</t>
  </si>
  <si>
    <t xml:space="preserve">BANQUET OTHER REVENUE</t>
  </si>
  <si>
    <t>500-BQ05</t>
  </si>
  <si>
    <t xml:space="preserve">BANQUET SERVICE CHARGE</t>
  </si>
  <si>
    <t xml:space="preserve">         CAR PARK</t>
  </si>
  <si>
    <t>500-4000</t>
  </si>
  <si>
    <t>CARPARK</t>
  </si>
  <si>
    <t xml:space="preserve">CAR PARK</t>
  </si>
  <si>
    <t>500-CP01</t>
  </si>
  <si>
    <t xml:space="preserve">CAR PARK SERVICE CHARGE</t>
  </si>
  <si>
    <t>500-CPSC</t>
  </si>
  <si>
    <t xml:space="preserve">              CAR PARK</t>
  </si>
  <si>
    <t xml:space="preserve">CLEANING SERVICE REVENUE</t>
  </si>
  <si>
    <t>500-5000</t>
  </si>
  <si>
    <t xml:space="preserve">              CLEANING SERVICE REVENUE</t>
  </si>
  <si>
    <t>500-CL01</t>
  </si>
  <si>
    <t xml:space="preserve">         CLEANING SERVICE REVENUE</t>
  </si>
  <si>
    <t xml:space="preserve">MISCELLANEOUS CHARGE</t>
  </si>
  <si>
    <t>500-6000</t>
  </si>
  <si>
    <t xml:space="preserve">              SUPPLY LABOUR CHARGE</t>
  </si>
  <si>
    <t>500-L001</t>
  </si>
  <si>
    <t xml:space="preserve">SUPPLY LABOUR CHARGE</t>
  </si>
  <si>
    <t xml:space="preserve">              SWIMMING POOL CHARGE</t>
  </si>
  <si>
    <t>500-SP01</t>
  </si>
  <si>
    <t xml:space="preserve">SWIMMING POOL CHARGE</t>
  </si>
  <si>
    <t xml:space="preserve">OTHER INCOME</t>
  </si>
  <si>
    <t>540-0000</t>
  </si>
  <si>
    <t xml:space="preserve">OUTSOURCED GAJAH3 CAFE RENTAL</t>
  </si>
  <si>
    <t>540-1000</t>
  </si>
  <si>
    <t xml:space="preserve">SALES ADJUSTMENTS</t>
  </si>
  <si>
    <t xml:space="preserve">SALE INWARDS</t>
  </si>
  <si>
    <t>510-0000</t>
  </si>
  <si>
    <t xml:space="preserve">REVENUE ADJUSTMENT</t>
  </si>
  <si>
    <t>520-0000</t>
  </si>
  <si>
    <t xml:space="preserve">ROOM ADJUSTMENT</t>
  </si>
  <si>
    <t>520-1001</t>
  </si>
  <si>
    <t xml:space="preserve">BREAKFAST  ADJUSTMENT</t>
  </si>
  <si>
    <t>520-1003</t>
  </si>
  <si>
    <t xml:space="preserve">              OUTSOURCED GAJAH3 CAFE RENTAL</t>
  </si>
  <si>
    <t xml:space="preserve">TOTAL REVENUE</t>
  </si>
  <si>
    <t xml:space="preserve">COST OF GOODS SOLD</t>
  </si>
  <si>
    <t xml:space="preserve">COST OF SALES</t>
  </si>
  <si>
    <t xml:space="preserve">         STOCKS AT THE BEGINNING OF YEAR</t>
  </si>
  <si>
    <t>600-0000</t>
  </si>
  <si>
    <t xml:space="preserve">STOCKS AT THE BEGINNING OF YEAR</t>
  </si>
  <si>
    <t xml:space="preserve">         COST - GUEST ROOM</t>
  </si>
  <si>
    <t>610-0001</t>
  </si>
  <si>
    <t xml:space="preserve">COST - GUEST ROOM</t>
  </si>
  <si>
    <t xml:space="preserve">              COST - GUEST ROOM SUPPLIES</t>
  </si>
  <si>
    <t>610-1000</t>
  </si>
  <si>
    <t xml:space="preserve">GUEST ROOM SUPPLIES</t>
  </si>
  <si>
    <t xml:space="preserve">                   COST - GUEST SERVICES LAUNDRY </t>
  </si>
  <si>
    <t>610-1004</t>
  </si>
  <si>
    <t xml:space="preserve">COST - GUEST SERVICES LAUNDRY </t>
  </si>
  <si>
    <t xml:space="preserve">                   COST - GUEST SERVICES C.STORE/SOUVENIER</t>
  </si>
  <si>
    <t>610-1005</t>
  </si>
  <si>
    <t xml:space="preserve">COST - GUEST SERVICES C.STORE/SOUVENIER</t>
  </si>
  <si>
    <t xml:space="preserve">                   COST - GUEST SERVICES FLOWER / DECORATIONS</t>
  </si>
  <si>
    <t>610-1006</t>
  </si>
  <si>
    <t xml:space="preserve">COST - GUEST SERVICES FLOWER / DECORATIONS</t>
  </si>
  <si>
    <t xml:space="preserve">                   COST - GUEST SERVICES TRANSFER</t>
  </si>
  <si>
    <t>610-1008</t>
  </si>
  <si>
    <t xml:space="preserve">COST - GUEST SERVICES TRANSFER</t>
  </si>
  <si>
    <t xml:space="preserve">              COST - ROOM LAUNDRY</t>
  </si>
  <si>
    <t>610-4000</t>
  </si>
  <si>
    <t xml:space="preserve">COST - ROOM LAUNDRY</t>
  </si>
  <si>
    <t xml:space="preserve">         COST - F&amp;B &amp; BANQUET</t>
  </si>
  <si>
    <t>610-0002</t>
  </si>
  <si>
    <t xml:space="preserve">COST - F&amp;B &amp; BANQUET</t>
  </si>
  <si>
    <t xml:space="preserve">                   COST F&amp;B - BANQUET</t>
  </si>
  <si>
    <t>610-2002</t>
  </si>
  <si>
    <t xml:space="preserve">COST F&amp;B - BANQUET**</t>
  </si>
  <si>
    <t xml:space="preserve">                   COST - BANQUET (NON-FOOD)</t>
  </si>
  <si>
    <t>610-3000</t>
  </si>
  <si>
    <t xml:space="preserve">COST - BANQUET (NON-FOOD)**</t>
  </si>
  <si>
    <t xml:space="preserve">                   COST - BANQUET SUPPLIES </t>
  </si>
  <si>
    <t>610-3001</t>
  </si>
  <si>
    <t xml:space="preserve">COST - BANQUET SUPPLIES </t>
  </si>
  <si>
    <t xml:space="preserve">                   COST -  BANQUET SETUP</t>
  </si>
  <si>
    <t>610-3002</t>
  </si>
  <si>
    <t xml:space="preserve">COST - BANQUET SETUP</t>
  </si>
  <si>
    <t xml:space="preserve">                   COST - BANQUET MUSICIAN FEES</t>
  </si>
  <si>
    <t>610-3003</t>
  </si>
  <si>
    <t xml:space="preserve">COST - BANQUET MUSICIAN FEES</t>
  </si>
  <si>
    <t xml:space="preserve">              COST F&amp;B</t>
  </si>
  <si>
    <t>610-2000</t>
  </si>
  <si>
    <t xml:space="preserve">COST F&amp;B**</t>
  </si>
  <si>
    <t xml:space="preserve">              COST F&amp;B - G3</t>
  </si>
  <si>
    <t>610-2001</t>
  </si>
  <si>
    <t xml:space="preserve">COST F&amp;B - G3**</t>
  </si>
  <si>
    <t xml:space="preserve">              COST F&amp;B - NON FOOD</t>
  </si>
  <si>
    <t>610-2100</t>
  </si>
  <si>
    <t xml:space="preserve">COST F&amp;B - NON FOOD**</t>
  </si>
  <si>
    <t xml:space="preserve">              COST G3 - NON FOOD</t>
  </si>
  <si>
    <t>610-2200</t>
  </si>
  <si>
    <t xml:space="preserve">COST G3 - NON FOOD**</t>
  </si>
  <si>
    <t xml:space="preserve">         COST - PARKING SYSTEM</t>
  </si>
  <si>
    <t>610-5000</t>
  </si>
  <si>
    <t xml:space="preserve">COST - PARKING SYSTEM</t>
  </si>
  <si>
    <t xml:space="preserve">              COST - PARKING SYSTEM</t>
  </si>
  <si>
    <t>610-5001</t>
  </si>
  <si>
    <t xml:space="preserve">         PURCHASES ADJUSTMENT</t>
  </si>
  <si>
    <t>612-0000</t>
  </si>
  <si>
    <t xml:space="preserve">PURCHASES ADJUSTMENT</t>
  </si>
  <si>
    <t xml:space="preserve">         CARRIAGE INWARDS</t>
  </si>
  <si>
    <t>615-0000</t>
  </si>
  <si>
    <t xml:space="preserve">CARRIAGE INWARDS</t>
  </si>
  <si>
    <t xml:space="preserve">         STOCKS AT THE END OF YEAR</t>
  </si>
  <si>
    <t>620-0000</t>
  </si>
  <si>
    <t xml:space="preserve">STOCKS AT THE END OF YEAR</t>
  </si>
  <si>
    <t xml:space="preserve">         MERCHANT FEE</t>
  </si>
  <si>
    <t>630-1000</t>
  </si>
  <si>
    <t xml:space="preserve">MERCHANT FEE</t>
  </si>
  <si>
    <t xml:space="preserve">              CIMB MERCHANT FEE</t>
  </si>
  <si>
    <t>630-1001</t>
  </si>
  <si>
    <t xml:space="preserve">CIMB MERCHANT FEE</t>
  </si>
  <si>
    <t xml:space="preserve">              AMEX MBB MERCHANT FEE</t>
  </si>
  <si>
    <t>630-1002</t>
  </si>
  <si>
    <t xml:space="preserve">AMEX MBB MERCHANT FEE</t>
  </si>
  <si>
    <t xml:space="preserve">              AMPERSAND PAY SDN BHD (CC FEE) </t>
  </si>
  <si>
    <t>630-1003</t>
  </si>
  <si>
    <t xml:space="preserve">AMPERSAND PAY SDN BHD (CC FEE) </t>
  </si>
  <si>
    <t xml:space="preserve">              TRADEWELL (M) SDN BHD (TNG FEE)</t>
  </si>
  <si>
    <t>630-1004</t>
  </si>
  <si>
    <t xml:space="preserve">TRADEWELL (M) SDN BHD (TNG FEE)</t>
  </si>
  <si>
    <t xml:space="preserve">              ePEROLEHAN FEE </t>
  </si>
  <si>
    <t>630-1005</t>
  </si>
  <si>
    <t xml:space="preserve">ePEROLEHAN FEE </t>
  </si>
  <si>
    <t xml:space="preserve">         OTA COMMISSION</t>
  </si>
  <si>
    <t>630-2000</t>
  </si>
  <si>
    <t xml:space="preserve">OTA COMMISSION</t>
  </si>
  <si>
    <t xml:space="preserve">              BOOKING.COM COMMISSION</t>
  </si>
  <si>
    <t>630-2001</t>
  </si>
  <si>
    <t xml:space="preserve">BOOKING.COM COMMISSION</t>
  </si>
  <si>
    <t xml:space="preserve">              TRIP.COM COMMISSION</t>
  </si>
  <si>
    <t>630-2002</t>
  </si>
  <si>
    <t xml:space="preserve">TRIP.COM COMMISSION</t>
  </si>
  <si>
    <t xml:space="preserve">              TRAVEL AGENCY COMMISSION</t>
  </si>
  <si>
    <t>630-2003</t>
  </si>
  <si>
    <t xml:space="preserve">TRAVEL AGENCY COMMISSION</t>
  </si>
  <si>
    <t xml:space="preserve">TOTAL COST OF SALES</t>
  </si>
  <si>
    <t xml:space="preserve">GROSS PROFIT</t>
  </si>
  <si>
    <t xml:space="preserve">GROSS MARGIN</t>
  </si>
  <si>
    <t xml:space="preserve">OTHER INCOMES</t>
  </si>
  <si>
    <t xml:space="preserve">         GAIN ON FOREIGN EXCHANGE</t>
  </si>
  <si>
    <t>530-0000</t>
  </si>
  <si>
    <t xml:space="preserve">GAIN ON FOREIGN EXCHANGE</t>
  </si>
  <si>
    <t xml:space="preserve">         DISPOSAL / RE-CHARGE</t>
  </si>
  <si>
    <t>550-0000</t>
  </si>
  <si>
    <t xml:space="preserve">DISPOSAL / RE-CHARGE</t>
  </si>
  <si>
    <t xml:space="preserve">              PROPERTY BREAKAGE</t>
  </si>
  <si>
    <t>550-1001</t>
  </si>
  <si>
    <t xml:space="preserve">PROPERTY BREAKAGE</t>
  </si>
  <si>
    <t xml:space="preserve">              USED OIL</t>
  </si>
  <si>
    <t>550-2001</t>
  </si>
  <si>
    <t xml:space="preserve">USED OIL</t>
  </si>
  <si>
    <t xml:space="preserve">              RE-BILLING</t>
  </si>
  <si>
    <t>550-3001</t>
  </si>
  <si>
    <t>RE-BILLING</t>
  </si>
  <si>
    <t xml:space="preserve">              DISPOSAL OF ASSETS - EQUIPMENT</t>
  </si>
  <si>
    <t>550-4001</t>
  </si>
  <si>
    <t xml:space="preserve">DISPOSAL OF ASSETS - EQUIPMENT</t>
  </si>
  <si>
    <t xml:space="preserve">TOTAL OTHER INCOMES</t>
  </si>
  <si>
    <t>EXPENSES</t>
  </si>
  <si>
    <t xml:space="preserve">         STAFF COST</t>
  </si>
  <si>
    <t>901-0000</t>
  </si>
  <si>
    <t xml:space="preserve">OPERATING EXPENSES</t>
  </si>
  <si>
    <t xml:space="preserve">              SALARY</t>
  </si>
  <si>
    <t>901-1001</t>
  </si>
  <si>
    <t xml:space="preserve">DIRECT PAYROLL</t>
  </si>
  <si>
    <t xml:space="preserve">              EPF</t>
  </si>
  <si>
    <t>901-1002</t>
  </si>
  <si>
    <t>SALARY</t>
  </si>
  <si>
    <t>EPF</t>
  </si>
  <si>
    <t xml:space="preserve">              SOCSO</t>
  </si>
  <si>
    <t>901-1003</t>
  </si>
  <si>
    <t>SOCSO</t>
  </si>
  <si>
    <t xml:space="preserve">              EIS</t>
  </si>
  <si>
    <t>901-1004</t>
  </si>
  <si>
    <t>EIS</t>
  </si>
  <si>
    <t xml:space="preserve">              PCB</t>
  </si>
  <si>
    <t>901-1005</t>
  </si>
  <si>
    <t>PCB</t>
  </si>
  <si>
    <t xml:space="preserve">              HRDF</t>
  </si>
  <si>
    <t>901-1006</t>
  </si>
  <si>
    <t>HRDF</t>
  </si>
  <si>
    <t xml:space="preserve">              OVERTIME</t>
  </si>
  <si>
    <t>901-1007</t>
  </si>
  <si>
    <t>OVERTIME</t>
  </si>
  <si>
    <t xml:space="preserve">              ZAKAT</t>
  </si>
  <si>
    <t>901-1008</t>
  </si>
  <si>
    <t>ZAKAT</t>
  </si>
  <si>
    <t xml:space="preserve">              STAFF COMMISION</t>
  </si>
  <si>
    <t>901-1100</t>
  </si>
  <si>
    <t xml:space="preserve">STAFF COMMISION</t>
  </si>
  <si>
    <t xml:space="preserve">              WAGES</t>
  </si>
  <si>
    <t>901-2001</t>
  </si>
  <si>
    <t>WAGES</t>
  </si>
  <si>
    <t xml:space="preserve">              OUTSOURCE LABOUR (F.WORKER)</t>
  </si>
  <si>
    <t>901-2002</t>
  </si>
  <si>
    <t xml:space="preserve">OUTSOURCE LABOUR (F.WORKER)</t>
  </si>
  <si>
    <t xml:space="preserve">              INTERNSHIP ALLOWANCE</t>
  </si>
  <si>
    <t>901-2003</t>
  </si>
  <si>
    <t xml:space="preserve">INTERNSHIP ALLOWANCE</t>
  </si>
  <si>
    <t xml:space="preserve">              INCENTIVE ALLOWANCE</t>
  </si>
  <si>
    <t>901-2004</t>
  </si>
  <si>
    <t xml:space="preserve">INCENTIVE ALLOWANCE</t>
  </si>
  <si>
    <t xml:space="preserve">              MEDICAL</t>
  </si>
  <si>
    <t>901-3001</t>
  </si>
  <si>
    <t>MEDICAL</t>
  </si>
  <si>
    <t xml:space="preserve">              STAFF PARKING</t>
  </si>
  <si>
    <t>901-3002</t>
  </si>
  <si>
    <t xml:space="preserve">STAFF PARKING</t>
  </si>
  <si>
    <t xml:space="preserve">              STAFF MEAL ALLOWANCE (TRAINING / MARKETING)</t>
  </si>
  <si>
    <t>901-3003</t>
  </si>
  <si>
    <t xml:space="preserve">STAFF MEAL ALLOWANCE (TRAINING / MARKETING)</t>
  </si>
  <si>
    <t xml:space="preserve">              STAFF MEALS-CANTEEN</t>
  </si>
  <si>
    <t>901-3004</t>
  </si>
  <si>
    <t xml:space="preserve">STAFF MEALS-CANTEEN</t>
  </si>
  <si>
    <t xml:space="preserve">              STAFF INSURANCE</t>
  </si>
  <si>
    <t>901-3005</t>
  </si>
  <si>
    <t xml:space="preserve">STAFF INSURANCE</t>
  </si>
  <si>
    <t xml:space="preserve">              STAFF PHONE BILL</t>
  </si>
  <si>
    <t>901-3006</t>
  </si>
  <si>
    <t xml:space="preserve">STAFF PHONE BILL</t>
  </si>
  <si>
    <t xml:space="preserve">              STAFF HOSTEL</t>
  </si>
  <si>
    <t>901-3007</t>
  </si>
  <si>
    <t xml:space="preserve">STAFF HOSTEL</t>
  </si>
  <si>
    <t xml:space="preserve">              STAFF UNIFORM</t>
  </si>
  <si>
    <t>901-3008</t>
  </si>
  <si>
    <t xml:space="preserve">STAFF UNIFORM</t>
  </si>
  <si>
    <t xml:space="preserve">              STAFF TRAINING</t>
  </si>
  <si>
    <t>901-3009</t>
  </si>
  <si>
    <t xml:space="preserve">STAFF TRAINING</t>
  </si>
  <si>
    <t xml:space="preserve">              STAFF SUPPLIES (AMENITIES)</t>
  </si>
  <si>
    <t>901-3010</t>
  </si>
  <si>
    <t xml:space="preserve">STAFF SUPPLIES (AMENITIES)</t>
  </si>
  <si>
    <t xml:space="preserve">              STAFF RECRUITMENT</t>
  </si>
  <si>
    <t>901-3011</t>
  </si>
  <si>
    <t xml:space="preserve">STAFF RECRUITMENT</t>
  </si>
  <si>
    <t xml:space="preserve">              STAFF TRAVELLING</t>
  </si>
  <si>
    <t>901-3012</t>
  </si>
  <si>
    <t xml:space="preserve">STAFF TRAVELLING</t>
  </si>
  <si>
    <t xml:space="preserve">              STAFF TRAVELLING &amp; ACCOMODATION (TRAINING / MARKETING)</t>
  </si>
  <si>
    <t>901-3013</t>
  </si>
  <si>
    <t xml:space="preserve">STAFF TRAVELLING &amp; ACCOMODATION (TRAINING / MARKETING)</t>
  </si>
  <si>
    <t xml:space="preserve">              STAFF LAUNDRY</t>
  </si>
  <si>
    <t>901-3014</t>
  </si>
  <si>
    <t xml:space="preserve">STAFF LAUNDRY</t>
  </si>
  <si>
    <t xml:space="preserve">              STAFF EVENT</t>
  </si>
  <si>
    <t>901-3015</t>
  </si>
  <si>
    <t xml:space="preserve">STAFF EVENT</t>
  </si>
  <si>
    <t xml:space="preserve">              STAFF LIVING ACCOMODATIO</t>
  </si>
  <si>
    <t>901-3016</t>
  </si>
  <si>
    <t xml:space="preserve">STAFF LIVING ACCOMODATIO</t>
  </si>
  <si>
    <t xml:space="preserve">                   TAX AGENT FEE</t>
  </si>
  <si>
    <t>904-P002</t>
  </si>
  <si>
    <t xml:space="preserve">BANK CHARGE</t>
  </si>
  <si>
    <t>902-0000</t>
  </si>
  <si>
    <t xml:space="preserve">                   LEGAL FEE</t>
  </si>
  <si>
    <t>904-P003</t>
  </si>
  <si>
    <t xml:space="preserve">BANK CHARGE - PBB</t>
  </si>
  <si>
    <t>902-2003</t>
  </si>
  <si>
    <t xml:space="preserve">              PENALTY / LATE PAYMENT INTEREST</t>
  </si>
  <si>
    <t>904-P004</t>
  </si>
  <si>
    <t xml:space="preserve">BANK CHARGE - BANK GUARANTEE</t>
  </si>
  <si>
    <t>902-2004</t>
  </si>
  <si>
    <t xml:space="preserve">              PRINTING &amp; STATIONERY</t>
  </si>
  <si>
    <t>904-PS01</t>
  </si>
  <si>
    <t xml:space="preserve">DEPRECIATION &amp; AMORTISATION EXPENSES</t>
  </si>
  <si>
    <t>903-0000</t>
  </si>
  <si>
    <t xml:space="preserve">              REPAIR &amp; MAINTENANCE</t>
  </si>
  <si>
    <t>904-RM00</t>
  </si>
  <si>
    <t>904-0000</t>
  </si>
  <si>
    <t xml:space="preserve">                   HOUSEKEEPING</t>
  </si>
  <si>
    <t>904-HK00</t>
  </si>
  <si>
    <t>ADVERTISING</t>
  </si>
  <si>
    <t>904-A001</t>
  </si>
  <si>
    <t xml:space="preserve">                        PEST CONTROL</t>
  </si>
  <si>
    <t>904-PC01</t>
  </si>
  <si>
    <t xml:space="preserve">ADMINISTRATION FEE</t>
  </si>
  <si>
    <t>904-A002</t>
  </si>
  <si>
    <t xml:space="preserve">                   IT</t>
  </si>
  <si>
    <t>904-IT00</t>
  </si>
  <si>
    <t>COMMISSION</t>
  </si>
  <si>
    <t>904-C001</t>
  </si>
  <si>
    <t xml:space="preserve">                        IT- REPAIR/REPLACEMENT</t>
  </si>
  <si>
    <t>904-ITRC</t>
  </si>
  <si>
    <t xml:space="preserve">COURIER / POSTAGE</t>
  </si>
  <si>
    <t>904-C002</t>
  </si>
  <si>
    <t xml:space="preserve">                        IT- SUPPORT SERVICES/MAINTENANCE</t>
  </si>
  <si>
    <t>904-ITST</t>
  </si>
  <si>
    <t xml:space="preserve">WASTE DISPOSAL</t>
  </si>
  <si>
    <t>904-C003</t>
  </si>
  <si>
    <t xml:space="preserve">                        IT- WEBSITE</t>
  </si>
  <si>
    <t>904-ITWS</t>
  </si>
  <si>
    <t xml:space="preserve">CLEANING SUPPLIES (CONSUMABLES)</t>
  </si>
  <si>
    <t>904-C004</t>
  </si>
  <si>
    <t xml:space="preserve">                        IT-SOFTWARE</t>
  </si>
  <si>
    <t>904-S001</t>
  </si>
  <si>
    <t xml:space="preserve">CLEANING TOOL</t>
  </si>
  <si>
    <t>904-C005</t>
  </si>
  <si>
    <t xml:space="preserve">                   MAINTENANCE</t>
  </si>
  <si>
    <t>904-MT00</t>
  </si>
  <si>
    <t>INSURANCE</t>
  </si>
  <si>
    <t>904-I000</t>
  </si>
  <si>
    <t xml:space="preserve">                        LIFT MAINTENANCE</t>
  </si>
  <si>
    <t>904-RM01</t>
  </si>
  <si>
    <t xml:space="preserve">PROFESSIONAL SERVICE</t>
  </si>
  <si>
    <t>904-P001</t>
  </si>
  <si>
    <t xml:space="preserve">                        SWIMMING POOL MAINTENANCE</t>
  </si>
  <si>
    <t>904-RM02</t>
  </si>
  <si>
    <t xml:space="preserve">TAX AGENT FEE</t>
  </si>
  <si>
    <t xml:space="preserve">                        904-RMAC/RMAS EXISTING USE FOR A/COND MAINT</t>
  </si>
  <si>
    <t>904-RM03</t>
  </si>
  <si>
    <t xml:space="preserve">LEGAL FEE</t>
  </si>
  <si>
    <t xml:space="preserve">                        BUILDING MAINTENANCE</t>
  </si>
  <si>
    <t>904-RM05</t>
  </si>
  <si>
    <t xml:space="preserve">PENALTY / LATE PAYMENT INTEREST</t>
  </si>
  <si>
    <t xml:space="preserve">                        EQUIPMENT MAINTENANCE</t>
  </si>
  <si>
    <t>904-RM06</t>
  </si>
  <si>
    <t xml:space="preserve">PRINTING &amp; STATIONERY</t>
  </si>
  <si>
    <t xml:space="preserve">                        MAINTENANCE- AIRCON CONTRACTOR</t>
  </si>
  <si>
    <t>904-RMAC</t>
  </si>
  <si>
    <t xml:space="preserve">PEST CONTROL</t>
  </si>
  <si>
    <t xml:space="preserve">                        MAINTENANCE - BUILDING CONTRACTOR</t>
  </si>
  <si>
    <t>904-RMBC</t>
  </si>
  <si>
    <t xml:space="preserve">IT- REPAIR/REPLACEMENT</t>
  </si>
  <si>
    <t xml:space="preserve">                        MAINTENANCE- FIRE SYSTEM</t>
  </si>
  <si>
    <t>904-RMBF</t>
  </si>
  <si>
    <t xml:space="preserve">IT- SUPPORT SERVICES/MAINTENANCE</t>
  </si>
  <si>
    <t xml:space="preserve">                        MAINTENANCE- GENERAL SUPPLIES</t>
  </si>
  <si>
    <t>904-RMBG</t>
  </si>
  <si>
    <t xml:space="preserve">IT- WEBSITE</t>
  </si>
  <si>
    <t xml:space="preserve">                        MAINTENANCE - AUDIO VISUAL</t>
  </si>
  <si>
    <t>904-RMBV</t>
  </si>
  <si>
    <t>IT-SOFTWARE</t>
  </si>
  <si>
    <t xml:space="preserve">                        MAINTENANCE- ELEC/MECH CONTRACTOR</t>
  </si>
  <si>
    <t>904-RMEC</t>
  </si>
  <si>
    <t xml:space="preserve">MAINTENANCE- KITCHEN</t>
  </si>
  <si>
    <t>904-K001</t>
  </si>
  <si>
    <t xml:space="preserve">                        MAINTENANCE- ELEC/MECH (SERVICE)</t>
  </si>
  <si>
    <t>904-RMES</t>
  </si>
  <si>
    <t xml:space="preserve">LIFT MAINTENANCE</t>
  </si>
  <si>
    <t xml:space="preserve">                        MAINTENANCE- REFRIGERATION (CONTRACTOR))</t>
  </si>
  <si>
    <t>904-RMRC</t>
  </si>
  <si>
    <t xml:space="preserve">SWIMMING POOL MAINTENANCE</t>
  </si>
  <si>
    <t xml:space="preserve">                        MAINTENANCE- REFRIGERATION (SERVICE)</t>
  </si>
  <si>
    <t>904-RMRS</t>
  </si>
  <si>
    <t xml:space="preserve">904-RMAC/RMAS EXISTING USE FOR A/COND MAINT</t>
  </si>
  <si>
    <t xml:space="preserve">              SUBSCRIPTION</t>
  </si>
  <si>
    <t>904-S000</t>
  </si>
  <si>
    <t xml:space="preserve">BUILDING MAINTENANCE</t>
  </si>
  <si>
    <t xml:space="preserve">                   MEMBER SUBSCRIPTION</t>
  </si>
  <si>
    <t>904-S004</t>
  </si>
  <si>
    <t xml:space="preserve">EQUIPMENT MAINTENANCE</t>
  </si>
  <si>
    <t xml:space="preserve">              SECURITY</t>
  </si>
  <si>
    <t>904-S002</t>
  </si>
  <si>
    <t xml:space="preserve">GENERATOR MAINTENANCE</t>
  </si>
  <si>
    <t>904-RM07</t>
  </si>
  <si>
    <t xml:space="preserve">              SUNDRY EXPENSES</t>
  </si>
  <si>
    <t>904-S003</t>
  </si>
  <si>
    <t xml:space="preserve">MAINTENANCE-FITTING &amp; FIXTURE </t>
  </si>
  <si>
    <t>904-RM08</t>
  </si>
  <si>
    <t xml:space="preserve">              STAMP DUTY</t>
  </si>
  <si>
    <t>904-SD01</t>
  </si>
  <si>
    <t xml:space="preserve">MAINTENANCE- AIRCON CONTRACTOR</t>
  </si>
  <si>
    <t xml:space="preserve">              TRAVELLING</t>
  </si>
  <si>
    <t>904-T001</t>
  </si>
  <si>
    <t xml:space="preserve">MAINTENANCE- AIRCON (SERVICE)</t>
  </si>
  <si>
    <t>904-RMAS</t>
  </si>
  <si>
    <t xml:space="preserve">              UTILITIES</t>
  </si>
  <si>
    <t>904-U000</t>
  </si>
  <si>
    <t xml:space="preserve">MAINTENANCE - BUILDING CONTRACTOR</t>
  </si>
  <si>
    <t xml:space="preserve">                   ELECTRICITY</t>
  </si>
  <si>
    <t>904-U001</t>
  </si>
  <si>
    <t xml:space="preserve">MAINTENANCE- FIRE SYSTEM</t>
  </si>
  <si>
    <t xml:space="preserve">                   WATER</t>
  </si>
  <si>
    <t>904-U002</t>
  </si>
  <si>
    <t xml:space="preserve">MAINTENANCE- GENERAL SUPPLIES</t>
  </si>
  <si>
    <t xml:space="preserve">                   TELEPHONE &amp; INTERNET</t>
  </si>
  <si>
    <t>904-U003</t>
  </si>
  <si>
    <t xml:space="preserve">MAINTENANCE - AUDIO VISUAL</t>
  </si>
  <si>
    <t xml:space="preserve">                   SEWERAGE </t>
  </si>
  <si>
    <t>904-U004</t>
  </si>
  <si>
    <t xml:space="preserve">MAINTENANCE- WATER SYSTEMS</t>
  </si>
  <si>
    <t>904-RMBW</t>
  </si>
  <si>
    <t xml:space="preserve">                   UTILITIES-GAS</t>
  </si>
  <si>
    <t>904-U005</t>
  </si>
  <si>
    <t xml:space="preserve">MAINTENANCE- ELEC/MECH CONTRACTOR</t>
  </si>
  <si>
    <t xml:space="preserve">              VEHICLE</t>
  </si>
  <si>
    <t>904-V000</t>
  </si>
  <si>
    <t xml:space="preserve">MAINTENANCE- ELEC/MECH (SERVICE)</t>
  </si>
  <si>
    <t xml:space="preserve">                   ROAD TAX</t>
  </si>
  <si>
    <t>904-V001</t>
  </si>
  <si>
    <t xml:space="preserve">MAINTENANCE- REFRIGERATION (CONTRACTOR))</t>
  </si>
  <si>
    <t xml:space="preserve">                   VEHICLE INSURANCE</t>
  </si>
  <si>
    <t>904-V002</t>
  </si>
  <si>
    <t xml:space="preserve">MAINTENANCE- REFRIGERATION (SERVICE)</t>
  </si>
  <si>
    <t xml:space="preserve">         GARDEN &amp; LANDSCAPE</t>
  </si>
  <si>
    <t>904-G001</t>
  </si>
  <si>
    <t xml:space="preserve">MEMBER SUBSCRIPTION</t>
  </si>
  <si>
    <t xml:space="preserve">         IT EXPENDITURE</t>
  </si>
  <si>
    <t>904-RM04</t>
  </si>
  <si>
    <t>SECURITY</t>
  </si>
  <si>
    <t xml:space="preserve">         ASSESSMENT &amp; QUIT RENT</t>
  </si>
  <si>
    <t>905-P000</t>
  </si>
  <si>
    <t xml:space="preserve">SUNDRY EXPENSES</t>
  </si>
  <si>
    <t xml:space="preserve">              ASSESSMENT</t>
  </si>
  <si>
    <t>905-P001</t>
  </si>
  <si>
    <t xml:space="preserve">STAMP DUTY</t>
  </si>
  <si>
    <t xml:space="preserve">              QUIT RENT</t>
  </si>
  <si>
    <t>905-P002</t>
  </si>
  <si>
    <t>TRAVELLING</t>
  </si>
  <si>
    <t xml:space="preserve">         LICENSE</t>
  </si>
  <si>
    <t>908-L000</t>
  </si>
  <si>
    <t>ELECTRICITY</t>
  </si>
  <si>
    <t xml:space="preserve">              AUTHORITY LICENSE</t>
  </si>
  <si>
    <t>908-L001</t>
  </si>
  <si>
    <t>WATER</t>
  </si>
  <si>
    <t xml:space="preserve">              SYSTEM LICENSE</t>
  </si>
  <si>
    <t>908-L002</t>
  </si>
  <si>
    <t xml:space="preserve">TELEPHONE &amp; INTERNET</t>
  </si>
  <si>
    <t xml:space="preserve">         DECORATIONS</t>
  </si>
  <si>
    <t>909-D000</t>
  </si>
  <si>
    <t xml:space="preserve">SEWERAGE </t>
  </si>
  <si>
    <t>UTILITIES-GAS</t>
  </si>
  <si>
    <t>TAXATION</t>
  </si>
  <si>
    <t xml:space="preserve">ROAD TAX</t>
  </si>
  <si>
    <t xml:space="preserve">         TAXATION</t>
  </si>
  <si>
    <t>950-0000</t>
  </si>
  <si>
    <t xml:space="preserve">VEHICLE INSURANCE</t>
  </si>
  <si>
    <t xml:space="preserve">VEHICLE MAINTENANCE</t>
  </si>
  <si>
    <t>904-V003</t>
  </si>
  <si>
    <t xml:space="preserve">NET PROFIT AFTER TAXATION</t>
  </si>
  <si>
    <t xml:space="preserve">GARDEN &amp; LANDSCAPE</t>
  </si>
  <si>
    <t xml:space="preserve">EXTRA-ORDINARY INCOME</t>
  </si>
  <si>
    <t xml:space="preserve">IT EXPENDITURE</t>
  </si>
  <si>
    <t xml:space="preserve">ASSESSMENT &amp; QUIT RENT</t>
  </si>
  <si>
    <t xml:space="preserve">APPROPRIATION A/C</t>
  </si>
  <si>
    <t>ASSESSMENT</t>
  </si>
  <si>
    <t xml:space="preserve">QUIT RENT</t>
  </si>
  <si>
    <t xml:space="preserve">NET PROFIT AFTER APPROPRIATION</t>
  </si>
  <si>
    <t xml:space="preserve">EVENTS &amp; SPONSORSHIP</t>
  </si>
  <si>
    <t>906-E000</t>
  </si>
  <si>
    <t>LICENSE</t>
  </si>
  <si>
    <t xml:space="preserve">AUTHORITY LICENSE</t>
  </si>
  <si>
    <t xml:space="preserve">SYSTEM LICENSE</t>
  </si>
  <si>
    <t>DECORATIONS</t>
  </si>
  <si>
    <t xml:space="preserve">TOTAL OPERATING EXPENSES</t>
  </si>
  <si>
    <t xml:space="preserve">NET PROFIT</t>
  </si>
  <si>
    <t>Description</t>
  </si>
  <si>
    <t xml:space="preserve">Acc. No.</t>
  </si>
  <si>
    <t>Amount</t>
  </si>
  <si>
    <t>SALES</t>
  </si>
  <si>
    <t xml:space="preserve">         REVENUE</t>
  </si>
  <si>
    <t>500-0000</t>
  </si>
  <si>
    <t xml:space="preserve">              ROOM CHARGE - EXTRA CHARGES</t>
  </si>
  <si>
    <t xml:space="preserve">              GUEST SERVICES</t>
  </si>
  <si>
    <t>500-1100</t>
  </si>
  <si>
    <t xml:space="preserve">              BREAKFAST (FO)</t>
  </si>
  <si>
    <t>500-BF00</t>
  </si>
  <si>
    <t xml:space="preserve">              G3 REVENUE</t>
  </si>
  <si>
    <t>500-G300</t>
  </si>
  <si>
    <t xml:space="preserve">              SERAMBI REVENUE</t>
  </si>
  <si>
    <t>500-SR00</t>
  </si>
  <si>
    <t xml:space="preserve">              BANQUET FOOD &amp; BEV (PACKAGE)</t>
  </si>
  <si>
    <t xml:space="preserve">              BANQUET EQUIPMENT RENTAL</t>
  </si>
  <si>
    <t xml:space="preserve">              BANQUET HALL RENTAL</t>
  </si>
  <si>
    <t xml:space="preserve">              BANQUET OTHER REVENUE</t>
  </si>
  <si>
    <t xml:space="preserve">              CAR PARK SERVICE CHARGE</t>
  </si>
  <si>
    <t xml:space="preserve">         MISCELLANEOUS CHARGE</t>
  </si>
  <si>
    <t xml:space="preserve">         OTHER INCOME</t>
  </si>
  <si>
    <t xml:space="preserve">         SALE INWARDS</t>
  </si>
  <si>
    <t xml:space="preserve">         REVENUE ADJUSTMENT</t>
  </si>
  <si>
    <t xml:space="preserve">              ROOM ADJUSTMENT</t>
  </si>
  <si>
    <t xml:space="preserve">              BREAKFAST  ADJUSTMENT</t>
  </si>
  <si>
    <t xml:space="preserve">NET SALES</t>
  </si>
  <si>
    <t xml:space="preserve">         COST</t>
  </si>
  <si>
    <t>610-0000</t>
  </si>
  <si>
    <t xml:space="preserve">              COST - GUEST SERVICES</t>
  </si>
  <si>
    <t>610-1100</t>
  </si>
  <si>
    <t xml:space="preserve">              COST - BANQUET</t>
  </si>
  <si>
    <t>610-0003</t>
  </si>
  <si>
    <t xml:space="preserve">                   COST F&amp;B  - BANQUET (INACTIVE)</t>
  </si>
  <si>
    <t xml:space="preserve">                   COST - BANQUET (NON-FOOD)  (INACTIVE)</t>
  </si>
  <si>
    <t xml:space="preserve">                   COST - BANQUET SETUP</t>
  </si>
  <si>
    <t xml:space="preserve">              COST F&amp;B - FOOD</t>
  </si>
  <si>
    <t xml:space="preserve">         BANK CHARGE</t>
  </si>
  <si>
    <t xml:space="preserve">              BANK CHARGE - PBB</t>
  </si>
  <si>
    <t xml:space="preserve">              BANK CHARGE - BANK GUARANTEE</t>
  </si>
  <si>
    <t xml:space="preserve">         DEPRECIATION &amp; AMORTISATION EXPENSES</t>
  </si>
  <si>
    <t xml:space="preserve">         OPERATING EXPENSES</t>
  </si>
  <si>
    <t xml:space="preserve">              ADVERTISING</t>
  </si>
  <si>
    <t xml:space="preserve">              ADMINISTRATION FEE</t>
  </si>
  <si>
    <t xml:space="preserve">              COMMISSION</t>
  </si>
  <si>
    <t xml:space="preserve">              COURIER / POSTAGE</t>
  </si>
  <si>
    <t xml:space="preserve">              WASTE DISPOSAL</t>
  </si>
  <si>
    <t xml:space="preserve">              CLEANING SUPPLIES (CONSUMABLES)</t>
  </si>
  <si>
    <t xml:space="preserve">              CLEANING TOOL</t>
  </si>
  <si>
    <t xml:space="preserve">              INSURANCE</t>
  </si>
  <si>
    <t xml:space="preserve">              PROFESSIONAL FEE</t>
  </si>
  <si>
    <t>904-P000</t>
  </si>
  <si>
    <t xml:space="preserve">                   PROFESSIONAL SERVICE</t>
  </si>
  <si>
    <t xml:space="preserve">                        MAINTENANCE- KITCHEN</t>
  </si>
  <si>
    <t xml:space="preserve">                        GENERATOR MAINTENANCE</t>
  </si>
  <si>
    <t xml:space="preserve">                        MAINTENANCE-FITTING &amp; FIXTURE </t>
  </si>
  <si>
    <t xml:space="preserve">                        MAINTENANCE- AIRCON (SERVICE)</t>
  </si>
  <si>
    <t xml:space="preserve">                        MAINTENANCE- WATER SYSTEMS</t>
  </si>
  <si>
    <t xml:space="preserve">                   VEHICLE MAINTENANCE</t>
  </si>
  <si>
    <t xml:space="preserve">         EVENTS &amp; SPONSORSHIP</t>
  </si>
  <si>
    <t xml:space="preserve">                   COST F&amp;B - BANQUET (INACTIVE)</t>
  </si>
  <si>
    <t xml:space="preserve">                   COST - BANQUET (NON-FOOD) (INACTIVE)</t>
  </si>
  <si>
    <t xml:space="preserve">         904-ITRC 904-ITST 904-ITWS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</si>
  <si>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</si>
  <si>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</si>
  <si>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</si>
  <si>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</si>
  <si>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</si>
  <si>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</si>
  <si>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</si>
  <si>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</si>
  <si>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</si>
  <si>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</si>
  <si>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</si>
  <si>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</si>
  <si>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               GUEST SERVICES - FLOWER</t>
  </si>
  <si>
    <t xml:space="preserve">         COST - GUEST ROOM SUPPLIES</t>
  </si>
  <si>
    <t xml:space="preserve">         COST - GUEST SERVICES</t>
  </si>
  <si>
    <t xml:space="preserve">              COST - GUEST SERVICES FLOWER / DECORATIONS</t>
  </si>
  <si>
    <t xml:space="preserve">         COST F&amp;B</t>
  </si>
  <si>
    <t xml:space="preserve">         COST F&amp;B - G3</t>
  </si>
  <si>
    <t xml:space="preserve">         COST F&amp;B - BANQUET</t>
  </si>
  <si>
    <t xml:space="preserve">         COST F&amp;B - NON FOOD</t>
  </si>
  <si>
    <t xml:space="preserve">         COST G3 - NON FOOD</t>
  </si>
  <si>
    <t xml:space="preserve">         COST - BANQUET (NON-FOOD)</t>
  </si>
  <si>
    <t xml:space="preserve">         COST - BANQUET SUPPLIES </t>
  </si>
  <si>
    <t xml:space="preserve">         COST - ROOM LAUNDRY</t>
  </si>
  <si>
    <t xml:space="preserve">         COMMISSION</t>
  </si>
  <si>
    <t xml:space="preserve">                        AIR COND MAINTENANCE</t>
  </si>
  <si>
    <t xml:space="preserve">HOTEL MALURI BALANCE SHEET</t>
  </si>
  <si>
    <t xml:space="preserve">This Year</t>
  </si>
  <si>
    <t xml:space="preserve">Last Year</t>
  </si>
  <si>
    <t>Balance</t>
  </si>
  <si>
    <t>%</t>
  </si>
  <si>
    <t>ASSETS</t>
  </si>
  <si>
    <t xml:space="preserve">CURRENT ASSETS</t>
  </si>
  <si>
    <t xml:space="preserve">         TRADE DEBTORS</t>
  </si>
  <si>
    <t>300-0000</t>
  </si>
  <si>
    <t xml:space="preserve">         OTHER RECEIVABLE</t>
  </si>
  <si>
    <t>305-0000</t>
  </si>
  <si>
    <t xml:space="preserve">              MERCHANT</t>
  </si>
  <si>
    <t>305-1000</t>
  </si>
  <si>
    <t xml:space="preserve">                   CIMB MERCHANT</t>
  </si>
  <si>
    <t>305-1001</t>
  </si>
  <si>
    <t xml:space="preserve">                   AMEX MBB MERCHANT</t>
  </si>
  <si>
    <t>305-1002</t>
  </si>
  <si>
    <t xml:space="preserve">                   AMPERSAND PAY SDN BHD (CC)</t>
  </si>
  <si>
    <t>305-1003</t>
  </si>
  <si>
    <t xml:space="preserve">                   TRADEWELL (M) SDN BHD (TNG)</t>
  </si>
  <si>
    <t>305-1004</t>
  </si>
  <si>
    <t xml:space="preserve">                   ePEROLEHAN</t>
  </si>
  <si>
    <t>305-1005</t>
  </si>
  <si>
    <t xml:space="preserve">              PREPAYMENT</t>
  </si>
  <si>
    <t>305-2000</t>
  </si>
  <si>
    <t xml:space="preserve">              DEPOSIT PAID</t>
  </si>
  <si>
    <t>305-3000</t>
  </si>
  <si>
    <t xml:space="preserve">                   WATER DEPOSIT</t>
  </si>
  <si>
    <t>305-3001</t>
  </si>
  <si>
    <t xml:space="preserve">                   PARKING SYSTEM DEPOSIT</t>
  </si>
  <si>
    <t>305-3002</t>
  </si>
  <si>
    <t xml:space="preserve">              OTHER DEBTOR</t>
  </si>
  <si>
    <t>305-4002</t>
  </si>
  <si>
    <t xml:space="preserve">              OTHER DEBTOR - ADEL MARKETING (M) SDN BHD</t>
  </si>
  <si>
    <t>305-4003</t>
  </si>
  <si>
    <t xml:space="preserve">         AMOUNT DUE FROM RELATED COMPANY </t>
  </si>
  <si>
    <t>306-0000</t>
  </si>
  <si>
    <t xml:space="preserve">              AMOUNT DUE FROM RELATED COMPANY- SHARDU ENTERPRISE SDN BHD</t>
  </si>
  <si>
    <t>306-0001</t>
  </si>
  <si>
    <t xml:space="preserve">         CASH AT BANK</t>
  </si>
  <si>
    <t>310-0000</t>
  </si>
  <si>
    <t xml:space="preserve">              PUBLIC BANK</t>
  </si>
  <si>
    <t>310-1000</t>
  </si>
  <si>
    <t xml:space="preserve">         CASH</t>
  </si>
  <si>
    <t>320-0000</t>
  </si>
  <si>
    <t xml:space="preserve">              CASH FLOAT</t>
  </si>
  <si>
    <t>320-1000</t>
  </si>
  <si>
    <t xml:space="preserve">                   FO CASHIER</t>
  </si>
  <si>
    <t>320-1100</t>
  </si>
  <si>
    <t xml:space="preserve">                   F&amp;B CASHIER</t>
  </si>
  <si>
    <t>320-1200</t>
  </si>
  <si>
    <t xml:space="preserve">              CASH IN HAND </t>
  </si>
  <si>
    <t>320-2000</t>
  </si>
  <si>
    <t xml:space="preserve">                   AC-CASH</t>
  </si>
  <si>
    <t>320-2001</t>
  </si>
  <si>
    <t xml:space="preserve">                   FO-CASH</t>
  </si>
  <si>
    <t>320-2002</t>
  </si>
  <si>
    <t xml:space="preserve">                   G3-CASH</t>
  </si>
  <si>
    <t>320-2003</t>
  </si>
  <si>
    <t xml:space="preserve">                   SR-CASH</t>
  </si>
  <si>
    <t>320-2004</t>
  </si>
  <si>
    <t xml:space="preserve">                   CP-CASH</t>
  </si>
  <si>
    <t>320-2005</t>
  </si>
  <si>
    <t xml:space="preserve">         STOCK</t>
  </si>
  <si>
    <t>330-0000</t>
  </si>
  <si>
    <t xml:space="preserve">FIXED ASSETS</t>
  </si>
  <si>
    <t xml:space="preserve">         FIXED ASSETS</t>
  </si>
  <si>
    <t>200-0000</t>
  </si>
  <si>
    <t xml:space="preserve">              RENOVATION</t>
  </si>
  <si>
    <t>200-1000</t>
  </si>
  <si>
    <t xml:space="preserve">              ACCUM.DEPRN - RENOVATION</t>
  </si>
  <si>
    <t>200-1005</t>
  </si>
  <si>
    <t xml:space="preserve">              KITCHEN WARE</t>
  </si>
  <si>
    <t>200-1100</t>
  </si>
  <si>
    <t xml:space="preserve">              ACCUM- DEPRN. - KITCHEN WARE</t>
  </si>
  <si>
    <t>200-1105</t>
  </si>
  <si>
    <t xml:space="preserve">              LINEN</t>
  </si>
  <si>
    <t>200-1200</t>
  </si>
  <si>
    <t xml:space="preserve">              ACCUM. DEPRN. - LINEN</t>
  </si>
  <si>
    <t>200-1205</t>
  </si>
  <si>
    <t xml:space="preserve">              UNIFORM</t>
  </si>
  <si>
    <t>200-1300</t>
  </si>
  <si>
    <t xml:space="preserve">              ACCUM- DEPRN. - UNIFORM</t>
  </si>
  <si>
    <t>200-1305</t>
  </si>
  <si>
    <t xml:space="preserve">              FURNITURES &amp; FITTINGS</t>
  </si>
  <si>
    <t>200-2000</t>
  </si>
  <si>
    <t xml:space="preserve">              ACCUM. DEPRN. - FURNITURES &amp; FITTINGS</t>
  </si>
  <si>
    <t>200-2005</t>
  </si>
  <si>
    <t xml:space="preserve">              EQUIPMENT</t>
  </si>
  <si>
    <t>200-3000</t>
  </si>
  <si>
    <t xml:space="preserve">              ACCUM. DEPRN. - EQUIPMENT</t>
  </si>
  <si>
    <t>200-3005</t>
  </si>
  <si>
    <t xml:space="preserve">              MOTOR VEHICLE</t>
  </si>
  <si>
    <t>200-5000</t>
  </si>
  <si>
    <t xml:space="preserve">              ACCUM. DEPRN. - MOTOR VEHICLE</t>
  </si>
  <si>
    <t>200-5005</t>
  </si>
  <si>
    <t xml:space="preserve">OTHER ASSETS</t>
  </si>
  <si>
    <t xml:space="preserve">         GOODWILL</t>
  </si>
  <si>
    <t>210-0000</t>
  </si>
  <si>
    <t xml:space="preserve">TOTAL ASSETS</t>
  </si>
  <si>
    <t xml:space="preserve">LIABILITIES AND SHAREHOLDERS EQUITY</t>
  </si>
  <si>
    <t xml:space="preserve">CURRENT LIABILITIES</t>
  </si>
  <si>
    <t xml:space="preserve">         TRADE PAYABLE</t>
  </si>
  <si>
    <t>400-0000</t>
  </si>
  <si>
    <t xml:space="preserve">         OTHER PAYABLE</t>
  </si>
  <si>
    <t>405-0000</t>
  </si>
  <si>
    <t xml:space="preserve">              DEPOSIT RECEIVED</t>
  </si>
  <si>
    <t>405-3000</t>
  </si>
  <si>
    <t xml:space="preserve">                   DEPOSIT - CAR PARK</t>
  </si>
  <si>
    <t>405-3001</t>
  </si>
  <si>
    <t xml:space="preserve">                   DEPOSIT - LOCKER</t>
  </si>
  <si>
    <t>405-3002</t>
  </si>
  <si>
    <t xml:space="preserve">                   DEPOSIT - UNIFORM</t>
  </si>
  <si>
    <t>405-3003</t>
  </si>
  <si>
    <t xml:space="preserve">                   DEPOSIT - COLLECTED FROM GUEST</t>
  </si>
  <si>
    <t>405-3004</t>
  </si>
  <si>
    <t xml:space="preserve">              ACCRUAL</t>
  </si>
  <si>
    <t>405-4001</t>
  </si>
  <si>
    <t xml:space="preserve">              OTHER CREDITOR - RECREATION &amp; CANTEEN COMMITTEE</t>
  </si>
  <si>
    <t>405-6001</t>
  </si>
  <si>
    <t xml:space="preserve">         AMOUNT DUE TO HEAD OFFICE                                        </t>
  </si>
  <si>
    <t>405-1000</t>
  </si>
  <si>
    <t xml:space="preserve">              SMSB-POB / ROB</t>
  </si>
  <si>
    <t>405-1001</t>
  </si>
  <si>
    <t xml:space="preserve">              SMSB - ADVANCE</t>
  </si>
  <si>
    <t>405-1002</t>
  </si>
  <si>
    <t xml:space="preserve">         AMOUNT DUE TO DIRECTOR</t>
  </si>
  <si>
    <t>405-2000</t>
  </si>
  <si>
    <t xml:space="preserve">         AMOUNT DUE TO RELATED COMPANY</t>
  </si>
  <si>
    <t>405-5000</t>
  </si>
  <si>
    <t xml:space="preserve">              AMOUNT DUE TO RELATED COMPANY - RIDANA SDN BHD</t>
  </si>
  <si>
    <t>405-5001</t>
  </si>
  <si>
    <t xml:space="preserve">              AMOUNT DUE TO RELATED COMPANY - SELIDIK JAYA SDN BHD</t>
  </si>
  <si>
    <t>405-5002</t>
  </si>
  <si>
    <t xml:space="preserve">         TEMPORARY ACCOUNT FOR CONTRA</t>
  </si>
  <si>
    <t>490-0000</t>
  </si>
  <si>
    <t xml:space="preserve">         SERVICE TAX ACCOUNT</t>
  </si>
  <si>
    <t>SST-4020</t>
  </si>
  <si>
    <t xml:space="preserve">         TOURISM TAX</t>
  </si>
  <si>
    <t>TTX-4010</t>
  </si>
  <si>
    <t xml:space="preserve">         WITHOLDING TAX</t>
  </si>
  <si>
    <t>WHT-4030</t>
  </si>
  <si>
    <t xml:space="preserve">LONG TERM LIABILITIES</t>
  </si>
  <si>
    <t xml:space="preserve">OTHER LIABILITIES</t>
  </si>
  <si>
    <t>CAPITAL</t>
  </si>
  <si>
    <t xml:space="preserve">         CAPITAL</t>
  </si>
  <si>
    <t>100-0000</t>
  </si>
  <si>
    <t xml:space="preserve">RETAINED EARNING</t>
  </si>
  <si>
    <t xml:space="preserve">         RETAINED EARNING</t>
  </si>
  <si>
    <t>150-0000</t>
  </si>
  <si>
    <t xml:space="preserve">         RESERVES</t>
  </si>
  <si>
    <t>151-0000</t>
  </si>
  <si>
    <t xml:space="preserve">         PROFIT/(LOSS)</t>
  </si>
  <si>
    <t xml:space="preserve">TOTAL LIABILITIES AND SHAREHOLDERS EQUITY</t>
  </si>
  <si>
    <t xml:space="preserve">HOTEL MALURI - ACCRUALS</t>
  </si>
  <si>
    <t>DATE</t>
  </si>
  <si>
    <t>DESCRIPTION</t>
  </si>
  <si>
    <t>JV2601</t>
  </si>
  <si>
    <t xml:space="preserve">CHARGED OUT</t>
  </si>
  <si>
    <t xml:space="preserve">BGD ACCESS SDN BHD - INV000366 - CASHLESS PARKING SOLUTION - 24/12/25-23/01/26 (29/36)</t>
  </si>
  <si>
    <t xml:space="preserve">BGD ACCESS SDN BHD - INV000367 - CASHLESS PARKING SOLUTION - 24/01/26-23/02/26 (30/36)</t>
  </si>
  <si>
    <t xml:space="preserve">BGD ACCESS SDN BHD - INV000374 - CASHLESS PARKING SOLUTION - 24/02/26-23/03/26 (31/36)</t>
  </si>
  <si>
    <t xml:space="preserve">BGD ACCESS SDN BHD - INV000375 - CASHLESS PARKING SOLUTION - 24/03/26-23/04/26 (32/36)</t>
  </si>
  <si>
    <t xml:space="preserve">BOOKINH.COM COMMISSION</t>
  </si>
  <si>
    <t xml:space="preserve">BOOKING.COM B.V. - INV 1647787604 - COMMISSION - JAN'26</t>
  </si>
  <si>
    <t xml:space="preserve">BOOKING.COM B.V. - INV 1650008727 - COMMISSION - FEB'26</t>
  </si>
  <si>
    <t xml:space="preserve">BOOKING.COM B.V. - INV 1651249012 - COMMISSION - MAR'26</t>
  </si>
  <si>
    <t xml:space="preserve">BOOKING.COM B.V. - INV 1653553751 - COMMISSION - APR'26</t>
  </si>
  <si>
    <t xml:space="preserve">BOOKING.COM B.V. - INV 1454291527 - COMMISSION - MAY'26</t>
  </si>
  <si>
    <t xml:space="preserve">BOOKING.COM B.V. - INV 1657323490 - COMMISSION - JUNE'26</t>
  </si>
  <si>
    <t xml:space="preserve">PROINC RESOURCES SDN BHD - DN58608 - INSURANCE - RENEWAL COMMERCIAL FIRE POLICY &amp; CON-LOSS POLICY 2026</t>
  </si>
  <si>
    <t xml:space="preserve">IT-SUPPORT SERVICES/MAINTENANCE</t>
  </si>
  <si>
    <t xml:space="preserve">SC SYSTEMS SDN BHD - SC-INV202602-016 - JANUARY 2026 - EMPLOYEE ASSIGNMENT PROJECT PROGRAM (INC SST +8%)</t>
  </si>
  <si>
    <t xml:space="preserve">SC SYSTEMS SDN BHD - SC-INV202603-013 - FEBRUARY 2026 - EMPLOYEE ASSIGNMENT PROJECT PROGRAM (INC SST +8%)</t>
  </si>
  <si>
    <t xml:space="preserve">SC SYSTEMS SDN BHD - SC-INV202604-010 - MARCH 2026 - EMPLOYEE ASSIGNMENT PROJECT PROGRAM (INC SST +8%)</t>
  </si>
  <si>
    <t xml:space="preserve">SC SYSTEMS SDN BHD - SC-INV202605-009 - APRIL 2026 - EMPLOYEE ASSIGNMENT PROJECT PROGRAM (INC SST +8%)</t>
  </si>
  <si>
    <t xml:space="preserve">SC SYSTEMS SDN BHD - SC-INV202606-008 - MAY 2026 - EMPLOYEE ASSIGNMENT PROJECT PROGRAM (INC SST +8%)</t>
  </si>
  <si>
    <t xml:space="preserve">SC SYSTEMS SDN BHD - SC-INV202607-010 - JUNE 2026 - EMPLOYEE ASSIGNMENT PROJECT PROGRAM (INC SST +8%)</t>
  </si>
  <si>
    <t xml:space="preserve">ALBATROZZ SDN BHD - AR26050002 - HOTEL ON! FAS ON! POS ON! (01/01/2026 - 30/06/2026)</t>
  </si>
  <si>
    <t xml:space="preserve">DBKL.JPPP/07731/13/2018/MK03 (2026) - LIQUOR LICENSE 01/12/25-30/11/26</t>
  </si>
  <si>
    <t xml:space="preserve">DEWAN BANDARAYA KUALA LUMPUR - 1ST HALF 2026 ASSESSMENT FEE</t>
  </si>
  <si>
    <t xml:space="preserve">PTGWPKL - QUIT RENT 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</si>
</sst>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_-* #,##0.00_-;\-* #,##0.00_-;_-* &quot;-&quot;??_-;_-@_-"/>
    <numFmt numFmtId="165" formatCode="_-&quot;RM&quot;* #,##0.00_-;\-&quot;RM&quot;* #,##0.00_-;_-&quot;RM&quot;* &quot;-&quot;??_-;_-@_-"/>
    <numFmt numFmtId="166" formatCode="#,##0.00_ ;[Red]\-#,##0.00\ "/>
    <numFmt numFmtId="167" formatCode="mmm\ yyyy"/>
    <numFmt numFmtId="168" formatCode="_-* #,##0_-;\-* #,##0_-;_-* &quot;-&quot;??_-;_-@_-"/>
    <numFmt numFmtId="169" formatCode="#,##0.00_);\(#,##0.00\)"/>
    <numFmt numFmtId="170" formatCode="#,##0.00_);[Red]\(#,##0.00\)"/>
  </numFmts>
  <fonts count="16">
    <font>
      <sz val="11.000000"/>
      <color theme="1"/>
      <name val="Calibri"/>
      <scheme val="minor"/>
    </font>
    <font>
      <sz val="10.000000"/>
      <name val="MS Sans Serif"/>
    </font>
    <font>
      <b/>
      <sz val="11.000000"/>
      <color theme="1"/>
      <name val="Bahnschrift"/>
    </font>
    <font>
      <b/>
      <sz val="20.000000"/>
      <color theme="1"/>
      <name val="Bahnschrift"/>
    </font>
    <font>
      <b/>
      <sz val="20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color theme="1"/>
      <name val="Calibri"/>
    </font>
    <font>
      <sz val="11.000000"/>
      <color theme="1"/>
      <name val="Calibri"/>
    </font>
    <font>
      <b/>
      <sz val="11.000000"/>
      <color theme="1"/>
      <name val="Calibri"/>
    </font>
    <font>
      <b/>
      <u/>
      <sz val="11.000000"/>
      <color theme="1"/>
      <name val="Calibri"/>
    </font>
    <font>
      <b/>
      <sz val="11.000000"/>
      <name val="Calibri"/>
    </font>
    <font>
      <sz val="11.000000"/>
      <name val="Calibri"/>
    </font>
    <font>
      <sz val="11.000000"/>
      <color indexed="2"/>
      <name val="Calibri"/>
      <scheme val="minor"/>
    </font>
    <font>
      <sz val="20.000000"/>
      <color theme="1"/>
      <name val="Bahnschrift"/>
    </font>
    <font>
      <b/>
      <sz val="11.000000"/>
      <color theme="0"/>
      <name val="Calibri"/>
      <scheme val="minor"/>
    </font>
    <font>
      <b/>
      <u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5" tint="0.79998168889431442"/>
      </patternFill>
    </fill>
    <fill>
      <patternFill patternType="solid">
        <fgColor theme="9"/>
      </patternFill>
    </fill>
    <fill>
      <patternFill patternType="solid">
        <fgColor rgb="FF002060"/>
      </patternFill>
    </fill>
  </fills>
  <borders count="44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</borders>
  <cellStyleXfs count="14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0" applyNumberFormat="0" applyFont="0" applyFill="0" applyBorder="0" applyProtection="0">
      <alignment vertical="center"/>
    </xf>
    <xf fontId="0" fillId="0" borderId="0" numFmtId="165" applyNumberFormat="1" applyFont="0" applyFill="0" applyBorder="0" applyProtection="0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244">
    <xf fontId="0" fillId="0" borderId="0" numFmtId="0" xfId="0"/>
    <xf fontId="0" fillId="0" borderId="0" numFmtId="166" xfId="0" applyNumberFormat="1"/>
    <xf fontId="2" fillId="2" borderId="0" numFmtId="0" xfId="0" applyFont="1" applyFill="1"/>
    <xf fontId="3" fillId="0" borderId="0" numFmtId="0" xfId="0" applyFont="1"/>
    <xf fontId="4" fillId="0" borderId="1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4" fillId="0" borderId="7" numFmtId="0" xfId="0" applyFont="1" applyBorder="1" applyAlignment="1">
      <alignment horizontal="center" vertical="center"/>
    </xf>
    <xf fontId="4" fillId="0" borderId="8" numFmtId="0" xfId="0" applyFont="1" applyBorder="1" applyAlignment="1">
      <alignment horizontal="center" vertical="center"/>
    </xf>
    <xf fontId="4" fillId="0" borderId="9" numFmtId="0" xfId="0" applyFont="1" applyBorder="1" applyAlignment="1">
      <alignment horizontal="center" vertical="center"/>
    </xf>
    <xf fontId="4" fillId="0" borderId="10" numFmtId="0" xfId="0" applyFont="1" applyBorder="1" applyAlignment="1">
      <alignment horizontal="center" vertical="center"/>
    </xf>
    <xf fontId="4" fillId="0" borderId="11" numFmtId="0" xfId="0" applyFont="1" applyBorder="1" applyAlignment="1">
      <alignment horizontal="center" vertical="center"/>
    </xf>
    <xf fontId="4" fillId="0" borderId="12" numFmtId="0" xfId="0" applyFont="1" applyBorder="1" applyAlignment="1">
      <alignment horizontal="center" vertical="center"/>
    </xf>
    <xf fontId="4" fillId="0" borderId="13" numFmtId="0" xfId="0" applyFont="1" applyBorder="1" applyAlignment="1">
      <alignment horizontal="center" vertical="center"/>
    </xf>
    <xf fontId="4" fillId="0" borderId="14" numFmtId="0" xfId="0" applyFont="1" applyBorder="1" applyAlignment="1">
      <alignment horizontal="center" vertical="center"/>
    </xf>
    <xf fontId="4" fillId="0" borderId="15" numFmtId="0" xfId="0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16" numFmtId="0" xfId="0" applyFont="1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17" numFmtId="0" xfId="0" applyBorder="1" applyAlignment="1">
      <alignment horizontal="center" vertical="center"/>
    </xf>
    <xf fontId="5" fillId="0" borderId="12" numFmtId="0" xfId="0" applyFont="1" applyBorder="1" applyAlignment="1">
      <alignment horizontal="center" vertical="center"/>
    </xf>
    <xf fontId="5" fillId="0" borderId="12" numFmtId="167" xfId="0" applyNumberFormat="1" applyFont="1" applyBorder="1" applyAlignment="1">
      <alignment horizontal="center" vertical="center"/>
    </xf>
    <xf fontId="5" fillId="3" borderId="12" numFmtId="0" xfId="0" applyFont="1" applyFill="1" applyBorder="1" applyAlignment="1">
      <alignment horizontal="center" vertical="center"/>
    </xf>
    <xf fontId="5" fillId="3" borderId="13" numFmtId="0" xfId="0" applyFont="1" applyFill="1" applyBorder="1" applyAlignment="1">
      <alignment horizontal="center" vertical="center"/>
    </xf>
    <xf fontId="5" fillId="0" borderId="18" numFmtId="167" xfId="0" applyNumberFormat="1" applyFont="1" applyBorder="1" applyAlignment="1">
      <alignment horizontal="center" vertical="center"/>
    </xf>
    <xf fontId="5" fillId="0" borderId="19" numFmtId="167" xfId="0" applyNumberFormat="1" applyFont="1" applyBorder="1" applyAlignment="1">
      <alignment horizontal="center" vertical="center"/>
    </xf>
    <xf fontId="5" fillId="0" borderId="20" numFmtId="0" xfId="0" applyFont="1" applyBorder="1" applyAlignment="1">
      <alignment horizontal="center" vertical="center"/>
    </xf>
    <xf fontId="5" fillId="0" borderId="21" numFmtId="0" xfId="0" applyFont="1" applyBorder="1" applyAlignment="1">
      <alignment horizontal="center" vertical="center"/>
    </xf>
    <xf fontId="5" fillId="0" borderId="22" numFmtId="167" xfId="0" applyNumberFormat="1" applyFont="1" applyBorder="1" applyAlignment="1">
      <alignment horizontal="center" vertical="center"/>
    </xf>
    <xf fontId="5" fillId="0" borderId="23" numFmtId="167" xfId="0" applyNumberFormat="1" applyFont="1" applyBorder="1" applyAlignment="1">
      <alignment horizontal="center" vertical="center"/>
    </xf>
    <xf fontId="5" fillId="0" borderId="24" numFmtId="0" xfId="0" applyFont="1" applyBorder="1" applyAlignment="1">
      <alignment horizontal="center" vertical="center"/>
    </xf>
    <xf fontId="0" fillId="0" borderId="17" numFmtId="0" xfId="0" applyBorder="1"/>
    <xf fontId="0" fillId="0" borderId="25" numFmtId="0" xfId="0" applyBorder="1"/>
    <xf fontId="0" fillId="3" borderId="25" numFmtId="0" xfId="0" applyFill="1" applyBorder="1"/>
    <xf fontId="0" fillId="3" borderId="26" numFmtId="0" xfId="0" applyFill="1" applyBorder="1"/>
    <xf fontId="0" fillId="0" borderId="27" numFmtId="0" xfId="0" applyBorder="1"/>
    <xf fontId="0" fillId="0" borderId="28" numFmtId="0" xfId="0" applyBorder="1"/>
    <xf fontId="0" fillId="0" borderId="29" numFmtId="0" xfId="0" applyBorder="1"/>
    <xf fontId="0" fillId="0" borderId="30" numFmtId="0" xfId="0" applyBorder="1"/>
    <xf fontId="0" fillId="0" borderId="27" numFmtId="166" xfId="0" applyNumberFormat="1" applyBorder="1"/>
    <xf fontId="0" fillId="0" borderId="31" numFmtId="0" xfId="0" applyBorder="1"/>
    <xf fontId="6" fillId="0" borderId="17" numFmtId="0" xfId="0" applyFont="1" applyBorder="1"/>
    <xf fontId="0" fillId="0" borderId="25" numFmtId="0" xfId="0" applyBorder="1" applyAlignment="1">
      <alignment horizontal="center"/>
    </xf>
    <xf fontId="0" fillId="3" borderId="25" numFmtId="0" xfId="0" applyFill="1" applyBorder="1" applyAlignment="1">
      <alignment horizontal="center"/>
    </xf>
    <xf fontId="0" fillId="3" borderId="26" numFmtId="0" xfId="0" applyFill="1" applyBorder="1" applyAlignment="1">
      <alignment horizontal="center"/>
    </xf>
    <xf fontId="0" fillId="0" borderId="26" numFmtId="0" xfId="0" applyBorder="1"/>
    <xf fontId="0" fillId="0" borderId="32" numFmtId="0" xfId="0" applyBorder="1"/>
    <xf fontId="0" fillId="0" borderId="17" numFmtId="166" xfId="0" applyNumberFormat="1" applyBorder="1"/>
    <xf fontId="0" fillId="0" borderId="33" numFmtId="0" xfId="0" applyBorder="1"/>
    <xf fontId="7" fillId="0" borderId="17" numFmtId="0" xfId="0" applyFont="1" applyBorder="1"/>
    <xf fontId="0" fillId="0" borderId="25" numFmtId="164" xfId="1" applyNumberFormat="1" applyBorder="1"/>
    <xf fontId="5" fillId="3" borderId="25" numFmtId="10" xfId="0" applyNumberFormat="1" applyFont="1" applyFill="1" applyBorder="1"/>
    <xf fontId="5" fillId="3" borderId="26" numFmtId="10" xfId="0" applyNumberFormat="1" applyFont="1" applyFill="1" applyBorder="1"/>
    <xf fontId="0" fillId="0" borderId="17" numFmtId="168" xfId="1" applyNumberFormat="1" applyBorder="1"/>
    <xf fontId="0" fillId="0" borderId="25" numFmtId="168" xfId="1" applyNumberFormat="1" applyBorder="1"/>
    <xf fontId="0" fillId="0" borderId="26" numFmtId="168" xfId="1" applyNumberFormat="1" applyBorder="1"/>
    <xf fontId="0" fillId="0" borderId="32" numFmtId="168" xfId="1" applyNumberFormat="1" applyBorder="1"/>
    <xf fontId="0" fillId="2" borderId="17" numFmtId="166" xfId="0" applyNumberFormat="1" applyFill="1" applyBorder="1"/>
    <xf fontId="0" fillId="2" borderId="25" numFmtId="166" xfId="0" applyNumberFormat="1" applyFill="1" applyBorder="1"/>
    <xf fontId="0" fillId="0" borderId="33" numFmtId="168" xfId="1" applyNumberFormat="1" applyBorder="1"/>
    <xf fontId="0" fillId="0" borderId="17" numFmtId="164" xfId="1" applyNumberFormat="1" applyBorder="1"/>
    <xf fontId="0" fillId="0" borderId="25" numFmtId="164" xfId="1" applyNumberFormat="1" applyBorder="1" applyAlignment="1">
      <alignment horizontal="center"/>
    </xf>
    <xf fontId="0" fillId="0" borderId="0" numFmtId="9" xfId="13" applyNumberFormat="1"/>
    <xf fontId="7" fillId="0" borderId="17" numFmtId="9" xfId="13" applyNumberFormat="1" applyFont="1" applyBorder="1"/>
    <xf fontId="0" fillId="0" borderId="25" numFmtId="9" xfId="13" applyNumberFormat="1" applyBorder="1"/>
    <xf fontId="0" fillId="0" borderId="25" numFmtId="10" xfId="13" applyNumberFormat="1" applyBorder="1" applyAlignment="1">
      <alignment horizontal="right"/>
    </xf>
    <xf fontId="0" fillId="0" borderId="25" numFmtId="10" xfId="13" applyNumberFormat="1" applyBorder="1"/>
    <xf fontId="0" fillId="0" borderId="17" numFmtId="10" xfId="13" applyNumberFormat="1" applyBorder="1"/>
    <xf fontId="0" fillId="0" borderId="26" numFmtId="10" xfId="13" applyNumberFormat="1" applyBorder="1"/>
    <xf fontId="0" fillId="0" borderId="32" numFmtId="10" xfId="13" applyNumberFormat="1" applyBorder="1"/>
    <xf fontId="0" fillId="0" borderId="33" numFmtId="10" xfId="13" applyNumberFormat="1" applyBorder="1"/>
    <xf fontId="0" fillId="0" borderId="25" numFmtId="166" xfId="0" applyNumberFormat="1" applyBorder="1"/>
    <xf fontId="0" fillId="0" borderId="34" numFmtId="0" xfId="0" applyBorder="1"/>
    <xf fontId="7" fillId="0" borderId="22" numFmtId="0" xfId="0" applyFont="1" applyBorder="1"/>
    <xf fontId="0" fillId="0" borderId="35" numFmtId="0" xfId="0" applyBorder="1"/>
    <xf fontId="0" fillId="0" borderId="35" numFmtId="0" xfId="0" applyBorder="1" applyAlignment="1">
      <alignment horizontal="center"/>
    </xf>
    <xf fontId="0" fillId="3" borderId="35" numFmtId="0" xfId="0" applyFill="1" applyBorder="1" applyAlignment="1">
      <alignment horizontal="center"/>
    </xf>
    <xf fontId="0" fillId="3" borderId="36" numFmtId="0" xfId="0" applyFill="1" applyBorder="1" applyAlignment="1">
      <alignment horizontal="center"/>
    </xf>
    <xf fontId="0" fillId="0" borderId="22" numFmtId="164" xfId="1" applyNumberFormat="1" applyBorder="1"/>
    <xf fontId="0" fillId="0" borderId="35" numFmtId="164" xfId="1" applyNumberFormat="1" applyBorder="1"/>
    <xf fontId="0" fillId="0" borderId="36" numFmtId="164" xfId="1" applyNumberFormat="1" applyBorder="1"/>
    <xf fontId="0" fillId="0" borderId="24" numFmtId="164" xfId="1" applyNumberFormat="1" applyBorder="1"/>
    <xf fontId="0" fillId="0" borderId="22" numFmtId="166" xfId="0" applyNumberFormat="1" applyBorder="1"/>
    <xf fontId="0" fillId="0" borderId="37" numFmtId="164" xfId="1" applyNumberFormat="1" applyBorder="1"/>
    <xf fontId="8" fillId="0" borderId="27" numFmtId="0" xfId="0" applyFont="1" applyBorder="1"/>
    <xf fontId="0" fillId="0" borderId="28" numFmtId="164" xfId="0" applyNumberFormat="1" applyBorder="1" applyAlignment="1">
      <alignment horizontal="center"/>
    </xf>
    <xf fontId="5" fillId="3" borderId="28" numFmtId="10" xfId="0" applyNumberFormat="1" applyFont="1" applyFill="1" applyBorder="1"/>
    <xf fontId="5" fillId="3" borderId="29" numFmtId="10" xfId="0" applyNumberFormat="1" applyFont="1" applyFill="1" applyBorder="1"/>
    <xf fontId="0" fillId="0" borderId="27" numFmtId="164" xfId="0" applyNumberFormat="1" applyBorder="1" applyAlignment="1">
      <alignment horizontal="center"/>
    </xf>
    <xf fontId="0" fillId="0" borderId="32" numFmtId="164" xfId="1" applyNumberFormat="1" applyBorder="1"/>
    <xf fontId="0" fillId="0" borderId="26" numFmtId="164" xfId="1" applyNumberFormat="1" applyBorder="1"/>
    <xf fontId="0" fillId="0" borderId="33" numFmtId="164" xfId="1" applyNumberFormat="1" applyBorder="1"/>
    <xf fontId="8" fillId="0" borderId="22" numFmtId="0" xfId="0" applyFont="1" applyBorder="1"/>
    <xf fontId="0" fillId="0" borderId="35" numFmtId="164" xfId="0" applyNumberFormat="1" applyBorder="1" applyAlignment="1">
      <alignment horizontal="center"/>
    </xf>
    <xf fontId="5" fillId="3" borderId="35" numFmtId="10" xfId="0" applyNumberFormat="1" applyFont="1" applyFill="1" applyBorder="1"/>
    <xf fontId="0" fillId="0" borderId="35" numFmtId="164" xfId="1" applyNumberFormat="1" applyBorder="1" applyAlignment="1">
      <alignment horizontal="center"/>
    </xf>
    <xf fontId="5" fillId="3" borderId="36" numFmtId="10" xfId="0" applyNumberFormat="1" applyFont="1" applyFill="1" applyBorder="1"/>
    <xf fontId="0" fillId="0" borderId="22" numFmtId="164" xfId="0" applyNumberFormat="1" applyBorder="1" applyAlignment="1">
      <alignment horizontal="center"/>
    </xf>
    <xf fontId="0" fillId="0" borderId="24" numFmtId="168" xfId="1" applyNumberFormat="1" applyBorder="1"/>
    <xf fontId="0" fillId="0" borderId="36" numFmtId="168" xfId="1" applyNumberFormat="1" applyBorder="1"/>
    <xf fontId="7" fillId="0" borderId="27" numFmtId="0" xfId="0" applyFont="1" applyBorder="1"/>
    <xf fontId="0" fillId="0" borderId="28" numFmtId="0" xfId="0" applyBorder="1" applyAlignment="1">
      <alignment horizontal="center"/>
    </xf>
    <xf fontId="0" fillId="3" borderId="28" numFmtId="0" xfId="0" applyFill="1" applyBorder="1" applyAlignment="1">
      <alignment horizontal="center"/>
    </xf>
    <xf fontId="0" fillId="3" borderId="29" numFmtId="0" xfId="0" applyFill="1" applyBorder="1" applyAlignment="1">
      <alignment horizontal="center"/>
    </xf>
    <xf fontId="0" fillId="0" borderId="27" numFmtId="0" xfId="0" applyBorder="1" applyAlignment="1">
      <alignment horizontal="center"/>
    </xf>
    <xf fontId="0" fillId="0" borderId="30" numFmtId="164" xfId="1" applyNumberFormat="1" applyBorder="1"/>
    <xf fontId="0" fillId="0" borderId="29" numFmtId="164" xfId="1" applyNumberFormat="1" applyBorder="1"/>
    <xf fontId="0" fillId="0" borderId="31" numFmtId="164" xfId="1" applyNumberFormat="1" applyBorder="1"/>
    <xf fontId="9" fillId="0" borderId="27" numFmtId="0" xfId="0" applyFont="1" applyBorder="1"/>
    <xf fontId="0" fillId="0" borderId="38" numFmtId="168" xfId="1" applyNumberFormat="1" applyBorder="1"/>
    <xf fontId="0" fillId="0" borderId="13" numFmtId="168" xfId="1" applyNumberFormat="1" applyBorder="1"/>
    <xf fontId="0" fillId="0" borderId="39" numFmtId="0" xfId="0" applyBorder="1"/>
    <xf fontId="8" fillId="0" borderId="18" numFmtId="0" xfId="0" applyFont="1" applyBorder="1"/>
    <xf fontId="0" fillId="0" borderId="40" numFmtId="0" xfId="0" applyBorder="1"/>
    <xf fontId="0" fillId="0" borderId="40" numFmtId="164" xfId="0" applyNumberFormat="1" applyBorder="1" applyAlignment="1">
      <alignment horizontal="center"/>
    </xf>
    <xf fontId="5" fillId="3" borderId="40" numFmtId="10" xfId="0" applyNumberFormat="1" applyFont="1" applyFill="1" applyBorder="1"/>
    <xf fontId="5" fillId="3" borderId="41" numFmtId="10" xfId="0" applyNumberFormat="1" applyFont="1" applyFill="1" applyBorder="1"/>
    <xf fontId="0" fillId="0" borderId="18" numFmtId="164" xfId="0" applyNumberFormat="1" applyBorder="1" applyAlignment="1">
      <alignment horizontal="center"/>
    </xf>
    <xf fontId="0" fillId="0" borderId="20" numFmtId="168" xfId="1" applyNumberFormat="1" applyBorder="1"/>
    <xf fontId="0" fillId="0" borderId="41" numFmtId="168" xfId="1" applyNumberFormat="1" applyBorder="1"/>
    <xf fontId="0" fillId="0" borderId="27" numFmtId="164" xfId="1" applyNumberFormat="1" applyBorder="1"/>
    <xf fontId="0" fillId="0" borderId="28" numFmtId="164" xfId="1" applyNumberFormat="1" applyBorder="1"/>
    <xf fontId="0" fillId="4" borderId="0" numFmtId="0" xfId="0" applyFill="1"/>
    <xf fontId="8" fillId="4" borderId="17" numFmtId="0" xfId="0" applyFont="1" applyFill="1" applyBorder="1"/>
    <xf fontId="0" fillId="4" borderId="25" numFmtId="0" xfId="0" applyFill="1" applyBorder="1"/>
    <xf fontId="0" fillId="4" borderId="25" numFmtId="0" xfId="0" applyFill="1" applyBorder="1" applyAlignment="1">
      <alignment horizontal="center"/>
    </xf>
    <xf fontId="0" fillId="4" borderId="26" numFmtId="0" xfId="0" applyFill="1" applyBorder="1"/>
    <xf fontId="0" fillId="4" borderId="17" numFmtId="164" xfId="1" applyNumberFormat="1" applyFill="1" applyBorder="1"/>
    <xf fontId="0" fillId="4" borderId="25" numFmtId="164" xfId="1" applyNumberFormat="1" applyFill="1" applyBorder="1"/>
    <xf fontId="0" fillId="4" borderId="26" numFmtId="164" xfId="1" applyNumberFormat="1" applyFill="1" applyBorder="1"/>
    <xf fontId="0" fillId="4" borderId="32" numFmtId="164" xfId="1" applyNumberFormat="1" applyFill="1" applyBorder="1"/>
    <xf fontId="0" fillId="4" borderId="17" numFmtId="166" xfId="0" applyNumberFormat="1" applyFill="1" applyBorder="1"/>
    <xf fontId="0" fillId="4" borderId="33" numFmtId="164" xfId="1" applyNumberFormat="1" applyFill="1" applyBorder="1"/>
    <xf fontId="8" fillId="0" borderId="17" numFmtId="0" xfId="0" applyFont="1" applyBorder="1"/>
    <xf fontId="5" fillId="2" borderId="0" numFmtId="0" xfId="0" applyFont="1" applyFill="1"/>
    <xf fontId="8" fillId="2" borderId="17" numFmtId="0" xfId="0" applyFont="1" applyFill="1" applyBorder="1" applyAlignment="1">
      <alignment horizontal="left"/>
    </xf>
    <xf fontId="5" fillId="2" borderId="25" numFmtId="0" xfId="0" applyFont="1" applyFill="1" applyBorder="1"/>
    <xf fontId="5" fillId="2" borderId="25" numFmtId="164" xfId="3" applyNumberFormat="1" applyFont="1" applyFill="1" applyBorder="1"/>
    <xf fontId="5" fillId="2" borderId="25" numFmtId="164" xfId="13" applyNumberFormat="1" applyFont="1" applyFill="1" applyBorder="1" applyAlignment="1">
      <alignment horizontal="center"/>
    </xf>
    <xf fontId="5" fillId="2" borderId="25" numFmtId="10" xfId="0" applyNumberFormat="1" applyFont="1" applyFill="1" applyBorder="1"/>
    <xf fontId="5" fillId="2" borderId="25" numFmtId="164" xfId="0" applyNumberFormat="1" applyFont="1" applyFill="1" applyBorder="1"/>
    <xf fontId="5" fillId="2" borderId="26" numFmtId="10" xfId="0" applyNumberFormat="1" applyFont="1" applyFill="1" applyBorder="1"/>
    <xf fontId="5" fillId="2" borderId="17" numFmtId="164" xfId="1" applyNumberFormat="1" applyFont="1" applyFill="1" applyBorder="1"/>
    <xf fontId="5" fillId="2" borderId="25" numFmtId="164" xfId="1" applyNumberFormat="1" applyFont="1" applyFill="1" applyBorder="1"/>
    <xf fontId="5" fillId="2" borderId="26" numFmtId="164" xfId="1" applyNumberFormat="1" applyFont="1" applyFill="1" applyBorder="1"/>
    <xf fontId="5" fillId="2" borderId="32" numFmtId="164" xfId="1" applyNumberFormat="1" applyFont="1" applyFill="1" applyBorder="1"/>
    <xf fontId="5" fillId="2" borderId="33" numFmtId="164" xfId="1" applyNumberFormat="1" applyFont="1" applyFill="1" applyBorder="1"/>
    <xf fontId="0" fillId="0" borderId="17" numFmtId="0" xfId="0" applyBorder="1" applyAlignment="1">
      <alignment horizontal="left"/>
    </xf>
    <xf fontId="0" fillId="0" borderId="25" numFmtId="164" xfId="3" applyNumberFormat="1" applyBorder="1" applyAlignment="1">
      <alignment horizontal="center"/>
    </xf>
    <xf fontId="0" fillId="0" borderId="25" numFmtId="164" xfId="13" applyNumberFormat="1" applyBorder="1" applyAlignment="1">
      <alignment horizontal="center"/>
    </xf>
    <xf fontId="0" fillId="0" borderId="25" numFmtId="164" xfId="0" applyNumberFormat="1" applyBorder="1"/>
    <xf fontId="5" fillId="3" borderId="25" numFmtId="9" xfId="0" applyNumberFormat="1" applyFont="1" applyFill="1" applyBorder="1"/>
    <xf fontId="5" fillId="3" borderId="26" numFmtId="9" xfId="0" applyNumberFormat="1" applyFont="1" applyFill="1" applyBorder="1"/>
    <xf fontId="0" fillId="0" borderId="25" numFmtId="0" xfId="11" applyBorder="1"/>
    <xf fontId="0" fillId="0" borderId="17" numFmtId="0" xfId="6" applyBorder="1"/>
    <xf fontId="5" fillId="2" borderId="17" numFmtId="0" xfId="0" applyFont="1" applyFill="1" applyBorder="1" applyAlignment="1">
      <alignment horizontal="left"/>
    </xf>
    <xf fontId="5" fillId="2" borderId="25" numFmtId="164" xfId="3" applyNumberFormat="1" applyFont="1" applyFill="1" applyBorder="1" applyAlignment="1">
      <alignment horizontal="center"/>
    </xf>
    <xf fontId="7" fillId="0" borderId="17" numFmtId="0" xfId="0" applyFont="1" applyBorder="1" applyAlignment="1">
      <alignment horizontal="left"/>
    </xf>
    <xf fontId="5" fillId="2" borderId="25" numFmtId="9" xfId="0" applyNumberFormat="1" applyFont="1" applyFill="1" applyBorder="1"/>
    <xf fontId="5" fillId="2" borderId="26" numFmtId="164" xfId="0" applyNumberFormat="1" applyFont="1" applyFill="1" applyBorder="1"/>
    <xf fontId="5" fillId="2" borderId="26" numFmtId="9" xfId="0" applyNumberFormat="1" applyFont="1" applyFill="1" applyBorder="1"/>
    <xf fontId="5" fillId="0" borderId="0" numFmtId="0" xfId="0" applyFont="1"/>
    <xf fontId="5" fillId="0" borderId="17" numFmtId="0" xfId="0" applyFont="1" applyBorder="1"/>
    <xf fontId="5" fillId="0" borderId="25" numFmtId="0" xfId="0" applyFont="1" applyBorder="1"/>
    <xf fontId="5" fillId="0" borderId="25" numFmtId="164" xfId="0" applyNumberFormat="1" applyFont="1" applyBorder="1"/>
    <xf fontId="5" fillId="0" borderId="17" numFmtId="164" xfId="1" applyNumberFormat="1" applyFont="1" applyBorder="1"/>
    <xf fontId="5" fillId="0" borderId="25" numFmtId="164" xfId="1" applyNumberFormat="1" applyFont="1" applyBorder="1"/>
    <xf fontId="5" fillId="0" borderId="26" numFmtId="164" xfId="1" applyNumberFormat="1" applyFont="1" applyBorder="1"/>
    <xf fontId="5" fillId="0" borderId="32" numFmtId="164" xfId="1" applyNumberFormat="1" applyFont="1" applyBorder="1"/>
    <xf fontId="5" fillId="0" borderId="33" numFmtId="164" xfId="1" applyNumberFormat="1" applyFont="1" applyBorder="1"/>
    <xf fontId="5" fillId="2" borderId="17" numFmtId="0" xfId="0" applyFont="1" applyFill="1" applyBorder="1"/>
    <xf fontId="10" fillId="4" borderId="0" numFmtId="0" xfId="0" applyFont="1" applyFill="1"/>
    <xf fontId="5" fillId="4" borderId="17" numFmtId="0" xfId="0" applyFont="1" applyFill="1" applyBorder="1"/>
    <xf fontId="0" fillId="4" borderId="25" numFmtId="164" xfId="0" applyNumberFormat="1" applyFill="1" applyBorder="1"/>
    <xf fontId="0" fillId="4" borderId="25" numFmtId="164" xfId="13" applyNumberFormat="1" applyFill="1" applyBorder="1" applyAlignment="1">
      <alignment horizontal="center"/>
    </xf>
    <xf fontId="5" fillId="4" borderId="25" numFmtId="10" xfId="0" applyNumberFormat="1" applyFont="1" applyFill="1" applyBorder="1"/>
    <xf fontId="5" fillId="4" borderId="26" numFmtId="10" xfId="0" applyNumberFormat="1" applyFont="1" applyFill="1" applyBorder="1"/>
    <xf fontId="5" fillId="4" borderId="17" numFmtId="164" xfId="1" applyNumberFormat="1" applyFont="1" applyFill="1" applyBorder="1"/>
    <xf fontId="5" fillId="4" borderId="25" numFmtId="164" xfId="1" applyNumberFormat="1" applyFont="1" applyFill="1" applyBorder="1"/>
    <xf fontId="5" fillId="4" borderId="26" numFmtId="164" xfId="1" applyNumberFormat="1" applyFont="1" applyFill="1" applyBorder="1"/>
    <xf fontId="5" fillId="4" borderId="32" numFmtId="164" xfId="1" applyNumberFormat="1" applyFont="1" applyFill="1" applyBorder="1"/>
    <xf fontId="5" fillId="4" borderId="33" numFmtId="164" xfId="1" applyNumberFormat="1" applyFont="1" applyFill="1" applyBorder="1"/>
    <xf fontId="10" fillId="0" borderId="0" numFmtId="0" xfId="0" applyFont="1"/>
    <xf fontId="0" fillId="0" borderId="25" numFmtId="164" xfId="0" applyNumberFormat="1" applyBorder="1" applyAlignment="1">
      <alignment horizontal="center"/>
    </xf>
    <xf fontId="8" fillId="2" borderId="17" numFmtId="0" xfId="0" applyFont="1" applyFill="1" applyBorder="1"/>
    <xf fontId="0" fillId="0" borderId="25" numFmtId="164" xfId="3" applyNumberFormat="1" applyBorder="1"/>
    <xf fontId="0" fillId="4" borderId="25" numFmtId="164" xfId="3" applyNumberFormat="1" applyFill="1" applyBorder="1"/>
    <xf fontId="5" fillId="4" borderId="0" numFmtId="0" xfId="0" applyFont="1" applyFill="1"/>
    <xf fontId="5" fillId="4" borderId="25" numFmtId="0" xfId="0" applyFont="1" applyFill="1" applyBorder="1"/>
    <xf fontId="5" fillId="4" borderId="25" numFmtId="164" xfId="0" applyNumberFormat="1" applyFont="1" applyFill="1" applyBorder="1"/>
    <xf fontId="5" fillId="4" borderId="25" numFmtId="164" xfId="0" applyNumberFormat="1" applyFont="1" applyFill="1" applyBorder="1" applyAlignment="1">
      <alignment horizontal="center"/>
    </xf>
    <xf fontId="8" fillId="0" borderId="17" numFmtId="0" xfId="0" applyFont="1" applyBorder="1" applyAlignment="1">
      <alignment horizontal="left"/>
    </xf>
    <xf fontId="11" fillId="0" borderId="0" numFmtId="0" xfId="0" applyFont="1"/>
    <xf fontId="10" fillId="2" borderId="0" numFmtId="0" xfId="0" applyFont="1" applyFill="1"/>
    <xf fontId="0" fillId="2" borderId="25" numFmtId="164" xfId="1" applyNumberFormat="1" applyFill="1" applyBorder="1"/>
    <xf fontId="5" fillId="0" borderId="25" numFmtId="164" xfId="0" applyNumberFormat="1" applyFont="1" applyBorder="1" applyAlignment="1">
      <alignment horizontal="center"/>
    </xf>
    <xf fontId="5" fillId="2" borderId="25" numFmtId="164" xfId="0" applyNumberFormat="1" applyFont="1" applyFill="1" applyBorder="1" applyAlignment="1">
      <alignment horizontal="center"/>
    </xf>
    <xf fontId="5" fillId="4" borderId="25" numFmtId="164" xfId="3" applyNumberFormat="1" applyFont="1" applyFill="1" applyBorder="1"/>
    <xf fontId="5" fillId="4" borderId="25" numFmtId="164" xfId="13" applyNumberFormat="1" applyFont="1" applyFill="1" applyBorder="1" applyAlignment="1">
      <alignment horizontal="center"/>
    </xf>
    <xf fontId="5" fillId="0" borderId="25" numFmtId="169" xfId="0" applyNumberFormat="1" applyFont="1" applyBorder="1"/>
    <xf fontId="5" fillId="0" borderId="25" numFmtId="170" xfId="0" applyNumberFormat="1" applyFont="1" applyBorder="1"/>
    <xf fontId="5" fillId="0" borderId="22" numFmtId="0" xfId="0" applyFont="1" applyBorder="1"/>
    <xf fontId="5" fillId="0" borderId="35" numFmtId="0" xfId="0" applyFont="1" applyBorder="1"/>
    <xf fontId="5" fillId="0" borderId="22" numFmtId="164" xfId="1" applyNumberFormat="1" applyFont="1" applyBorder="1"/>
    <xf fontId="5" fillId="0" borderId="35" numFmtId="164" xfId="1" applyNumberFormat="1" applyFont="1" applyBorder="1"/>
    <xf fontId="5" fillId="0" borderId="36" numFmtId="164" xfId="1" applyNumberFormat="1" applyFont="1" applyBorder="1"/>
    <xf fontId="5" fillId="0" borderId="24" numFmtId="164" xfId="1" applyNumberFormat="1" applyFont="1" applyBorder="1"/>
    <xf fontId="5" fillId="0" borderId="37" numFmtId="164" xfId="1" applyNumberFormat="1" applyFont="1" applyBorder="1"/>
    <xf fontId="0" fillId="0" borderId="42" numFmtId="10" xfId="13" applyNumberFormat="1" applyBorder="1"/>
    <xf fontId="0" fillId="0" borderId="43" numFmtId="10" xfId="13" applyNumberFormat="1" applyBorder="1"/>
    <xf fontId="0" fillId="0" borderId="0" numFmtId="0" xfId="4"/>
    <xf fontId="0" fillId="0" borderId="0" numFmtId="4" xfId="4" applyNumberFormat="1"/>
    <xf fontId="10" fillId="0" borderId="0" numFmtId="0" xfId="4" applyFont="1" applyAlignment="1">
      <alignment horizontal="center" vertical="top"/>
    </xf>
    <xf fontId="10" fillId="0" borderId="0" numFmtId="0" xfId="0" applyFont="1" applyAlignment="1">
      <alignment horizontal="center" vertical="top"/>
    </xf>
    <xf fontId="10" fillId="0" borderId="0" numFmtId="167" xfId="0" applyNumberFormat="1" applyFont="1" applyAlignment="1">
      <alignment horizontal="center" vertical="top"/>
    </xf>
    <xf fontId="10" fillId="0" borderId="0" numFmtId="4" xfId="0" applyNumberFormat="1" applyFont="1" applyAlignment="1">
      <alignment horizontal="center" vertical="top"/>
    </xf>
    <xf fontId="0" fillId="0" borderId="0" numFmtId="4" xfId="0" applyNumberFormat="1"/>
    <xf fontId="0" fillId="0" borderId="0" numFmtId="164" xfId="1" applyNumberFormat="1"/>
    <xf fontId="11" fillId="0" borderId="0" numFmtId="164" xfId="1" applyNumberFormat="1" applyFont="1"/>
    <xf fontId="10" fillId="0" borderId="0" numFmtId="164" xfId="1" applyNumberFormat="1" applyFont="1"/>
    <xf fontId="12" fillId="0" borderId="0" numFmtId="0" xfId="0" applyFont="1"/>
    <xf fontId="0" fillId="0" borderId="0" numFmtId="0" xfId="0"/>
    <xf fontId="0" fillId="0" borderId="0" numFmtId="164" xfId="4" applyNumberFormat="1"/>
    <xf fontId="0" fillId="0" borderId="0" numFmtId="0" xfId="11"/>
    <xf fontId="0" fillId="0" borderId="0" numFmtId="4" xfId="11" applyNumberFormat="1"/>
    <xf fontId="10" fillId="0" borderId="0" numFmtId="0" xfId="11" applyFont="1" applyAlignment="1">
      <alignment horizontal="center" vertical="top"/>
    </xf>
    <xf fontId="0" fillId="0" borderId="0" numFmtId="0" xfId="0" applyAlignment="1">
      <alignment horizontal="center"/>
    </xf>
    <xf fontId="0" fillId="0" borderId="9" numFmtId="0" xfId="0" applyBorder="1" applyAlignment="1">
      <alignment horizontal="center"/>
    </xf>
    <xf fontId="10" fillId="0" borderId="0" numFmtId="0" xfId="11" applyFont="1"/>
    <xf fontId="10" fillId="0" borderId="0" numFmtId="4" xfId="11" applyNumberFormat="1" applyFont="1"/>
    <xf fontId="0" fillId="0" borderId="0" numFmtId="4" xfId="12" applyNumberFormat="1"/>
    <xf fontId="10" fillId="0" borderId="0" numFmtId="4" xfId="12" applyNumberFormat="1" applyFont="1"/>
    <xf fontId="13" fillId="0" borderId="0" numFmtId="0" xfId="0" applyFont="1"/>
    <xf fontId="10" fillId="0" borderId="0" numFmtId="4" xfId="0" applyNumberFormat="1" applyFont="1"/>
    <xf fontId="12" fillId="0" borderId="0" numFmtId="4" xfId="0" applyNumberFormat="1" applyFont="1"/>
    <xf fontId="14" fillId="5" borderId="25" numFmtId="0" xfId="0" applyFont="1" applyFill="1" applyBorder="1"/>
    <xf fontId="14" fillId="5" borderId="25" numFmtId="0" xfId="0" applyFont="1" applyFill="1" applyBorder="1" applyAlignment="1">
      <alignment horizontal="center"/>
    </xf>
    <xf fontId="15" fillId="0" borderId="0" numFmtId="0" xfId="0" applyFont="1" applyAlignment="1">
      <alignment horizontal="left"/>
    </xf>
    <xf fontId="0" fillId="0" borderId="0" numFmtId="170" xfId="0" applyNumberFormat="1"/>
    <xf fontId="0" fillId="0" borderId="0" numFmtId="170" xfId="1" applyNumberFormat="1"/>
    <xf fontId="0" fillId="0" borderId="0" numFmtId="14" xfId="0" applyNumberFormat="1"/>
  </cellXfs>
  <cellStyles count="14">
    <cellStyle name="Comma" xfId="1" builtinId="3"/>
    <cellStyle name="Comma 2" xfId="2"/>
    <cellStyle name="Currency" xfId="3" builtinId="4"/>
    <cellStyle name="Normal" xfId="0" builtinId="0"/>
    <cellStyle name="Normal 10" xfId="4"/>
    <cellStyle name="Normal 2" xfId="5"/>
    <cellStyle name="Normal 3" xfId="6"/>
    <cellStyle name="Normal 4" xfId="7"/>
    <cellStyle name="Normal 5" xfId="8"/>
    <cellStyle name="Normal 6" xfId="9"/>
    <cellStyle name="Normal 7" xfId="10"/>
    <cellStyle name="Normal 8" xfId="11"/>
    <cellStyle name="Normal 9" xfId="12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view="pageBreakPreview" topLeftCell="AU1" zoomScale="70" workbookViewId="0">
      <pane ySplit="6" topLeftCell="A7" activePane="bottomLeft" state="frozen"/>
      <selection activeCell="J215" activeCellId="0" sqref="J215"/>
    </sheetView>
  </sheetViews>
  <sheetFormatPr defaultColWidth="9" defaultRowHeight="14.25" outlineLevelRow="1"/>
  <cols>
    <col customWidth="1" hidden="1" min="1" max="1" width="47.1796875"/>
    <col customWidth="1" hidden="1" min="2" max="2" width="12.81640625"/>
    <col customWidth="1" min="3" max="3" width="39.453125"/>
    <col customWidth="1" min="4" max="4" width="11.36328125"/>
    <col customWidth="1" min="5" max="6" width="15.6328125"/>
    <col customWidth="1" min="7" max="7" width="12.08984375"/>
    <col customWidth="1" min="8" max="9" width="16.81640625"/>
    <col customWidth="1" min="10" max="10" width="14.08984375"/>
    <col customWidth="1" min="11" max="12" width="16.26953125"/>
    <col customWidth="1" min="13" max="13" width="13.7265625"/>
    <col customWidth="1" min="14" max="14" width="9.08984375"/>
    <col customWidth="1" min="15" max="26" width="14.26953125"/>
    <col customWidth="1" min="27" max="27" width="14.08984375"/>
    <col customWidth="1" min="28" max="31" width="14.26953125"/>
    <col customWidth="1" min="32" max="32" width="14.08984375"/>
    <col customWidth="1" min="33" max="33" width="2.453125"/>
    <col customWidth="1" min="34" max="51" width="13.26953125"/>
    <col customWidth="1" min="52" max="52" width="2.7265625"/>
    <col customWidth="1" min="53" max="53" style="1" width="14.54296875"/>
    <col customWidth="1" min="54" max="55" width="14.54296875"/>
    <col customWidth="1" min="56" max="56" width="15.453125"/>
    <col customWidth="1" min="57" max="57" width="15.7265625"/>
    <col customWidth="1" min="58" max="58" width="14.7265625"/>
    <col customWidth="1" min="59" max="60" width="15.453125"/>
    <col customWidth="1" min="61" max="63" width="14.7265625"/>
    <col customWidth="1" min="64" max="64" width="15.453125"/>
    <col customWidth="1" min="65" max="65" width="15.08984375"/>
    <col customWidth="1" min="66" max="70" width="13.26953125"/>
  </cols>
  <sheetData>
    <row r="1">
      <c r="C1" s="2" t="s">
        <v>0</v>
      </c>
    </row>
    <row r="2" ht="24">
      <c r="C2" s="3" t="s">
        <v>1</v>
      </c>
    </row>
    <row r="3" ht="15"/>
    <row r="4" ht="25.899999999999999" customHeight="1">
      <c r="C4" s="4" t="s">
        <v>2</v>
      </c>
      <c r="D4" s="5"/>
      <c r="E4" s="5"/>
      <c r="F4" s="5"/>
      <c r="G4" s="5"/>
      <c r="H4" s="5"/>
      <c r="I4" s="5"/>
      <c r="J4" s="5"/>
      <c r="K4" s="5"/>
      <c r="L4" s="5"/>
      <c r="M4" s="6"/>
      <c r="O4" s="7" t="s">
        <v>3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9"/>
      <c r="AC4" s="9"/>
      <c r="AD4" s="9"/>
      <c r="AE4" s="9"/>
      <c r="AF4" s="10"/>
      <c r="AH4" s="4" t="s">
        <v>4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6"/>
      <c r="BA4" s="4" t="s">
        <v>5</v>
      </c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6"/>
    </row>
    <row r="5" ht="25.5" customHeight="1">
      <c r="C5" s="11"/>
      <c r="D5" s="12"/>
      <c r="E5" s="12"/>
      <c r="F5" s="12"/>
      <c r="G5" s="12"/>
      <c r="H5" s="12"/>
      <c r="I5" s="12"/>
      <c r="J5" s="12"/>
      <c r="K5" s="12"/>
      <c r="L5" s="12"/>
      <c r="M5" s="13"/>
      <c r="O5" s="14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  <c r="AB5" s="16"/>
      <c r="AC5" s="16"/>
      <c r="AD5" s="16"/>
      <c r="AE5" s="16"/>
      <c r="AF5" s="17"/>
      <c r="AH5" s="18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20"/>
      <c r="BA5" s="18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20"/>
    </row>
    <row r="6" s="21" customFormat="1" ht="14.25" customHeight="1">
      <c r="C6" s="22"/>
      <c r="D6" s="23" t="s">
        <v>6</v>
      </c>
      <c r="E6" s="24">
        <v>46174</v>
      </c>
      <c r="F6" s="24">
        <v>45809</v>
      </c>
      <c r="G6" s="25" t="s">
        <v>7</v>
      </c>
      <c r="H6" s="23" t="s">
        <v>8</v>
      </c>
      <c r="I6" s="23" t="s">
        <v>9</v>
      </c>
      <c r="J6" s="25" t="s">
        <v>7</v>
      </c>
      <c r="K6" s="23" t="s">
        <v>10</v>
      </c>
      <c r="L6" s="23" t="s">
        <v>11</v>
      </c>
      <c r="M6" s="26" t="s">
        <v>7</v>
      </c>
      <c r="O6" s="27">
        <v>45292</v>
      </c>
      <c r="P6" s="27">
        <v>45323</v>
      </c>
      <c r="Q6" s="27">
        <v>45352</v>
      </c>
      <c r="R6" s="27">
        <v>45383</v>
      </c>
      <c r="S6" s="27">
        <v>45413</v>
      </c>
      <c r="T6" s="27">
        <v>45444</v>
      </c>
      <c r="U6" s="27">
        <v>45474</v>
      </c>
      <c r="V6" s="27">
        <v>45505</v>
      </c>
      <c r="W6" s="27">
        <v>45536</v>
      </c>
      <c r="X6" s="27">
        <v>45566</v>
      </c>
      <c r="Y6" s="27">
        <v>45597</v>
      </c>
      <c r="Z6" s="28">
        <v>45627</v>
      </c>
      <c r="AA6" s="29" t="s">
        <v>12</v>
      </c>
      <c r="AB6" s="27" t="s">
        <v>13</v>
      </c>
      <c r="AC6" s="27" t="s">
        <v>14</v>
      </c>
      <c r="AD6" s="27" t="s">
        <v>15</v>
      </c>
      <c r="AE6" s="28" t="s">
        <v>16</v>
      </c>
      <c r="AF6" s="29" t="s">
        <v>12</v>
      </c>
      <c r="AH6" s="27">
        <v>45658</v>
      </c>
      <c r="AI6" s="27">
        <v>45689</v>
      </c>
      <c r="AJ6" s="27">
        <v>45717</v>
      </c>
      <c r="AK6" s="27">
        <v>45748</v>
      </c>
      <c r="AL6" s="27">
        <v>45778</v>
      </c>
      <c r="AM6" s="27">
        <v>45809</v>
      </c>
      <c r="AN6" s="27">
        <v>45839</v>
      </c>
      <c r="AO6" s="27">
        <v>45870</v>
      </c>
      <c r="AP6" s="27">
        <v>45901</v>
      </c>
      <c r="AQ6" s="27">
        <v>45931</v>
      </c>
      <c r="AR6" s="27">
        <v>45962</v>
      </c>
      <c r="AS6" s="28">
        <v>45992</v>
      </c>
      <c r="AT6" s="30" t="s">
        <v>12</v>
      </c>
      <c r="AU6" s="27" t="s">
        <v>17</v>
      </c>
      <c r="AV6" s="27" t="s">
        <v>9</v>
      </c>
      <c r="AW6" s="27" t="s">
        <v>18</v>
      </c>
      <c r="AX6" s="28" t="s">
        <v>19</v>
      </c>
      <c r="AY6" s="29" t="s">
        <v>12</v>
      </c>
      <c r="BA6" s="31">
        <v>46023</v>
      </c>
      <c r="BB6" s="31">
        <v>46054</v>
      </c>
      <c r="BC6" s="31">
        <v>46082</v>
      </c>
      <c r="BD6" s="31">
        <v>46113</v>
      </c>
      <c r="BE6" s="31">
        <v>46143</v>
      </c>
      <c r="BF6" s="31">
        <v>46174</v>
      </c>
      <c r="BG6" s="31">
        <v>46204</v>
      </c>
      <c r="BH6" s="31">
        <v>46235</v>
      </c>
      <c r="BI6" s="31">
        <v>46266</v>
      </c>
      <c r="BJ6" s="31">
        <v>46296</v>
      </c>
      <c r="BK6" s="31">
        <v>46327</v>
      </c>
      <c r="BL6" s="32">
        <v>46357</v>
      </c>
      <c r="BM6" s="33" t="s">
        <v>12</v>
      </c>
      <c r="BN6" s="31" t="s">
        <v>20</v>
      </c>
      <c r="BO6" s="31" t="s">
        <v>8</v>
      </c>
      <c r="BP6" s="31" t="s">
        <v>21</v>
      </c>
      <c r="BQ6" s="32" t="s">
        <v>22</v>
      </c>
      <c r="BR6" s="33" t="s">
        <v>12</v>
      </c>
    </row>
    <row r="7">
      <c r="C7" s="34"/>
      <c r="D7" s="35"/>
      <c r="E7" s="35"/>
      <c r="F7" s="35"/>
      <c r="G7" s="36"/>
      <c r="H7" s="35"/>
      <c r="I7" s="35"/>
      <c r="J7" s="36"/>
      <c r="K7" s="35"/>
      <c r="L7" s="35"/>
      <c r="M7" s="37"/>
      <c r="O7" s="38"/>
      <c r="P7" s="39"/>
      <c r="Q7" s="39"/>
      <c r="R7" s="39"/>
      <c r="S7" s="39"/>
      <c r="T7" s="39"/>
      <c r="U7" s="39"/>
      <c r="V7" s="39"/>
      <c r="W7" s="39"/>
      <c r="X7" s="39"/>
      <c r="Y7" s="39"/>
      <c r="Z7" s="40"/>
      <c r="AA7" s="41"/>
      <c r="AB7" s="40"/>
      <c r="AC7" s="40"/>
      <c r="AD7" s="40"/>
      <c r="AE7" s="40"/>
      <c r="AF7" s="41"/>
      <c r="AH7" s="42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43"/>
      <c r="AU7" s="40"/>
      <c r="AV7" s="40"/>
      <c r="AW7" s="40"/>
      <c r="AX7" s="40"/>
      <c r="AY7" s="41"/>
      <c r="BA7" s="42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40"/>
      <c r="BM7" s="41"/>
      <c r="BN7" s="40"/>
      <c r="BO7" s="40"/>
      <c r="BP7" s="40"/>
      <c r="BQ7" s="40"/>
      <c r="BR7" s="41"/>
    </row>
    <row r="8" ht="16.5">
      <c r="C8" s="44" t="s">
        <v>23</v>
      </c>
      <c r="D8" s="35"/>
      <c r="E8" s="45"/>
      <c r="F8" s="45"/>
      <c r="G8" s="46"/>
      <c r="H8" s="45"/>
      <c r="I8" s="45"/>
      <c r="J8" s="46"/>
      <c r="K8" s="45"/>
      <c r="L8" s="45"/>
      <c r="M8" s="47"/>
      <c r="O8" s="34"/>
      <c r="P8" s="35"/>
      <c r="Q8" s="35"/>
      <c r="R8" s="35"/>
      <c r="S8" s="35"/>
      <c r="T8" s="35"/>
      <c r="U8" s="35"/>
      <c r="V8" s="35"/>
      <c r="W8" s="35"/>
      <c r="X8" s="35"/>
      <c r="Y8" s="35"/>
      <c r="Z8" s="48"/>
      <c r="AA8" s="49"/>
      <c r="AB8" s="48"/>
      <c r="AC8" s="48"/>
      <c r="AD8" s="48"/>
      <c r="AE8" s="48"/>
      <c r="AF8" s="49"/>
      <c r="AH8" s="50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51"/>
      <c r="AU8" s="48"/>
      <c r="AV8" s="48"/>
      <c r="AW8" s="48"/>
      <c r="AX8" s="48"/>
      <c r="AY8" s="49"/>
      <c r="BA8" s="50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48"/>
      <c r="BM8" s="49"/>
      <c r="BN8" s="48"/>
      <c r="BO8" s="48"/>
      <c r="BP8" s="48"/>
      <c r="BQ8" s="48"/>
      <c r="BR8" s="49"/>
    </row>
    <row r="9">
      <c r="C9" s="34"/>
      <c r="D9" s="35"/>
      <c r="E9" s="35"/>
      <c r="F9" s="45"/>
      <c r="G9" s="36"/>
      <c r="H9" s="35"/>
      <c r="I9" s="35"/>
      <c r="J9" s="36"/>
      <c r="K9" s="35"/>
      <c r="L9" s="35"/>
      <c r="M9" s="37"/>
      <c r="O9" s="34"/>
      <c r="P9" s="35"/>
      <c r="Q9" s="35"/>
      <c r="R9" s="35"/>
      <c r="S9" s="35"/>
      <c r="T9" s="35"/>
      <c r="U9" s="35"/>
      <c r="V9" s="35"/>
      <c r="W9" s="35"/>
      <c r="X9" s="35"/>
      <c r="Y9" s="35"/>
      <c r="Z9" s="48"/>
      <c r="AA9" s="49"/>
      <c r="AB9" s="48"/>
      <c r="AC9" s="48"/>
      <c r="AD9" s="48"/>
      <c r="AE9" s="48"/>
      <c r="AF9" s="49"/>
      <c r="AH9" s="50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51"/>
      <c r="AU9" s="48"/>
      <c r="AV9" s="48"/>
      <c r="AW9" s="48"/>
      <c r="AX9" s="48"/>
      <c r="AY9" s="49"/>
      <c r="BA9" s="50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48"/>
      <c r="BM9" s="49"/>
      <c r="BN9" s="48"/>
      <c r="BO9" s="48"/>
      <c r="BP9" s="48"/>
      <c r="BQ9" s="48"/>
      <c r="BR9" s="49"/>
    </row>
    <row r="10">
      <c r="C10" s="52" t="s">
        <v>24</v>
      </c>
      <c r="D10" s="35"/>
      <c r="E10" s="53">
        <f t="shared" ref="E10:E14" si="0">SUMIF($BA$6:$BL$6,$E$6,$BA10:$BL10)</f>
        <v>4440</v>
      </c>
      <c r="F10" s="53">
        <f t="shared" ref="F10:F14" si="1">SUMIF($AH$6:$AS$6,$F$6,$AH10:$AS10)</f>
        <v>4440</v>
      </c>
      <c r="G10" s="54">
        <f t="shared" ref="G10:G29" si="2">(E10-F10)/F10</f>
        <v>0</v>
      </c>
      <c r="H10" s="53">
        <f t="shared" ref="H10:H14" si="3">SUMIF($BN$6:$BR$6,$H$6,$BN10:$BR10)</f>
        <v>13468</v>
      </c>
      <c r="I10" s="53">
        <f t="shared" ref="I10:I14" si="4">SUMIF($AU$6:$AY$6,$I$6,$AU10:$AY10)</f>
        <v>17677</v>
      </c>
      <c r="J10" s="54">
        <f t="shared" ref="J10:J29" si="5">(H10-I10)/I10</f>
        <v>-0.23810601346382304</v>
      </c>
      <c r="K10" s="53">
        <f t="shared" ref="K10:K16" si="6">BM10</f>
        <v>26788</v>
      </c>
      <c r="L10" s="53">
        <f t="shared" ref="L10:L11" si="7">SUM(AH10:AM10)</f>
        <v>37207</v>
      </c>
      <c r="M10" s="55">
        <f t="shared" ref="M10:M29" si="8">(K10-L10)/L10</f>
        <v>-0.28002795172951328</v>
      </c>
      <c r="O10" s="56">
        <v>6727</v>
      </c>
      <c r="P10" s="57">
        <v>6293</v>
      </c>
      <c r="Q10" s="57">
        <v>6727</v>
      </c>
      <c r="R10" s="57">
        <v>6510</v>
      </c>
      <c r="S10" s="57">
        <v>6727</v>
      </c>
      <c r="T10" s="57">
        <v>6510</v>
      </c>
      <c r="U10" s="57">
        <v>6727</v>
      </c>
      <c r="V10" s="57">
        <v>6727</v>
      </c>
      <c r="W10" s="57">
        <v>6510</v>
      </c>
      <c r="X10" s="57">
        <v>6727</v>
      </c>
      <c r="Y10" s="57">
        <v>6510</v>
      </c>
      <c r="Z10" s="58">
        <v>6727</v>
      </c>
      <c r="AA10" s="59">
        <f t="shared" ref="AA10:AA73" si="9">SUM(O10:Z10)</f>
        <v>79422</v>
      </c>
      <c r="AB10" s="58">
        <f t="shared" ref="AB10:AB73" si="10">SUM(O10:Q10)</f>
        <v>19747</v>
      </c>
      <c r="AC10" s="58">
        <f t="shared" ref="AC10:AC73" si="11">SUM(R10:T10)</f>
        <v>19747</v>
      </c>
      <c r="AD10" s="58">
        <f t="shared" ref="AD10:AD73" si="12">SUM(U10:W10)</f>
        <v>19964</v>
      </c>
      <c r="AE10" s="58">
        <f t="shared" ref="AE10:AE73" si="13">SUM(X10:Z10)</f>
        <v>19964</v>
      </c>
      <c r="AF10" s="59">
        <f t="shared" ref="AF10:AF73" si="14">SUM(AB10:AE10)</f>
        <v>79422</v>
      </c>
      <c r="AH10" s="60">
        <v>6727</v>
      </c>
      <c r="AI10" s="61">
        <v>6076</v>
      </c>
      <c r="AJ10" s="61">
        <v>6727</v>
      </c>
      <c r="AK10" s="61">
        <v>6510</v>
      </c>
      <c r="AL10" s="61">
        <v>6727</v>
      </c>
      <c r="AM10" s="61">
        <v>4440</v>
      </c>
      <c r="AN10" s="61">
        <v>4588</v>
      </c>
      <c r="AO10" s="61">
        <v>4588</v>
      </c>
      <c r="AP10" s="61">
        <v>4440</v>
      </c>
      <c r="AQ10" s="61">
        <v>4588</v>
      </c>
      <c r="AR10" s="61">
        <v>4440</v>
      </c>
      <c r="AS10" s="61">
        <v>1</v>
      </c>
      <c r="AT10" s="62">
        <f t="shared" ref="AT10:AT73" si="15">SUM(AH10:AS10)</f>
        <v>59852</v>
      </c>
      <c r="AU10" s="58">
        <f t="shared" ref="AU10:AU73" si="16">SUM(AH10:AJ10)</f>
        <v>19530</v>
      </c>
      <c r="AV10" s="58">
        <f t="shared" ref="AV10:AV73" si="17">SUM(AK10:AM10)</f>
        <v>17677</v>
      </c>
      <c r="AW10" s="58">
        <f t="shared" ref="AW10:AW73" si="18">SUM(AN10:AP10)</f>
        <v>13616</v>
      </c>
      <c r="AX10" s="58">
        <f t="shared" ref="AX10:AX73" si="19">SUM(AQ10:AS10)</f>
        <v>9029</v>
      </c>
      <c r="AY10" s="59">
        <f t="shared" ref="AY10:AY73" si="20">SUM(AU10:AX10)</f>
        <v>59852</v>
      </c>
      <c r="BA10" s="63">
        <v>4588</v>
      </c>
      <c r="BB10" s="53">
        <v>4144</v>
      </c>
      <c r="BC10" s="53">
        <v>4588</v>
      </c>
      <c r="BD10" s="53">
        <f>'2026'!H10</f>
        <v>4440</v>
      </c>
      <c r="BE10" s="53">
        <f>'2026'!I10</f>
        <v>4588</v>
      </c>
      <c r="BF10" s="53">
        <f>'2026'!J10</f>
        <v>4440</v>
      </c>
      <c r="BG10" s="53">
        <f>'2026'!K10</f>
        <v>0</v>
      </c>
      <c r="BH10" s="53">
        <f>'2026'!L10</f>
        <v>0</v>
      </c>
      <c r="BI10" s="53">
        <f>'2026'!M10</f>
        <v>0</v>
      </c>
      <c r="BJ10" s="53">
        <f>'2026'!N10</f>
        <v>0</v>
      </c>
      <c r="BK10" s="53">
        <f>'2026'!O10</f>
        <v>0</v>
      </c>
      <c r="BL10" s="53">
        <f>'2026'!P10</f>
        <v>0</v>
      </c>
      <c r="BM10" s="59">
        <f t="shared" ref="BM10:BM73" si="21">SUM(BA10:BL10)</f>
        <v>26788</v>
      </c>
      <c r="BN10" s="58">
        <f t="shared" ref="BN10:BN73" si="22">SUM(BA10:BC10)</f>
        <v>13320</v>
      </c>
      <c r="BO10" s="58">
        <f t="shared" ref="BO10:BO73" si="23">SUM(BD10:BF10)</f>
        <v>13468</v>
      </c>
      <c r="BP10" s="58">
        <f t="shared" ref="BP10:BP73" si="24">SUM(BG10:BI10)</f>
        <v>0</v>
      </c>
      <c r="BQ10" s="58">
        <f t="shared" ref="BQ10:BQ73" si="25">SUM(BJ10:BL10)</f>
        <v>0</v>
      </c>
      <c r="BR10" s="59">
        <f t="shared" ref="BR10:BR73" si="26">SUM(BN10:BQ10)</f>
        <v>26788</v>
      </c>
    </row>
    <row r="11">
      <c r="C11" s="52" t="s">
        <v>25</v>
      </c>
      <c r="D11" s="35"/>
      <c r="E11" s="53">
        <f t="shared" si="0"/>
        <v>2397</v>
      </c>
      <c r="F11" s="64">
        <f t="shared" si="1"/>
        <v>2193</v>
      </c>
      <c r="G11" s="54">
        <f t="shared" si="2"/>
        <v>9.3023255813953487e-02</v>
      </c>
      <c r="H11" s="53">
        <f t="shared" si="3"/>
        <v>7284</v>
      </c>
      <c r="I11" s="53">
        <f t="shared" si="4"/>
        <v>6602</v>
      </c>
      <c r="J11" s="54">
        <f t="shared" si="5"/>
        <v>0.10330202968797333</v>
      </c>
      <c r="K11" s="53">
        <f t="shared" si="6"/>
        <v>14363</v>
      </c>
      <c r="L11" s="53">
        <f t="shared" si="7"/>
        <v>13295</v>
      </c>
      <c r="M11" s="55">
        <f t="shared" si="8"/>
        <v>8.0330951485520871e-02</v>
      </c>
      <c r="O11" s="56">
        <v>1500</v>
      </c>
      <c r="P11" s="57">
        <v>2279</v>
      </c>
      <c r="Q11" s="57">
        <v>1846</v>
      </c>
      <c r="R11" s="57">
        <v>1665</v>
      </c>
      <c r="S11" s="57">
        <v>2319</v>
      </c>
      <c r="T11" s="57">
        <v>2266</v>
      </c>
      <c r="U11" s="57">
        <v>3006</v>
      </c>
      <c r="V11" s="57">
        <v>3005</v>
      </c>
      <c r="W11" s="57">
        <v>2535</v>
      </c>
      <c r="X11" s="57">
        <v>2460</v>
      </c>
      <c r="Y11" s="57">
        <v>2538</v>
      </c>
      <c r="Z11" s="58">
        <v>3117</v>
      </c>
      <c r="AA11" s="59">
        <f t="shared" si="9"/>
        <v>28536</v>
      </c>
      <c r="AB11" s="58">
        <f t="shared" si="10"/>
        <v>5625</v>
      </c>
      <c r="AC11" s="58">
        <f t="shared" si="11"/>
        <v>6250</v>
      </c>
      <c r="AD11" s="58">
        <f t="shared" si="12"/>
        <v>8546</v>
      </c>
      <c r="AE11" s="58">
        <f t="shared" si="13"/>
        <v>8115</v>
      </c>
      <c r="AF11" s="59">
        <f t="shared" si="14"/>
        <v>28536</v>
      </c>
      <c r="AH11" s="60">
        <v>2536</v>
      </c>
      <c r="AI11" s="61">
        <v>2433</v>
      </c>
      <c r="AJ11" s="61">
        <v>1724</v>
      </c>
      <c r="AK11" s="61">
        <v>2143</v>
      </c>
      <c r="AL11" s="61">
        <v>2266</v>
      </c>
      <c r="AM11" s="61">
        <v>2193</v>
      </c>
      <c r="AN11" s="61">
        <v>2158</v>
      </c>
      <c r="AO11" s="61">
        <v>2340</v>
      </c>
      <c r="AP11" s="61">
        <v>2147</v>
      </c>
      <c r="AQ11" s="61">
        <v>1646</v>
      </c>
      <c r="AR11" s="61">
        <v>1746</v>
      </c>
      <c r="AS11" s="61">
        <v>1</v>
      </c>
      <c r="AT11" s="62">
        <f t="shared" si="15"/>
        <v>23333</v>
      </c>
      <c r="AU11" s="58">
        <f t="shared" si="16"/>
        <v>6693</v>
      </c>
      <c r="AV11" s="58">
        <f t="shared" si="17"/>
        <v>6602</v>
      </c>
      <c r="AW11" s="58">
        <f t="shared" si="18"/>
        <v>6645</v>
      </c>
      <c r="AX11" s="58">
        <f t="shared" si="19"/>
        <v>3393</v>
      </c>
      <c r="AY11" s="59">
        <f t="shared" si="20"/>
        <v>23333</v>
      </c>
      <c r="BA11" s="63">
        <v>2681</v>
      </c>
      <c r="BB11" s="53">
        <v>2313</v>
      </c>
      <c r="BC11" s="53">
        <v>2085</v>
      </c>
      <c r="BD11" s="53">
        <f>'2026'!H11</f>
        <v>2418</v>
      </c>
      <c r="BE11" s="53">
        <f>'2026'!I11</f>
        <v>2469</v>
      </c>
      <c r="BF11" s="53">
        <f>'2026'!J11</f>
        <v>2397</v>
      </c>
      <c r="BG11" s="53">
        <f>'2026'!K11</f>
        <v>0</v>
      </c>
      <c r="BH11" s="53">
        <f>'2026'!L11</f>
        <v>0</v>
      </c>
      <c r="BI11" s="53">
        <f>'2026'!M11</f>
        <v>0</v>
      </c>
      <c r="BJ11" s="53">
        <f>'2026'!N11</f>
        <v>0</v>
      </c>
      <c r="BK11" s="53">
        <f>'2026'!O11</f>
        <v>0</v>
      </c>
      <c r="BL11" s="53">
        <f>'2026'!P11</f>
        <v>0</v>
      </c>
      <c r="BM11" s="59">
        <f t="shared" si="21"/>
        <v>14363</v>
      </c>
      <c r="BN11" s="58">
        <f t="shared" si="22"/>
        <v>7079</v>
      </c>
      <c r="BO11" s="58">
        <f t="shared" si="23"/>
        <v>7284</v>
      </c>
      <c r="BP11" s="58">
        <f t="shared" si="24"/>
        <v>0</v>
      </c>
      <c r="BQ11" s="58">
        <f t="shared" si="25"/>
        <v>0</v>
      </c>
      <c r="BR11" s="59">
        <f t="shared" si="26"/>
        <v>14363</v>
      </c>
    </row>
    <row r="12" s="65" customFormat="1">
      <c r="C12" s="66" t="s">
        <v>26</v>
      </c>
      <c r="D12" s="67"/>
      <c r="E12" s="68">
        <f t="shared" si="0"/>
        <v>0.53986486486486485</v>
      </c>
      <c r="F12" s="68">
        <f t="shared" si="1"/>
        <v>0.49391891891891893</v>
      </c>
      <c r="G12" s="54">
        <f t="shared" si="2"/>
        <v>9.3023255813953432e-02</v>
      </c>
      <c r="H12" s="68">
        <f t="shared" si="3"/>
        <v>0.54083754083754088</v>
      </c>
      <c r="I12" s="68">
        <f t="shared" si="4"/>
        <v>0.37347966283871697</v>
      </c>
      <c r="J12" s="54">
        <f t="shared" si="5"/>
        <v>0.44810439402987129</v>
      </c>
      <c r="K12" s="69">
        <f t="shared" si="6"/>
        <v>0.53617291324473648</v>
      </c>
      <c r="L12" s="69">
        <f>L11/L10</f>
        <v>0.35732523449888459</v>
      </c>
      <c r="M12" s="55">
        <f t="shared" si="8"/>
        <v>0.50051790771695459</v>
      </c>
      <c r="N12" s="65"/>
      <c r="O12" s="70">
        <f>O11/O10</f>
        <v>0.22298201278430207</v>
      </c>
      <c r="P12" s="69">
        <f t="shared" ref="P12:Z12" si="27">P11/P10</f>
        <v>0.36214841887811855</v>
      </c>
      <c r="Q12" s="69">
        <f t="shared" si="27"/>
        <v>0.27441653039988106</v>
      </c>
      <c r="R12" s="69">
        <f t="shared" si="27"/>
        <v>0.25576036866359447</v>
      </c>
      <c r="S12" s="69">
        <f t="shared" si="27"/>
        <v>0.34473019176453101</v>
      </c>
      <c r="T12" s="69">
        <f t="shared" si="27"/>
        <v>0.34807987711213517</v>
      </c>
      <c r="U12" s="69">
        <f t="shared" si="27"/>
        <v>0.44685595361974134</v>
      </c>
      <c r="V12" s="69">
        <f t="shared" si="27"/>
        <v>0.4467072989445518</v>
      </c>
      <c r="W12" s="69">
        <f t="shared" si="27"/>
        <v>0.38940092165898615</v>
      </c>
      <c r="X12" s="69">
        <f t="shared" si="27"/>
        <v>0.36569050096625538</v>
      </c>
      <c r="Y12" s="69">
        <f t="shared" si="27"/>
        <v>0.38986175115207372</v>
      </c>
      <c r="Z12" s="71">
        <f t="shared" si="27"/>
        <v>0.4633566225657797</v>
      </c>
      <c r="AA12" s="72">
        <f t="shared" si="9"/>
        <v>4.3099904485099501</v>
      </c>
      <c r="AB12" s="71">
        <f>AB11/AB10</f>
        <v>0.28485339545247379</v>
      </c>
      <c r="AC12" s="71">
        <f t="shared" ref="AC12:AF12" si="28">AC11/AC10</f>
        <v>0.31650377272497088</v>
      </c>
      <c r="AD12" s="71">
        <f t="shared" si="28"/>
        <v>0.42807052694850733</v>
      </c>
      <c r="AE12" s="71">
        <f t="shared" si="28"/>
        <v>0.40648166700060107</v>
      </c>
      <c r="AF12" s="73">
        <f t="shared" si="28"/>
        <v>0.35929591297121705</v>
      </c>
      <c r="AG12" s="65"/>
      <c r="AH12" s="70">
        <f>AH11/AH10</f>
        <v>0.37698825628066002</v>
      </c>
      <c r="AI12" s="69">
        <f>AI11/AI10</f>
        <v>0.40042791310072418</v>
      </c>
      <c r="AJ12" s="69">
        <f>AJ11/AJ10</f>
        <v>0.25628066002675787</v>
      </c>
      <c r="AK12" s="69">
        <f>AK11/AK10</f>
        <v>0.32918586789554533</v>
      </c>
      <c r="AL12" s="69">
        <f>AL11/AL10</f>
        <v>0.33685149397948566</v>
      </c>
      <c r="AM12" s="69">
        <f>AM11/AM10</f>
        <v>0.49391891891891893</v>
      </c>
      <c r="AN12" s="69">
        <f>AN11/AN10</f>
        <v>0.47035745422842196</v>
      </c>
      <c r="AO12" s="69">
        <f>AO11/AO10</f>
        <v>0.51002615518744554</v>
      </c>
      <c r="AP12" s="69">
        <f>AP11/AP10</f>
        <v>0.48355855855855856</v>
      </c>
      <c r="AQ12" s="69">
        <f>AQ11/AQ10</f>
        <v>0.35876198779424584</v>
      </c>
      <c r="AR12" s="69">
        <f>AR11/AR10</f>
        <v>0.39324324324324322</v>
      </c>
      <c r="AS12" s="69">
        <f>AS11/AS10</f>
        <v>1</v>
      </c>
      <c r="AT12" s="73">
        <f t="shared" si="15"/>
        <v>5.4096005092140071</v>
      </c>
      <c r="AU12" s="71">
        <f>AU11/AU10</f>
        <v>0.34270353302611367</v>
      </c>
      <c r="AV12" s="71">
        <f>AV11/AV10</f>
        <v>0.37347966283871697</v>
      </c>
      <c r="AW12" s="71">
        <f>AW11/AW10</f>
        <v>0.48802878965922442</v>
      </c>
      <c r="AX12" s="71">
        <f>AX11/AX10</f>
        <v>0.3757891239339905</v>
      </c>
      <c r="AY12" s="72">
        <f>AY11/AY10</f>
        <v>0.38984495087883447</v>
      </c>
      <c r="AZ12" s="65"/>
      <c r="BA12" s="70">
        <f>BA11/BA10</f>
        <v>0.58435047951176988</v>
      </c>
      <c r="BB12" s="69">
        <f>BB11/BB10</f>
        <v>0.55815637065637069</v>
      </c>
      <c r="BC12" s="69">
        <f>BC11/BC10</f>
        <v>0.45444638186573671</v>
      </c>
      <c r="BD12" s="69">
        <f>'2026'!H12</f>
        <v>0.54459459459459458</v>
      </c>
      <c r="BE12" s="69">
        <f>'2026'!I12</f>
        <v>0.53814298169136876</v>
      </c>
      <c r="BF12" s="69">
        <f>'2026'!J12</f>
        <v>0.53986486486486485</v>
      </c>
      <c r="BG12" s="69">
        <f>'2026'!K12</f>
        <v>0</v>
      </c>
      <c r="BH12" s="69">
        <f>'2026'!L12</f>
        <v>0</v>
      </c>
      <c r="BI12" s="69">
        <f>'2026'!M12</f>
        <v>0</v>
      </c>
      <c r="BJ12" s="69">
        <f>'2026'!N12</f>
        <v>0</v>
      </c>
      <c r="BK12" s="69">
        <f>'2026'!O12</f>
        <v>0</v>
      </c>
      <c r="BL12" s="69">
        <f>'2026'!P12</f>
        <v>0</v>
      </c>
      <c r="BM12" s="73">
        <f>BM11/BM10</f>
        <v>0.53617291324473648</v>
      </c>
      <c r="BN12" s="71">
        <f>BN11/BN10</f>
        <v>0.53145645645645645</v>
      </c>
      <c r="BO12" s="71">
        <f>BO11/BO10</f>
        <v>0.54083754083754088</v>
      </c>
      <c r="BP12" s="71"/>
      <c r="BQ12" s="71"/>
      <c r="BR12" s="72">
        <f>BR11/BR10</f>
        <v>0.53617291324473648</v>
      </c>
      <c r="BS12" s="65"/>
    </row>
    <row r="13">
      <c r="C13" s="52" t="s">
        <v>27</v>
      </c>
      <c r="D13" s="35"/>
      <c r="E13" s="53">
        <f t="shared" si="0"/>
        <v>153.362131831456</v>
      </c>
      <c r="F13" s="64">
        <f t="shared" si="1"/>
        <v>147.000227998176</v>
      </c>
      <c r="G13" s="54">
        <f t="shared" si="2"/>
        <v>4.3278190244432378e-02</v>
      </c>
      <c r="H13" s="53">
        <f t="shared" si="3"/>
        <v>466.64773039005911</v>
      </c>
      <c r="I13" s="53">
        <f t="shared" si="4"/>
        <v>440.69976219045373</v>
      </c>
      <c r="J13" s="54">
        <f t="shared" si="5"/>
        <v>5.8879015660534113e-02</v>
      </c>
      <c r="K13" s="53">
        <f t="shared" si="6"/>
        <v>938.3814713683264</v>
      </c>
      <c r="L13" s="53">
        <f t="shared" ref="L13:L16" si="29">SUM(AH13:AM13)</f>
        <v>882.6377025083641</v>
      </c>
      <c r="M13" s="55">
        <f t="shared" si="8"/>
        <v>6.3155889105512189e-02</v>
      </c>
      <c r="O13" s="56">
        <v>132.20000666666701</v>
      </c>
      <c r="P13" s="57">
        <v>135.93266344888099</v>
      </c>
      <c r="Q13" s="57">
        <v>140.73535752979399</v>
      </c>
      <c r="R13" s="57">
        <v>139.35417417417401</v>
      </c>
      <c r="S13" s="57">
        <v>142.53888745148799</v>
      </c>
      <c r="T13" s="57">
        <v>139.043389232127</v>
      </c>
      <c r="U13" s="57">
        <v>137.756869594145</v>
      </c>
      <c r="V13" s="57">
        <v>137.87401663893499</v>
      </c>
      <c r="W13" s="57">
        <v>143.76784615384599</v>
      </c>
      <c r="X13" s="57">
        <v>140.60951219512199</v>
      </c>
      <c r="Y13" s="57">
        <v>140.50317178880999</v>
      </c>
      <c r="Z13" s="58">
        <v>153.242319538017</v>
      </c>
      <c r="AA13" s="59">
        <f t="shared" si="9"/>
        <v>1683.558214412006</v>
      </c>
      <c r="AB13" s="58">
        <f t="shared" si="10"/>
        <v>408.86802764534195</v>
      </c>
      <c r="AC13" s="58">
        <f t="shared" si="11"/>
        <v>420.93645085778894</v>
      </c>
      <c r="AD13" s="58">
        <f t="shared" si="12"/>
        <v>419.39873238692599</v>
      </c>
      <c r="AE13" s="58">
        <f t="shared" si="13"/>
        <v>434.35500352194902</v>
      </c>
      <c r="AF13" s="59">
        <f t="shared" si="14"/>
        <v>1683.5582144120058</v>
      </c>
      <c r="AH13" s="50">
        <f t="shared" ref="AH13:AS13" si="30">SUM(AH28:AH29)/AH11</f>
        <v>148.26769321766562</v>
      </c>
      <c r="AI13" s="74">
        <f t="shared" si="30"/>
        <v>148.44626798191533</v>
      </c>
      <c r="AJ13" s="74">
        <f t="shared" si="30"/>
        <v>145.22397911832945</v>
      </c>
      <c r="AK13" s="74">
        <f t="shared" si="30"/>
        <v>146.03930471301913</v>
      </c>
      <c r="AL13" s="74">
        <f t="shared" si="30"/>
        <v>147.66022947925862</v>
      </c>
      <c r="AM13" s="74">
        <f t="shared" si="30"/>
        <v>147.000227998176</v>
      </c>
      <c r="AN13" s="74">
        <f t="shared" si="30"/>
        <v>144.92735403151065</v>
      </c>
      <c r="AO13" s="74">
        <f t="shared" si="30"/>
        <v>150.9178205128205</v>
      </c>
      <c r="AP13" s="74">
        <f t="shared" si="30"/>
        <v>155.32154634373543</v>
      </c>
      <c r="AQ13" s="74">
        <f t="shared" si="30"/>
        <v>145.19212636695016</v>
      </c>
      <c r="AR13" s="74">
        <f t="shared" si="30"/>
        <v>150.03879725085909</v>
      </c>
      <c r="AS13" s="74">
        <f t="shared" si="30"/>
        <v>460827.59000000003</v>
      </c>
      <c r="AT13" s="62">
        <f t="shared" si="15"/>
        <v>462456.62534701428</v>
      </c>
      <c r="AU13" s="58">
        <f t="shared" si="16"/>
        <v>441.93794031791037</v>
      </c>
      <c r="AV13" s="58">
        <f t="shared" si="17"/>
        <v>440.69976219045373</v>
      </c>
      <c r="AW13" s="58">
        <f t="shared" si="18"/>
        <v>451.16672088806661</v>
      </c>
      <c r="AX13" s="58">
        <f t="shared" si="19"/>
        <v>461122.82092361781</v>
      </c>
      <c r="AY13" s="59">
        <f t="shared" si="20"/>
        <v>462456.62534701423</v>
      </c>
      <c r="BA13" s="63">
        <f>SUM(BA28:BA29)/BA11</f>
        <v>157.11885117493472</v>
      </c>
      <c r="BB13" s="53">
        <f>SUM(BB28:BB29)/BB11</f>
        <v>160.27401210549073</v>
      </c>
      <c r="BC13" s="53">
        <f>SUM(BC28:BC29)/BC11</f>
        <v>154.34087769784173</v>
      </c>
      <c r="BD13" s="53">
        <f>'2026'!H13</f>
        <v>152.50554590570721</v>
      </c>
      <c r="BE13" s="53">
        <f>'2026'!I13</f>
        <v>160.7800526528959</v>
      </c>
      <c r="BF13" s="53">
        <f>'2026'!J13</f>
        <v>153.362131831456</v>
      </c>
      <c r="BG13" s="53">
        <f>'2026'!K13</f>
        <v>0</v>
      </c>
      <c r="BH13" s="53">
        <f>'2026'!L13</f>
        <v>0</v>
      </c>
      <c r="BI13" s="53">
        <f>'2026'!M13</f>
        <v>0</v>
      </c>
      <c r="BJ13" s="53">
        <f>'2026'!N13</f>
        <v>0</v>
      </c>
      <c r="BK13" s="53">
        <f>'2026'!O13</f>
        <v>0</v>
      </c>
      <c r="BL13" s="53">
        <f>'2026'!P13</f>
        <v>0</v>
      </c>
      <c r="BM13" s="59">
        <f t="shared" si="21"/>
        <v>938.3814713683264</v>
      </c>
      <c r="BN13" s="58">
        <f t="shared" si="22"/>
        <v>471.73374097826718</v>
      </c>
      <c r="BO13" s="58">
        <f t="shared" si="23"/>
        <v>466.64773039005911</v>
      </c>
      <c r="BP13" s="58">
        <f t="shared" si="24"/>
        <v>0</v>
      </c>
      <c r="BQ13" s="58">
        <f t="shared" si="25"/>
        <v>0</v>
      </c>
      <c r="BR13" s="59">
        <f t="shared" si="26"/>
        <v>938.38147136832629</v>
      </c>
    </row>
    <row r="14">
      <c r="C14" s="52" t="s">
        <v>28</v>
      </c>
      <c r="D14" s="35"/>
      <c r="E14" s="53">
        <f t="shared" si="0"/>
        <v>82.794826576576583</v>
      </c>
      <c r="F14" s="64">
        <f t="shared" si="1"/>
        <v>72.606193693693683</v>
      </c>
      <c r="G14" s="54">
        <f t="shared" si="2"/>
        <v>0.14032732422065872</v>
      </c>
      <c r="H14" s="53">
        <f t="shared" si="3"/>
        <v>252.37117945364722</v>
      </c>
      <c r="I14" s="53">
        <f t="shared" si="4"/>
        <v>170.41983786395284</v>
      </c>
      <c r="J14" s="54">
        <f t="shared" si="5"/>
        <v>0.48087911957243273</v>
      </c>
      <c r="K14" s="53">
        <f t="shared" si="6"/>
        <v>503.78126982916103</v>
      </c>
      <c r="L14" s="53">
        <f t="shared" si="29"/>
        <v>322.97514350858324</v>
      </c>
      <c r="M14" s="55">
        <f t="shared" si="8"/>
        <v>0.55981436947878549</v>
      </c>
      <c r="O14" s="56">
        <v>29.4782235766315</v>
      </c>
      <c r="P14" s="57">
        <v>49.227799141903702</v>
      </c>
      <c r="Q14" s="57">
        <v>38.620108517912897</v>
      </c>
      <c r="R14" s="57">
        <v>35.641274961597503</v>
      </c>
      <c r="S14" s="57">
        <v>49.137458005054299</v>
      </c>
      <c r="T14" s="57">
        <v>48.398205837173599</v>
      </c>
      <c r="U14" s="57">
        <v>61.557477330162001</v>
      </c>
      <c r="V14" s="57">
        <v>61.5893295674149</v>
      </c>
      <c r="W14" s="57">
        <v>55.983331797235003</v>
      </c>
      <c r="X14" s="57">
        <v>51.419562955254897</v>
      </c>
      <c r="Y14" s="57">
        <v>54.776812596006103</v>
      </c>
      <c r="Z14" s="58">
        <v>71.005843615281705</v>
      </c>
      <c r="AA14" s="59">
        <f t="shared" si="9"/>
        <v>606.83542790162812</v>
      </c>
      <c r="AB14" s="58">
        <f t="shared" si="10"/>
        <v>117.32613123644809</v>
      </c>
      <c r="AC14" s="58">
        <f t="shared" si="11"/>
        <v>133.17693880382541</v>
      </c>
      <c r="AD14" s="58">
        <f t="shared" si="12"/>
        <v>179.1301386948119</v>
      </c>
      <c r="AE14" s="58">
        <f t="shared" si="13"/>
        <v>177.2022191665427</v>
      </c>
      <c r="AF14" s="59">
        <f t="shared" si="14"/>
        <v>606.83542790162812</v>
      </c>
      <c r="AH14" s="50">
        <f>(AH11/AH10)*AH13</f>
        <v>55.895179128883605</v>
      </c>
      <c r="AI14" s="74">
        <f t="shared" ref="AI14:AS14" si="31">(AI11/AI10)*AI13</f>
        <v>59.442029295589201</v>
      </c>
      <c r="AJ14" s="74">
        <f t="shared" si="31"/>
        <v>37.218097220157574</v>
      </c>
      <c r="AK14" s="74">
        <f t="shared" si="31"/>
        <v>48.074075268817204</v>
      </c>
      <c r="AL14" s="74">
        <f t="shared" si="31"/>
        <v>49.739568901441956</v>
      </c>
      <c r="AM14" s="74">
        <f t="shared" si="31"/>
        <v>72.606193693693683</v>
      </c>
      <c r="AN14" s="74">
        <f t="shared" si="31"/>
        <v>68.16766129032257</v>
      </c>
      <c r="AO14" s="74">
        <f t="shared" si="31"/>
        <v>76.972035745422843</v>
      </c>
      <c r="AP14" s="74">
        <f t="shared" si="31"/>
        <v>75.107063063063052</v>
      </c>
      <c r="AQ14" s="74">
        <f t="shared" si="31"/>
        <v>52.089415867480376</v>
      </c>
      <c r="AR14" s="74">
        <f t="shared" si="31"/>
        <v>59.001743243243233</v>
      </c>
      <c r="AS14" s="74">
        <f t="shared" si="31"/>
        <v>460827.59000000003</v>
      </c>
      <c r="AT14" s="62">
        <f t="shared" si="15"/>
        <v>461481.90306271816</v>
      </c>
      <c r="AU14" s="58">
        <f t="shared" si="16"/>
        <v>152.55530564463038</v>
      </c>
      <c r="AV14" s="58">
        <f t="shared" si="17"/>
        <v>170.41983786395284</v>
      </c>
      <c r="AW14" s="58">
        <f t="shared" si="18"/>
        <v>220.24676009880847</v>
      </c>
      <c r="AX14" s="58">
        <f t="shared" si="19"/>
        <v>460938.68115911074</v>
      </c>
      <c r="AY14" s="59">
        <f t="shared" si="20"/>
        <v>461481.90306271811</v>
      </c>
      <c r="BA14" s="63">
        <f>(BA11/BA10)*BA13</f>
        <v>91.812476024411509</v>
      </c>
      <c r="BB14" s="53">
        <f t="shared" ref="BB14:BC14" si="32">(BB11/BB10)*BB13</f>
        <v>89.457960907335931</v>
      </c>
      <c r="BC14" s="53">
        <f t="shared" si="32"/>
        <v>70.139653443766349</v>
      </c>
      <c r="BD14" s="53">
        <f>'2026'!H14</f>
        <v>83.053695945945947</v>
      </c>
      <c r="BE14" s="53">
        <f>'2026'!I14</f>
        <v>86.522656931124672</v>
      </c>
      <c r="BF14" s="53">
        <f>'2026'!J14</f>
        <v>82.794826576576583</v>
      </c>
      <c r="BG14" s="53">
        <f>'2026'!K14</f>
        <v>0</v>
      </c>
      <c r="BH14" s="53">
        <f>'2026'!L14</f>
        <v>0</v>
      </c>
      <c r="BI14" s="53">
        <f>'2026'!M14</f>
        <v>0</v>
      </c>
      <c r="BJ14" s="53">
        <f>'2026'!N14</f>
        <v>0</v>
      </c>
      <c r="BK14" s="53">
        <f>'2026'!O14</f>
        <v>0</v>
      </c>
      <c r="BL14" s="53">
        <f>'2026'!P14</f>
        <v>0</v>
      </c>
      <c r="BM14" s="59">
        <f t="shared" si="21"/>
        <v>503.78126982916103</v>
      </c>
      <c r="BN14" s="58">
        <f t="shared" si="22"/>
        <v>251.41009037551379</v>
      </c>
      <c r="BO14" s="58">
        <f t="shared" si="23"/>
        <v>252.37117945364722</v>
      </c>
      <c r="BP14" s="58">
        <f t="shared" si="24"/>
        <v>0</v>
      </c>
      <c r="BQ14" s="58">
        <f t="shared" si="25"/>
        <v>0</v>
      </c>
      <c r="BR14" s="59">
        <f t="shared" si="26"/>
        <v>503.78126982916103</v>
      </c>
    </row>
    <row r="15" s="75" customFormat="1" ht="15">
      <c r="C15" s="76"/>
      <c r="D15" s="77"/>
      <c r="E15" s="78"/>
      <c r="F15" s="78"/>
      <c r="G15" s="79"/>
      <c r="H15" s="78"/>
      <c r="I15" s="78"/>
      <c r="J15" s="79"/>
      <c r="K15" s="78"/>
      <c r="L15" s="78"/>
      <c r="M15" s="80"/>
      <c r="N15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3"/>
      <c r="AA15" s="84"/>
      <c r="AB15" s="83">
        <f t="shared" si="10"/>
        <v>0</v>
      </c>
      <c r="AC15" s="83">
        <f t="shared" si="11"/>
        <v>0</v>
      </c>
      <c r="AD15" s="83">
        <f t="shared" si="12"/>
        <v>0</v>
      </c>
      <c r="AE15" s="83">
        <f t="shared" si="13"/>
        <v>0</v>
      </c>
      <c r="AF15" s="84"/>
      <c r="AG15"/>
      <c r="AH15" s="85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86"/>
      <c r="AU15" s="83">
        <f t="shared" si="16"/>
        <v>0</v>
      </c>
      <c r="AV15" s="83">
        <f t="shared" si="17"/>
        <v>0</v>
      </c>
      <c r="AW15" s="83">
        <f t="shared" si="18"/>
        <v>0</v>
      </c>
      <c r="AX15" s="83">
        <f t="shared" si="19"/>
        <v>0</v>
      </c>
      <c r="AY15" s="84"/>
      <c r="AZ15"/>
      <c r="BA15" s="81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3"/>
      <c r="BM15" s="84"/>
      <c r="BN15" s="83">
        <f t="shared" si="22"/>
        <v>0</v>
      </c>
      <c r="BO15" s="83">
        <f t="shared" si="23"/>
        <v>0</v>
      </c>
      <c r="BP15" s="83">
        <f t="shared" si="24"/>
        <v>0</v>
      </c>
      <c r="BQ15" s="83">
        <f t="shared" si="25"/>
        <v>0</v>
      </c>
      <c r="BR15" s="84"/>
      <c r="BS15"/>
    </row>
    <row r="16">
      <c r="C16" s="87" t="s">
        <v>29</v>
      </c>
      <c r="D16" s="39"/>
      <c r="E16" s="88">
        <f>E108+E221</f>
        <v>587454.79000000004</v>
      </c>
      <c r="F16" s="88">
        <f>F108+F221</f>
        <v>459903.73000000004</v>
      </c>
      <c r="G16" s="89">
        <f t="shared" si="2"/>
        <v>0.27734295610083437</v>
      </c>
      <c r="H16" s="88">
        <f>H108+H221</f>
        <v>1747555.03</v>
      </c>
      <c r="I16" s="88">
        <f>I108+I221</f>
        <v>1431383.3300000001</v>
      </c>
      <c r="J16" s="89">
        <f t="shared" si="5"/>
        <v>0.22088541439140549</v>
      </c>
      <c r="K16" s="53">
        <f t="shared" si="6"/>
        <v>3760105.1699999999</v>
      </c>
      <c r="L16" s="53">
        <f t="shared" si="29"/>
        <v>3130998.7199999997</v>
      </c>
      <c r="M16" s="90">
        <f t="shared" si="8"/>
        <v>0.20092836384168189</v>
      </c>
      <c r="O16" s="91">
        <f t="shared" ref="O16:Z16" si="33">O108+O221</f>
        <v>644636.48999999999</v>
      </c>
      <c r="P16" s="88">
        <f t="shared" si="33"/>
        <v>483942.80999999994</v>
      </c>
      <c r="Q16" s="88">
        <f t="shared" si="33"/>
        <v>586857.15000000002</v>
      </c>
      <c r="R16" s="88">
        <f t="shared" si="33"/>
        <v>494401</v>
      </c>
      <c r="S16" s="88">
        <f t="shared" si="33"/>
        <v>563988.35999999999</v>
      </c>
      <c r="T16" s="88">
        <f t="shared" si="33"/>
        <v>531323.94999999995</v>
      </c>
      <c r="U16" s="88">
        <f t="shared" si="33"/>
        <v>767245.55000000005</v>
      </c>
      <c r="V16" s="88">
        <f t="shared" si="33"/>
        <v>690800.38</v>
      </c>
      <c r="W16" s="88">
        <f t="shared" si="33"/>
        <v>524095.96999999997</v>
      </c>
      <c r="X16" s="88">
        <f t="shared" si="33"/>
        <v>541861.98999999999</v>
      </c>
      <c r="Y16" s="88">
        <f t="shared" si="33"/>
        <v>533356.21999999997</v>
      </c>
      <c r="Z16" s="88">
        <f t="shared" si="33"/>
        <v>575262.78000000003</v>
      </c>
      <c r="AA16" s="92">
        <f t="shared" si="9"/>
        <v>6937772.6499999994</v>
      </c>
      <c r="AB16" s="93">
        <f t="shared" si="10"/>
        <v>1715436.4499999997</v>
      </c>
      <c r="AC16" s="93">
        <f t="shared" si="11"/>
        <v>1589713.3099999998</v>
      </c>
      <c r="AD16" s="93">
        <f t="shared" si="12"/>
        <v>1982141.9000000001</v>
      </c>
      <c r="AE16" s="93">
        <f t="shared" si="13"/>
        <v>1650480.99</v>
      </c>
      <c r="AF16" s="92">
        <f t="shared" si="14"/>
        <v>6937772.6500000004</v>
      </c>
      <c r="AH16" s="91">
        <f t="shared" ref="AH16:AS16" si="34">AH108+AH221</f>
        <v>682120.08999999997</v>
      </c>
      <c r="AI16" s="88">
        <f t="shared" si="34"/>
        <v>513180.29999999999</v>
      </c>
      <c r="AJ16" s="88">
        <f t="shared" si="34"/>
        <v>504315</v>
      </c>
      <c r="AK16" s="88">
        <f t="shared" si="34"/>
        <v>458222.32000000001</v>
      </c>
      <c r="AL16" s="88">
        <f t="shared" si="34"/>
        <v>513257.27999999997</v>
      </c>
      <c r="AM16" s="88">
        <f t="shared" si="34"/>
        <v>459903.73000000004</v>
      </c>
      <c r="AN16" s="88">
        <f t="shared" si="34"/>
        <v>472504.77000000002</v>
      </c>
      <c r="AO16" s="88">
        <f t="shared" si="34"/>
        <v>786386.69999999995</v>
      </c>
      <c r="AP16" s="88">
        <f t="shared" si="34"/>
        <v>499630.42000000004</v>
      </c>
      <c r="AQ16" s="88">
        <f t="shared" si="34"/>
        <v>500167.97999999998</v>
      </c>
      <c r="AR16" s="88">
        <f t="shared" si="34"/>
        <v>473749.45999999996</v>
      </c>
      <c r="AS16" s="88">
        <f t="shared" si="34"/>
        <v>1638506.2500000002</v>
      </c>
      <c r="AT16" s="94">
        <f t="shared" si="15"/>
        <v>7501944.2999999998</v>
      </c>
      <c r="AU16" s="93">
        <f t="shared" si="16"/>
        <v>1699615.3899999999</v>
      </c>
      <c r="AV16" s="93">
        <f t="shared" si="17"/>
        <v>1431383.3300000001</v>
      </c>
      <c r="AW16" s="93">
        <f t="shared" si="18"/>
        <v>1758521.8900000001</v>
      </c>
      <c r="AX16" s="93">
        <f t="shared" si="19"/>
        <v>2612423.6900000004</v>
      </c>
      <c r="AY16" s="92">
        <f t="shared" si="20"/>
        <v>7501944.2999999998</v>
      </c>
      <c r="BA16" s="91">
        <f t="shared" ref="BA16:BL16" si="35">BA108+BA221</f>
        <v>704693.07000000007</v>
      </c>
      <c r="BB16" s="88">
        <f t="shared" si="35"/>
        <v>642668.40000000002</v>
      </c>
      <c r="BC16" s="88">
        <f t="shared" si="35"/>
        <v>665188.66999999993</v>
      </c>
      <c r="BD16" s="88">
        <f t="shared" si="35"/>
        <v>572560.5199999999</v>
      </c>
      <c r="BE16" s="88">
        <f t="shared" si="35"/>
        <v>587539.71999999997</v>
      </c>
      <c r="BF16" s="88">
        <f t="shared" si="35"/>
        <v>587454.79000000004</v>
      </c>
      <c r="BG16" s="88">
        <f t="shared" si="35"/>
        <v>0</v>
      </c>
      <c r="BH16" s="88">
        <f t="shared" si="35"/>
        <v>0</v>
      </c>
      <c r="BI16" s="88">
        <f t="shared" si="35"/>
        <v>0</v>
      </c>
      <c r="BJ16" s="88">
        <f t="shared" si="35"/>
        <v>0</v>
      </c>
      <c r="BK16" s="88">
        <f t="shared" si="35"/>
        <v>0</v>
      </c>
      <c r="BL16" s="88">
        <f t="shared" si="35"/>
        <v>0</v>
      </c>
      <c r="BM16" s="59">
        <f t="shared" si="21"/>
        <v>3760105.1699999999</v>
      </c>
      <c r="BN16" s="58">
        <f t="shared" si="22"/>
        <v>2012550.1400000001</v>
      </c>
      <c r="BO16" s="58">
        <f t="shared" si="23"/>
        <v>1747555.0299999998</v>
      </c>
      <c r="BP16" s="58">
        <f t="shared" si="24"/>
        <v>0</v>
      </c>
      <c r="BQ16" s="58">
        <f t="shared" si="25"/>
        <v>0</v>
      </c>
      <c r="BR16" s="59">
        <f t="shared" si="26"/>
        <v>3760105.1699999999</v>
      </c>
    </row>
    <row r="17" s="75" customFormat="1" ht="15">
      <c r="C17" s="95" t="s">
        <v>30</v>
      </c>
      <c r="D17" s="77"/>
      <c r="E17" s="96">
        <f>E16/1</f>
        <v>587454.79000000004</v>
      </c>
      <c r="F17" s="96">
        <f>F16/1</f>
        <v>459903.73000000004</v>
      </c>
      <c r="G17" s="97">
        <f t="shared" si="2"/>
        <v>0.27734295610083437</v>
      </c>
      <c r="H17" s="96">
        <f>H16/3</f>
        <v>582518.34333333338</v>
      </c>
      <c r="I17" s="96">
        <f>I16/3</f>
        <v>477127.77666666667</v>
      </c>
      <c r="J17" s="97">
        <f t="shared" si="5"/>
        <v>0.22088541439140563</v>
      </c>
      <c r="K17" s="98">
        <f>K16/MONTH(E$6)</f>
        <v>626684.19499999995</v>
      </c>
      <c r="L17" s="98">
        <f>L16/MONTH(E6)</f>
        <v>521833.11999999994</v>
      </c>
      <c r="M17" s="99">
        <f t="shared" si="8"/>
        <v>0.20092836384168183</v>
      </c>
      <c r="N17"/>
      <c r="O17" s="100">
        <f t="shared" ref="O17:Z17" si="36">O16/1</f>
        <v>644636.48999999999</v>
      </c>
      <c r="P17" s="96">
        <f t="shared" si="36"/>
        <v>483942.80999999994</v>
      </c>
      <c r="Q17" s="96">
        <f t="shared" si="36"/>
        <v>586857.15000000002</v>
      </c>
      <c r="R17" s="96">
        <f t="shared" si="36"/>
        <v>494401</v>
      </c>
      <c r="S17" s="96">
        <f t="shared" si="36"/>
        <v>563988.35999999999</v>
      </c>
      <c r="T17" s="96">
        <f t="shared" si="36"/>
        <v>531323.94999999995</v>
      </c>
      <c r="U17" s="96">
        <f t="shared" si="36"/>
        <v>767245.55000000005</v>
      </c>
      <c r="V17" s="96">
        <f t="shared" si="36"/>
        <v>690800.38</v>
      </c>
      <c r="W17" s="96">
        <f t="shared" si="36"/>
        <v>524095.96999999997</v>
      </c>
      <c r="X17" s="96">
        <f t="shared" si="36"/>
        <v>541861.98999999999</v>
      </c>
      <c r="Y17" s="96">
        <f t="shared" si="36"/>
        <v>533356.21999999997</v>
      </c>
      <c r="Z17" s="96">
        <f t="shared" si="36"/>
        <v>575262.78000000003</v>
      </c>
      <c r="AA17" s="92">
        <f t="shared" si="9"/>
        <v>6937772.6499999994</v>
      </c>
      <c r="AB17" s="93">
        <f t="shared" si="10"/>
        <v>1715436.4499999997</v>
      </c>
      <c r="AC17" s="93">
        <f t="shared" si="11"/>
        <v>1589713.3099999998</v>
      </c>
      <c r="AD17" s="93">
        <f t="shared" si="12"/>
        <v>1982141.9000000001</v>
      </c>
      <c r="AE17" s="93">
        <f t="shared" si="13"/>
        <v>1650480.99</v>
      </c>
      <c r="AF17" s="92">
        <f t="shared" si="14"/>
        <v>6937772.6500000004</v>
      </c>
      <c r="AG17"/>
      <c r="AH17" s="100">
        <f t="shared" ref="AH17:AS17" si="37">AH16/1</f>
        <v>682120.08999999997</v>
      </c>
      <c r="AI17" s="96">
        <f t="shared" si="37"/>
        <v>513180.29999999999</v>
      </c>
      <c r="AJ17" s="96">
        <f t="shared" si="37"/>
        <v>504315</v>
      </c>
      <c r="AK17" s="96">
        <f t="shared" si="37"/>
        <v>458222.32000000001</v>
      </c>
      <c r="AL17" s="96">
        <f t="shared" si="37"/>
        <v>513257.27999999997</v>
      </c>
      <c r="AM17" s="96">
        <f t="shared" si="37"/>
        <v>459903.73000000004</v>
      </c>
      <c r="AN17" s="96">
        <f t="shared" si="37"/>
        <v>472504.77000000002</v>
      </c>
      <c r="AO17" s="96">
        <f t="shared" si="37"/>
        <v>786386.69999999995</v>
      </c>
      <c r="AP17" s="96">
        <f t="shared" si="37"/>
        <v>499630.42000000004</v>
      </c>
      <c r="AQ17" s="96">
        <f t="shared" si="37"/>
        <v>500167.97999999998</v>
      </c>
      <c r="AR17" s="96">
        <f t="shared" si="37"/>
        <v>473749.45999999996</v>
      </c>
      <c r="AS17" s="96">
        <f t="shared" si="37"/>
        <v>1638506.2500000002</v>
      </c>
      <c r="AT17" s="94">
        <f t="shared" si="15"/>
        <v>7501944.2999999998</v>
      </c>
      <c r="AU17" s="93">
        <f t="shared" si="16"/>
        <v>1699615.3899999999</v>
      </c>
      <c r="AV17" s="93">
        <f t="shared" si="17"/>
        <v>1431383.3300000001</v>
      </c>
      <c r="AW17" s="93">
        <f t="shared" si="18"/>
        <v>1758521.8900000001</v>
      </c>
      <c r="AX17" s="93">
        <f t="shared" si="19"/>
        <v>2612423.6900000004</v>
      </c>
      <c r="AY17" s="92">
        <f t="shared" si="20"/>
        <v>7501944.2999999998</v>
      </c>
      <c r="AZ17"/>
      <c r="BA17" s="100">
        <f t="shared" ref="BA17:BL17" si="38">BA16/1</f>
        <v>704693.07000000007</v>
      </c>
      <c r="BB17" s="96">
        <f t="shared" si="38"/>
        <v>642668.40000000002</v>
      </c>
      <c r="BC17" s="96">
        <f t="shared" si="38"/>
        <v>665188.66999999993</v>
      </c>
      <c r="BD17" s="96">
        <f t="shared" si="38"/>
        <v>572560.5199999999</v>
      </c>
      <c r="BE17" s="96">
        <f t="shared" si="38"/>
        <v>587539.71999999997</v>
      </c>
      <c r="BF17" s="96">
        <f t="shared" si="38"/>
        <v>587454.79000000004</v>
      </c>
      <c r="BG17" s="96">
        <f t="shared" si="38"/>
        <v>0</v>
      </c>
      <c r="BH17" s="96">
        <f t="shared" si="38"/>
        <v>0</v>
      </c>
      <c r="BI17" s="96">
        <f t="shared" si="38"/>
        <v>0</v>
      </c>
      <c r="BJ17" s="96">
        <f t="shared" si="38"/>
        <v>0</v>
      </c>
      <c r="BK17" s="96">
        <f t="shared" si="38"/>
        <v>0</v>
      </c>
      <c r="BL17" s="96">
        <f t="shared" si="38"/>
        <v>0</v>
      </c>
      <c r="BM17" s="101">
        <f t="shared" si="21"/>
        <v>3760105.1699999999</v>
      </c>
      <c r="BN17" s="102">
        <f t="shared" si="22"/>
        <v>2012550.1400000001</v>
      </c>
      <c r="BO17" s="102">
        <f t="shared" si="23"/>
        <v>1747555.0299999998</v>
      </c>
      <c r="BP17" s="102">
        <f t="shared" si="24"/>
        <v>0</v>
      </c>
      <c r="BQ17" s="102">
        <f t="shared" si="25"/>
        <v>0</v>
      </c>
      <c r="BR17" s="101">
        <f t="shared" si="26"/>
        <v>3760105.1699999999</v>
      </c>
      <c r="BS17"/>
    </row>
    <row r="18">
      <c r="C18" s="103"/>
      <c r="D18" s="39"/>
      <c r="E18" s="104"/>
      <c r="F18" s="104"/>
      <c r="G18" s="105"/>
      <c r="H18" s="104"/>
      <c r="I18" s="104"/>
      <c r="J18" s="105"/>
      <c r="K18" s="104"/>
      <c r="L18" s="104"/>
      <c r="M18" s="106"/>
      <c r="O18" s="107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8"/>
      <c r="AB18" s="109"/>
      <c r="AC18" s="109"/>
      <c r="AD18" s="109"/>
      <c r="AE18" s="109"/>
      <c r="AF18" s="108"/>
      <c r="AH18" s="107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10"/>
      <c r="AU18" s="109"/>
      <c r="AV18" s="109"/>
      <c r="AW18" s="109"/>
      <c r="AX18" s="109"/>
      <c r="AY18" s="108"/>
      <c r="BA18" s="107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8"/>
      <c r="BN18" s="109"/>
      <c r="BO18" s="109"/>
      <c r="BP18" s="109"/>
      <c r="BQ18" s="109"/>
      <c r="BR18" s="108"/>
    </row>
    <row r="19">
      <c r="C19" s="111" t="s">
        <v>31</v>
      </c>
      <c r="D19" s="39"/>
      <c r="E19" s="104"/>
      <c r="F19" s="104"/>
      <c r="G19" s="105"/>
      <c r="H19" s="104"/>
      <c r="I19" s="104"/>
      <c r="J19" s="105"/>
      <c r="K19" s="104"/>
      <c r="L19" s="104"/>
      <c r="M19" s="106"/>
      <c r="O19" s="107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8"/>
      <c r="AB19" s="109"/>
      <c r="AC19" s="109"/>
      <c r="AD19" s="109"/>
      <c r="AE19" s="109"/>
      <c r="AF19" s="108"/>
      <c r="AH19" s="107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10"/>
      <c r="AU19" s="109"/>
      <c r="AV19" s="109"/>
      <c r="AW19" s="109"/>
      <c r="AX19" s="109"/>
      <c r="AY19" s="108"/>
      <c r="BA19" s="107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8"/>
      <c r="BN19" s="109"/>
      <c r="BO19" s="109"/>
      <c r="BP19" s="109"/>
      <c r="BQ19" s="109"/>
      <c r="BR19" s="108"/>
    </row>
    <row r="20">
      <c r="C20" s="103" t="s">
        <v>32</v>
      </c>
      <c r="D20" s="39"/>
      <c r="E20" s="88">
        <f>E39+E41+E43+E47</f>
        <v>47107.009999999995</v>
      </c>
      <c r="F20" s="88">
        <f>F39+F41+F43+F47</f>
        <v>12236.469999999999</v>
      </c>
      <c r="G20" s="89">
        <f t="shared" si="2"/>
        <v>2.8497221829498209</v>
      </c>
      <c r="H20" s="88">
        <f>H39+H41+H43+H47</f>
        <v>125044.17</v>
      </c>
      <c r="I20" s="88">
        <f>I39+I41+I43+I47</f>
        <v>49885.459999999999</v>
      </c>
      <c r="J20" s="89">
        <f t="shared" si="5"/>
        <v>1.5066255778737931</v>
      </c>
      <c r="K20" s="88">
        <f>K39+K41+K43+K47</f>
        <v>361852.23999999999</v>
      </c>
      <c r="L20" s="88">
        <f t="shared" ref="L20:L21" si="39">SUM(AH20:AM20)</f>
        <v>245457.27000000005</v>
      </c>
      <c r="M20" s="90">
        <f t="shared" si="8"/>
        <v>0.47419646604885618</v>
      </c>
      <c r="O20" s="91">
        <f t="shared" ref="O20:Z20" si="40">O39+O41+O43+O47</f>
        <v>25359.379999999997</v>
      </c>
      <c r="P20" s="88">
        <f t="shared" si="40"/>
        <v>28424.25</v>
      </c>
      <c r="Q20" s="88">
        <f t="shared" si="40"/>
        <v>97945.959999999992</v>
      </c>
      <c r="R20" s="88">
        <f t="shared" si="40"/>
        <v>70797.070000000007</v>
      </c>
      <c r="S20" s="88">
        <f t="shared" si="40"/>
        <v>33305.830000000002</v>
      </c>
      <c r="T20" s="88">
        <f t="shared" si="40"/>
        <v>29357.490000000002</v>
      </c>
      <c r="U20" s="88">
        <f t="shared" si="40"/>
        <v>36166</v>
      </c>
      <c r="V20" s="88">
        <f t="shared" si="40"/>
        <v>33224.160000000003</v>
      </c>
      <c r="W20" s="88">
        <f t="shared" si="40"/>
        <v>20405.27</v>
      </c>
      <c r="X20" s="88">
        <f t="shared" si="40"/>
        <v>15946.620000000001</v>
      </c>
      <c r="Y20" s="88">
        <f t="shared" si="40"/>
        <v>10818.139999999999</v>
      </c>
      <c r="Z20" s="88">
        <f t="shared" si="40"/>
        <v>19440.23</v>
      </c>
      <c r="AA20" s="92">
        <f t="shared" si="9"/>
        <v>421190.40000000002</v>
      </c>
      <c r="AB20" s="93">
        <f t="shared" si="10"/>
        <v>151729.59</v>
      </c>
      <c r="AC20" s="93">
        <f t="shared" si="11"/>
        <v>133460.39000000001</v>
      </c>
      <c r="AD20" s="93">
        <f t="shared" si="12"/>
        <v>89795.430000000008</v>
      </c>
      <c r="AE20" s="93">
        <f t="shared" si="13"/>
        <v>46204.990000000005</v>
      </c>
      <c r="AF20" s="92">
        <f t="shared" si="14"/>
        <v>421190.39999999997</v>
      </c>
      <c r="AH20" s="91">
        <f t="shared" ref="AH20:AS20" si="41">AH39+AH41+AH43+AH47</f>
        <v>11237.620000000001</v>
      </c>
      <c r="AI20" s="88">
        <f t="shared" si="41"/>
        <v>11051.17</v>
      </c>
      <c r="AJ20" s="88">
        <f t="shared" si="41"/>
        <v>173283.02000000002</v>
      </c>
      <c r="AK20" s="88">
        <f t="shared" si="41"/>
        <v>22433.860000000001</v>
      </c>
      <c r="AL20" s="88">
        <f t="shared" si="41"/>
        <v>15215.129999999999</v>
      </c>
      <c r="AM20" s="88">
        <f t="shared" si="41"/>
        <v>12236.469999999999</v>
      </c>
      <c r="AN20" s="88">
        <f t="shared" si="41"/>
        <v>13176.76</v>
      </c>
      <c r="AO20" s="88">
        <f t="shared" si="41"/>
        <v>12812.240000000002</v>
      </c>
      <c r="AP20" s="88">
        <f t="shared" si="41"/>
        <v>13000.860000000001</v>
      </c>
      <c r="AQ20" s="88">
        <f t="shared" si="41"/>
        <v>10737.98</v>
      </c>
      <c r="AR20" s="88">
        <f t="shared" si="41"/>
        <v>11562.110000000001</v>
      </c>
      <c r="AS20" s="88">
        <f t="shared" si="41"/>
        <v>15761.74</v>
      </c>
      <c r="AT20" s="94">
        <f t="shared" si="15"/>
        <v>322508.96000000002</v>
      </c>
      <c r="AU20" s="93">
        <f t="shared" si="16"/>
        <v>195571.81000000003</v>
      </c>
      <c r="AV20" s="93">
        <f t="shared" si="17"/>
        <v>49885.459999999999</v>
      </c>
      <c r="AW20" s="93">
        <f t="shared" si="18"/>
        <v>38989.860000000001</v>
      </c>
      <c r="AX20" s="93">
        <f t="shared" si="19"/>
        <v>38061.830000000002</v>
      </c>
      <c r="AY20" s="92">
        <f t="shared" si="20"/>
        <v>322508.96000000002</v>
      </c>
      <c r="BA20" s="91">
        <f t="shared" ref="BA20:BL20" si="42">BA39+BA41+BA43+BA47</f>
        <v>42929.690000000002</v>
      </c>
      <c r="BB20" s="88">
        <f t="shared" si="42"/>
        <v>48662.330000000002</v>
      </c>
      <c r="BC20" s="88">
        <f t="shared" si="42"/>
        <v>145216.04999999999</v>
      </c>
      <c r="BD20" s="88">
        <f t="shared" si="42"/>
        <v>45729.389999999999</v>
      </c>
      <c r="BE20" s="88">
        <f t="shared" si="42"/>
        <v>32207.769999999997</v>
      </c>
      <c r="BF20" s="88">
        <f t="shared" si="42"/>
        <v>47107.009999999995</v>
      </c>
      <c r="BG20" s="88">
        <f t="shared" si="42"/>
        <v>0</v>
      </c>
      <c r="BH20" s="88">
        <f t="shared" si="42"/>
        <v>0</v>
      </c>
      <c r="BI20" s="88">
        <f t="shared" si="42"/>
        <v>0</v>
      </c>
      <c r="BJ20" s="88">
        <f t="shared" si="42"/>
        <v>0</v>
      </c>
      <c r="BK20" s="88">
        <f t="shared" si="42"/>
        <v>0</v>
      </c>
      <c r="BL20" s="88">
        <f t="shared" si="42"/>
        <v>0</v>
      </c>
      <c r="BM20" s="59">
        <f t="shared" si="21"/>
        <v>361852.24000000005</v>
      </c>
      <c r="BN20" s="58">
        <f t="shared" si="22"/>
        <v>236808.07000000001</v>
      </c>
      <c r="BO20" s="58">
        <f t="shared" si="23"/>
        <v>125044.17</v>
      </c>
      <c r="BP20" s="58">
        <f t="shared" si="24"/>
        <v>0</v>
      </c>
      <c r="BQ20" s="58">
        <f t="shared" si="25"/>
        <v>0</v>
      </c>
      <c r="BR20" s="59">
        <f t="shared" si="26"/>
        <v>361852.23999999999</v>
      </c>
    </row>
    <row r="21" s="75" customFormat="1" ht="15">
      <c r="C21" s="76" t="s">
        <v>33</v>
      </c>
      <c r="D21" s="77"/>
      <c r="E21" s="96">
        <f>E83+E88+E89+E90+E91+E84</f>
        <v>28254.210000000003</v>
      </c>
      <c r="F21" s="96">
        <f>F83+F88+F89+F90+F91+F84</f>
        <v>26128.439999999999</v>
      </c>
      <c r="G21" s="97">
        <f t="shared" si="2"/>
        <v>8.135847375503491e-02</v>
      </c>
      <c r="H21" s="96">
        <f>H83+H88+H89+H90+H91+H84</f>
        <v>84029.899999999994</v>
      </c>
      <c r="I21" s="96">
        <f>I83+I88+I89+I90+I91+I84</f>
        <v>109850.48</v>
      </c>
      <c r="J21" s="97">
        <f t="shared" si="5"/>
        <v>-0.23505204528919676</v>
      </c>
      <c r="K21" s="96">
        <f>K83+K88+K89+K90+K91+K84</f>
        <v>221771.06000000003</v>
      </c>
      <c r="L21" s="96">
        <f t="shared" si="39"/>
        <v>279534.66999999998</v>
      </c>
      <c r="M21" s="99">
        <f t="shared" si="8"/>
        <v>-0.20664202404660559</v>
      </c>
      <c r="N21"/>
      <c r="O21" s="100">
        <f t="shared" ref="O21:Z21" si="43">O83+O88+O89+O90+O91+O84</f>
        <v>42651.259999999995</v>
      </c>
      <c r="P21" s="96">
        <f t="shared" si="43"/>
        <v>46548.979999999996</v>
      </c>
      <c r="Q21" s="96">
        <f t="shared" si="43"/>
        <v>80476.089999999997</v>
      </c>
      <c r="R21" s="96">
        <f t="shared" si="43"/>
        <v>53120.159999999996</v>
      </c>
      <c r="S21" s="96">
        <f t="shared" si="43"/>
        <v>53325.880000000005</v>
      </c>
      <c r="T21" s="96">
        <f t="shared" si="43"/>
        <v>36857.889999999999</v>
      </c>
      <c r="U21" s="96">
        <f t="shared" si="43"/>
        <v>36605.5</v>
      </c>
      <c r="V21" s="96">
        <f t="shared" si="43"/>
        <v>50435.959999999999</v>
      </c>
      <c r="W21" s="96">
        <f t="shared" si="43"/>
        <v>37748.830000000002</v>
      </c>
      <c r="X21" s="96">
        <f t="shared" si="43"/>
        <v>44759.720000000001</v>
      </c>
      <c r="Y21" s="96">
        <f t="shared" si="43"/>
        <v>52638.839999999997</v>
      </c>
      <c r="Z21" s="96">
        <f t="shared" si="43"/>
        <v>37793.32</v>
      </c>
      <c r="AA21" s="92">
        <f t="shared" si="9"/>
        <v>572962.42999999993</v>
      </c>
      <c r="AB21" s="93">
        <f t="shared" si="10"/>
        <v>169676.32999999999</v>
      </c>
      <c r="AC21" s="93">
        <f t="shared" si="11"/>
        <v>143303.92999999999</v>
      </c>
      <c r="AD21" s="93">
        <f t="shared" si="12"/>
        <v>124790.28999999999</v>
      </c>
      <c r="AE21" s="93">
        <f t="shared" si="13"/>
        <v>135191.88</v>
      </c>
      <c r="AF21" s="92">
        <f t="shared" si="14"/>
        <v>572962.42999999993</v>
      </c>
      <c r="AG21"/>
      <c r="AH21" s="100">
        <f t="shared" ref="AH21:AS21" si="44">AH83+AH88+AH89+AH90+AH91+AH84</f>
        <v>52439.339999999997</v>
      </c>
      <c r="AI21" s="96">
        <f t="shared" si="44"/>
        <v>32245.880000000001</v>
      </c>
      <c r="AJ21" s="96">
        <f t="shared" si="44"/>
        <v>84998.970000000001</v>
      </c>
      <c r="AK21" s="96">
        <f t="shared" si="44"/>
        <v>32431.829999999998</v>
      </c>
      <c r="AL21" s="96">
        <f t="shared" si="44"/>
        <v>51290.209999999999</v>
      </c>
      <c r="AM21" s="96">
        <f t="shared" si="44"/>
        <v>26128.439999999999</v>
      </c>
      <c r="AN21" s="96">
        <f t="shared" si="44"/>
        <v>32072.540000000001</v>
      </c>
      <c r="AO21" s="96">
        <f t="shared" si="44"/>
        <v>33955.25</v>
      </c>
      <c r="AP21" s="96">
        <f t="shared" si="44"/>
        <v>41797.169999999998</v>
      </c>
      <c r="AQ21" s="96">
        <f t="shared" si="44"/>
        <v>23484.639999999999</v>
      </c>
      <c r="AR21" s="96">
        <f t="shared" si="44"/>
        <v>43787.940000000002</v>
      </c>
      <c r="AS21" s="96">
        <f t="shared" si="44"/>
        <v>44903.050000000003</v>
      </c>
      <c r="AT21" s="94">
        <f t="shared" si="15"/>
        <v>499535.25999999995</v>
      </c>
      <c r="AU21" s="93">
        <f t="shared" si="16"/>
        <v>169684.19</v>
      </c>
      <c r="AV21" s="93">
        <f t="shared" si="17"/>
        <v>109850.48</v>
      </c>
      <c r="AW21" s="93">
        <f t="shared" si="18"/>
        <v>107824.96000000001</v>
      </c>
      <c r="AX21" s="93">
        <f t="shared" si="19"/>
        <v>112175.63</v>
      </c>
      <c r="AY21" s="92">
        <f t="shared" si="20"/>
        <v>499535.26000000001</v>
      </c>
      <c r="AZ21"/>
      <c r="BA21" s="100">
        <f t="shared" ref="BA21:BL21" si="45">BA83+BA88+BA89+BA90+BA91+BA84</f>
        <v>36014.300000000003</v>
      </c>
      <c r="BB21" s="96">
        <f t="shared" si="45"/>
        <v>50142.150000000001</v>
      </c>
      <c r="BC21" s="96">
        <f t="shared" si="45"/>
        <v>51584.710000000006</v>
      </c>
      <c r="BD21" s="96">
        <f t="shared" si="45"/>
        <v>32936.580000000002</v>
      </c>
      <c r="BE21" s="96">
        <f t="shared" si="45"/>
        <v>22839.110000000001</v>
      </c>
      <c r="BF21" s="96">
        <f t="shared" si="45"/>
        <v>28254.210000000003</v>
      </c>
      <c r="BG21" s="96">
        <f t="shared" si="45"/>
        <v>0</v>
      </c>
      <c r="BH21" s="96">
        <f t="shared" si="45"/>
        <v>0</v>
      </c>
      <c r="BI21" s="96">
        <f t="shared" si="45"/>
        <v>0</v>
      </c>
      <c r="BJ21" s="96">
        <f t="shared" si="45"/>
        <v>0</v>
      </c>
      <c r="BK21" s="96">
        <f t="shared" si="45"/>
        <v>0</v>
      </c>
      <c r="BL21" s="96">
        <f t="shared" si="45"/>
        <v>0</v>
      </c>
      <c r="BM21" s="112">
        <f t="shared" si="21"/>
        <v>221771.06000000003</v>
      </c>
      <c r="BN21" s="113">
        <f t="shared" si="22"/>
        <v>137741.16000000003</v>
      </c>
      <c r="BO21" s="113">
        <f t="shared" si="23"/>
        <v>84029.900000000009</v>
      </c>
      <c r="BP21" s="113">
        <f t="shared" si="24"/>
        <v>0</v>
      </c>
      <c r="BQ21" s="113">
        <f t="shared" si="25"/>
        <v>0</v>
      </c>
      <c r="BR21" s="112">
        <f t="shared" si="26"/>
        <v>221771.06000000006</v>
      </c>
      <c r="BS21"/>
    </row>
    <row r="22" s="114" customFormat="1" ht="15">
      <c r="C22" s="115" t="s">
        <v>34</v>
      </c>
      <c r="D22" s="116"/>
      <c r="E22" s="117">
        <f>E20-E21</f>
        <v>18852.799999999992</v>
      </c>
      <c r="F22" s="117">
        <f>F20-F21</f>
        <v>-13891.969999999999</v>
      </c>
      <c r="G22" s="118">
        <f t="shared" si="2"/>
        <v>-2.3571005408160248</v>
      </c>
      <c r="H22" s="117">
        <f>H20-H21</f>
        <v>41014.270000000004</v>
      </c>
      <c r="I22" s="117">
        <f>I20-I21</f>
        <v>-59965.019999999997</v>
      </c>
      <c r="J22" s="118">
        <f t="shared" si="5"/>
        <v>-1.683969921130686</v>
      </c>
      <c r="K22" s="117">
        <f>K20-K21</f>
        <v>140081.17999999996</v>
      </c>
      <c r="L22" s="117">
        <f>L20-L21</f>
        <v>-34077.399999999936</v>
      </c>
      <c r="M22" s="119">
        <f t="shared" si="8"/>
        <v>-5.1106768708880441</v>
      </c>
      <c r="N22"/>
      <c r="O22" s="120">
        <f t="shared" ref="O22:Z22" si="46">O20-O21</f>
        <v>-17291.879999999997</v>
      </c>
      <c r="P22" s="117">
        <f t="shared" si="46"/>
        <v>-18124.729999999996</v>
      </c>
      <c r="Q22" s="117">
        <f t="shared" si="46"/>
        <v>17469.869999999995</v>
      </c>
      <c r="R22" s="117">
        <f t="shared" si="46"/>
        <v>17676.910000000011</v>
      </c>
      <c r="S22" s="117">
        <f t="shared" si="46"/>
        <v>-20020.050000000003</v>
      </c>
      <c r="T22" s="117">
        <f t="shared" si="46"/>
        <v>-7500.3999999999978</v>
      </c>
      <c r="U22" s="117">
        <f t="shared" si="46"/>
        <v>-439.5</v>
      </c>
      <c r="V22" s="117">
        <f t="shared" si="46"/>
        <v>-17211.799999999996</v>
      </c>
      <c r="W22" s="117">
        <f t="shared" si="46"/>
        <v>-17343.560000000001</v>
      </c>
      <c r="X22" s="117">
        <f t="shared" si="46"/>
        <v>-28813.099999999999</v>
      </c>
      <c r="Y22" s="117">
        <f t="shared" si="46"/>
        <v>-41820.699999999997</v>
      </c>
      <c r="Z22" s="117">
        <f t="shared" si="46"/>
        <v>-18353.09</v>
      </c>
      <c r="AA22" s="92">
        <f t="shared" si="9"/>
        <v>-151772.03</v>
      </c>
      <c r="AB22" s="93">
        <f t="shared" si="10"/>
        <v>-17946.739999999998</v>
      </c>
      <c r="AC22" s="93">
        <f t="shared" si="11"/>
        <v>-9843.53999999999</v>
      </c>
      <c r="AD22" s="93">
        <f t="shared" si="12"/>
        <v>-34994.860000000001</v>
      </c>
      <c r="AE22" s="93">
        <f t="shared" si="13"/>
        <v>-88986.889999999985</v>
      </c>
      <c r="AF22" s="92">
        <f t="shared" si="14"/>
        <v>-151772.02999999997</v>
      </c>
      <c r="AG22"/>
      <c r="AH22" s="120">
        <f t="shared" ref="AH22:AS22" si="47">AH20-AH21</f>
        <v>-41201.719999999994</v>
      </c>
      <c r="AI22" s="117">
        <f t="shared" si="47"/>
        <v>-21194.709999999999</v>
      </c>
      <c r="AJ22" s="117">
        <f t="shared" si="47"/>
        <v>88284.050000000017</v>
      </c>
      <c r="AK22" s="117">
        <f t="shared" si="47"/>
        <v>-9997.9699999999975</v>
      </c>
      <c r="AL22" s="117">
        <f t="shared" si="47"/>
        <v>-36075.080000000002</v>
      </c>
      <c r="AM22" s="117">
        <f t="shared" si="47"/>
        <v>-13891.969999999999</v>
      </c>
      <c r="AN22" s="117">
        <f t="shared" si="47"/>
        <v>-18895.779999999999</v>
      </c>
      <c r="AO22" s="117">
        <f t="shared" si="47"/>
        <v>-21143.009999999998</v>
      </c>
      <c r="AP22" s="117">
        <f t="shared" si="47"/>
        <v>-28796.309999999998</v>
      </c>
      <c r="AQ22" s="117">
        <f t="shared" si="47"/>
        <v>-12746.66</v>
      </c>
      <c r="AR22" s="117">
        <f t="shared" si="47"/>
        <v>-32225.830000000002</v>
      </c>
      <c r="AS22" s="117">
        <f t="shared" si="47"/>
        <v>-29141.310000000005</v>
      </c>
      <c r="AT22" s="94">
        <f t="shared" si="15"/>
        <v>-177026.29999999999</v>
      </c>
      <c r="AU22" s="93">
        <f t="shared" si="16"/>
        <v>25887.620000000024</v>
      </c>
      <c r="AV22" s="93">
        <f t="shared" si="17"/>
        <v>-59965.020000000004</v>
      </c>
      <c r="AW22" s="93">
        <f t="shared" si="18"/>
        <v>-68835.099999999991</v>
      </c>
      <c r="AX22" s="93">
        <f t="shared" si="19"/>
        <v>-74113.800000000017</v>
      </c>
      <c r="AY22" s="92">
        <f t="shared" si="20"/>
        <v>-177026.29999999999</v>
      </c>
      <c r="AZ22"/>
      <c r="BA22" s="120">
        <f t="shared" ref="BA22:BL22" si="48">BA20-BA21</f>
        <v>6915.3899999999994</v>
      </c>
      <c r="BB22" s="117">
        <f t="shared" si="48"/>
        <v>-1479.8199999999997</v>
      </c>
      <c r="BC22" s="117">
        <f t="shared" si="48"/>
        <v>93631.339999999982</v>
      </c>
      <c r="BD22" s="117">
        <f t="shared" si="48"/>
        <v>12792.809999999998</v>
      </c>
      <c r="BE22" s="117">
        <f t="shared" si="48"/>
        <v>9368.6599999999962</v>
      </c>
      <c r="BF22" s="117">
        <f t="shared" si="48"/>
        <v>18852.799999999992</v>
      </c>
      <c r="BG22" s="117">
        <f t="shared" si="48"/>
        <v>0</v>
      </c>
      <c r="BH22" s="117">
        <f t="shared" si="48"/>
        <v>0</v>
      </c>
      <c r="BI22" s="117">
        <f t="shared" si="48"/>
        <v>0</v>
      </c>
      <c r="BJ22" s="117">
        <f t="shared" si="48"/>
        <v>0</v>
      </c>
      <c r="BK22" s="117">
        <f t="shared" si="48"/>
        <v>0</v>
      </c>
      <c r="BL22" s="117">
        <f t="shared" si="48"/>
        <v>0</v>
      </c>
      <c r="BM22" s="121">
        <f t="shared" si="21"/>
        <v>140081.17999999996</v>
      </c>
      <c r="BN22" s="122">
        <f t="shared" si="22"/>
        <v>99066.909999999974</v>
      </c>
      <c r="BO22" s="122">
        <f t="shared" si="23"/>
        <v>41014.26999999999</v>
      </c>
      <c r="BP22" s="122">
        <f t="shared" si="24"/>
        <v>0</v>
      </c>
      <c r="BQ22" s="122">
        <f t="shared" si="25"/>
        <v>0</v>
      </c>
      <c r="BR22" s="121">
        <f t="shared" si="26"/>
        <v>140081.17999999996</v>
      </c>
      <c r="BS22"/>
    </row>
    <row r="23">
      <c r="C23" s="103"/>
      <c r="D23" s="39"/>
      <c r="E23" s="104"/>
      <c r="F23" s="104"/>
      <c r="G23" s="105"/>
      <c r="H23" s="104"/>
      <c r="I23" s="104"/>
      <c r="J23" s="105"/>
      <c r="K23" s="104"/>
      <c r="L23" s="104"/>
      <c r="M23" s="106"/>
      <c r="O23" s="123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09"/>
      <c r="AA23" s="108"/>
      <c r="AB23" s="109"/>
      <c r="AC23" s="109"/>
      <c r="AD23" s="109"/>
      <c r="AE23" s="109"/>
      <c r="AF23" s="108"/>
      <c r="AH23" s="42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110"/>
      <c r="AU23" s="109"/>
      <c r="AV23" s="109"/>
      <c r="AW23" s="109"/>
      <c r="AX23" s="109"/>
      <c r="AY23" s="108"/>
      <c r="BA23" s="123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09"/>
      <c r="BM23" s="108"/>
      <c r="BN23" s="109"/>
      <c r="BO23" s="109"/>
      <c r="BP23" s="109"/>
      <c r="BQ23" s="109"/>
      <c r="BR23" s="108"/>
    </row>
    <row r="24">
      <c r="C24" s="52"/>
      <c r="D24" s="35"/>
      <c r="E24" s="45"/>
      <c r="F24" s="45"/>
      <c r="G24" s="46"/>
      <c r="H24" s="45"/>
      <c r="I24" s="45"/>
      <c r="J24" s="46"/>
      <c r="K24" s="45"/>
      <c r="L24" s="45"/>
      <c r="M24" s="47"/>
      <c r="O24" s="6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93"/>
      <c r="AA24" s="92"/>
      <c r="AB24" s="93"/>
      <c r="AC24" s="93"/>
      <c r="AD24" s="93"/>
      <c r="AE24" s="93"/>
      <c r="AF24" s="92"/>
      <c r="AH24" s="50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94"/>
      <c r="AU24" s="93"/>
      <c r="AV24" s="93"/>
      <c r="AW24" s="93"/>
      <c r="AX24" s="93"/>
      <c r="AY24" s="92"/>
      <c r="BA24" s="6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93"/>
      <c r="BM24" s="92"/>
      <c r="BN24" s="93"/>
      <c r="BO24" s="93"/>
      <c r="BP24" s="93"/>
      <c r="BQ24" s="93"/>
      <c r="BR24" s="92"/>
    </row>
    <row r="25" s="125" customFormat="1">
      <c r="C25" s="126" t="s">
        <v>35</v>
      </c>
      <c r="D25" s="127"/>
      <c r="E25" s="127"/>
      <c r="F25" s="128"/>
      <c r="G25" s="127"/>
      <c r="H25" s="127"/>
      <c r="I25" s="127"/>
      <c r="J25" s="127"/>
      <c r="K25" s="127"/>
      <c r="L25" s="127"/>
      <c r="M25" s="129"/>
      <c r="O25" s="130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2"/>
      <c r="AA25" s="133"/>
      <c r="AB25" s="132">
        <f t="shared" si="10"/>
        <v>0</v>
      </c>
      <c r="AC25" s="132">
        <f t="shared" si="11"/>
        <v>0</v>
      </c>
      <c r="AD25" s="132">
        <f t="shared" si="12"/>
        <v>0</v>
      </c>
      <c r="AE25" s="132">
        <f t="shared" si="13"/>
        <v>0</v>
      </c>
      <c r="AF25" s="133"/>
      <c r="AH25" s="134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35"/>
      <c r="AU25" s="132">
        <f t="shared" si="16"/>
        <v>0</v>
      </c>
      <c r="AV25" s="132">
        <f t="shared" si="17"/>
        <v>0</v>
      </c>
      <c r="AW25" s="132">
        <f t="shared" si="18"/>
        <v>0</v>
      </c>
      <c r="AX25" s="132">
        <f t="shared" si="19"/>
        <v>0</v>
      </c>
      <c r="AY25" s="133"/>
      <c r="BA25" s="130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2"/>
      <c r="BM25" s="133"/>
      <c r="BN25" s="132">
        <f t="shared" si="22"/>
        <v>0</v>
      </c>
      <c r="BO25" s="132">
        <f t="shared" si="23"/>
        <v>0</v>
      </c>
      <c r="BP25" s="132">
        <f t="shared" si="24"/>
        <v>0</v>
      </c>
      <c r="BQ25" s="132">
        <f t="shared" si="25"/>
        <v>0</v>
      </c>
      <c r="BR25" s="133"/>
    </row>
    <row r="26">
      <c r="C26" s="136"/>
      <c r="D26" s="35"/>
      <c r="E26" s="35"/>
      <c r="F26" s="45"/>
      <c r="G26" s="36"/>
      <c r="H26" s="35"/>
      <c r="I26" s="35"/>
      <c r="J26" s="36"/>
      <c r="K26" s="35"/>
      <c r="L26" s="35"/>
      <c r="M26" s="37"/>
      <c r="O26" s="6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93"/>
      <c r="AA26" s="92"/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13"/>
        <v>0</v>
      </c>
      <c r="AF26" s="92"/>
      <c r="AH26" s="50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94"/>
      <c r="AU26" s="93">
        <f t="shared" si="16"/>
        <v>0</v>
      </c>
      <c r="AV26" s="93">
        <f t="shared" si="17"/>
        <v>0</v>
      </c>
      <c r="AW26" s="93">
        <f t="shared" si="18"/>
        <v>0</v>
      </c>
      <c r="AX26" s="93">
        <f t="shared" si="19"/>
        <v>0</v>
      </c>
      <c r="AY26" s="92"/>
      <c r="BA26" s="6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93"/>
      <c r="BM26" s="92"/>
      <c r="BN26" s="93">
        <f t="shared" si="22"/>
        <v>0</v>
      </c>
      <c r="BO26" s="93">
        <f t="shared" si="23"/>
        <v>0</v>
      </c>
      <c r="BP26" s="93">
        <f t="shared" si="24"/>
        <v>0</v>
      </c>
      <c r="BQ26" s="93">
        <f t="shared" si="25"/>
        <v>0</v>
      </c>
      <c r="BR26" s="92"/>
    </row>
    <row r="27" s="137" customFormat="1">
      <c r="A27" s="137" t="s">
        <v>36</v>
      </c>
      <c r="B27" s="137" t="s">
        <v>37</v>
      </c>
      <c r="C27" s="138" t="s">
        <v>38</v>
      </c>
      <c r="D27" s="139" t="s">
        <v>37</v>
      </c>
      <c r="E27" s="140">
        <f t="shared" ref="E27:E90" si="49">SUMIF($BA$6:$BL$6,$E$6,$BA27:$BL27)</f>
        <v>380114.72999999998</v>
      </c>
      <c r="F27" s="141">
        <f t="shared" ref="F27:F90" si="50">SUMIF($AH$6:$AS$6,$F$6,$AH27:$AS27)</f>
        <v>336619.46000000002</v>
      </c>
      <c r="G27" s="142">
        <f t="shared" si="2"/>
        <v>0.12921198911078985</v>
      </c>
      <c r="H27" s="143">
        <f t="shared" ref="H27:H90" si="51">SUMIF($BN$6:$BR$6,$H$6,$BN27:$BR27)</f>
        <v>1171257.74</v>
      </c>
      <c r="I27" s="143">
        <f t="shared" ref="I27:I90" si="52">SUMIF($AU$6:$AY$6,$I$6,$AU27:$AY27)</f>
        <v>1014736.54</v>
      </c>
      <c r="J27" s="142">
        <f t="shared" si="5"/>
        <v>0.15424811646183545</v>
      </c>
      <c r="K27" s="143">
        <f t="shared" ref="K27:K90" si="53">BM27</f>
        <v>2322249.4500000002</v>
      </c>
      <c r="L27" s="143">
        <f t="shared" ref="L27:L90" si="54">SUM(AH27:AM27)</f>
        <v>2029522.0700000001</v>
      </c>
      <c r="M27" s="144">
        <f t="shared" si="8"/>
        <v>0.14423463746812082</v>
      </c>
      <c r="O27" s="145">
        <f>SUMIF('2024 AC'!$B$3:$B$250,"*"&amp;$D27&amp;"*",'2024 AC'!C$3:C$250)</f>
        <v>215086.38</v>
      </c>
      <c r="P27" s="146">
        <f>SUMIF('2024 AC'!$B$3:$B$250,"*"&amp;$D27&amp;"*",'2024 AC'!D$3:D$250)</f>
        <v>330522.98999999999</v>
      </c>
      <c r="Q27" s="146">
        <f>SUMIF('2024 AC'!$B$3:$B$250,"*"&amp;$D27&amp;"*",'2024 AC'!E$3:E$250)</f>
        <v>267347.64000000001</v>
      </c>
      <c r="R27" s="146">
        <f>SUMIF('2024 AC'!$B$3:$B$250,"*"&amp;$D27&amp;"*",'2024 AC'!F$3:F$250)</f>
        <v>242849.09</v>
      </c>
      <c r="S27" s="146">
        <f>SUMIF('2024 AC'!$B$3:$B$250,"*"&amp;$D27&amp;"*",'2024 AC'!G$3:G$250)</f>
        <v>349112.35999999999</v>
      </c>
      <c r="T27" s="146">
        <f>SUMIF('2024 AC'!$B$3:$B$250,"*"&amp;$D27&amp;"*",'2024 AC'!H$3:H$250)</f>
        <v>329037.22999999998</v>
      </c>
      <c r="U27" s="146">
        <f>SUMIF('2024 AC'!$B$3:$B$250,"*"&amp;$D27&amp;"*",'2024 AC'!I$3:I$250)</f>
        <v>430480.71999999997</v>
      </c>
      <c r="V27" s="146">
        <f>SUMIF('2024 AC'!$B$3:$B$250,"*"&amp;$D27&amp;"*",'2024 AC'!J$3:J$250)</f>
        <v>440278.28000000003</v>
      </c>
      <c r="W27" s="146">
        <f>SUMIF('2024 AC'!$B$3:$B$250,"*"&amp;$D27&amp;"*",'2024 AC'!K$3:K$250)</f>
        <v>377089.65000000002</v>
      </c>
      <c r="X27" s="146">
        <f>SUMIF('2024 AC'!$B$3:$B$250,"*"&amp;$D27&amp;"*",'2024 AC'!L$3:L$250)</f>
        <v>361014</v>
      </c>
      <c r="Y27" s="146">
        <f>SUMIF('2024 AC'!$B$3:$B$250,"*"&amp;$D27&amp;"*",'2024 AC'!M$3:M$250)</f>
        <v>378114.31</v>
      </c>
      <c r="Z27" s="147">
        <f>SUMIF('2024 AC'!$B$3:$B$250,"*"&amp;$D27&amp;"*",'2024 AC'!N$3:N$250)</f>
        <v>489138.53999999998</v>
      </c>
      <c r="AA27" s="148">
        <f t="shared" si="9"/>
        <v>4210071.1900000004</v>
      </c>
      <c r="AB27" s="147">
        <f t="shared" si="10"/>
        <v>812957.01000000001</v>
      </c>
      <c r="AC27" s="147">
        <f t="shared" si="11"/>
        <v>920998.67999999993</v>
      </c>
      <c r="AD27" s="147">
        <f t="shared" si="12"/>
        <v>1247848.6499999999</v>
      </c>
      <c r="AE27" s="147">
        <f t="shared" si="13"/>
        <v>1228266.8500000001</v>
      </c>
      <c r="AF27" s="148">
        <f t="shared" si="14"/>
        <v>4210071.1899999995</v>
      </c>
      <c r="AH27" s="145">
        <f>SUMIF('2025 AC'!$B$3:$B$250,"*"&amp;$D27&amp;"*",'2025 AC'!C$3:C$250)</f>
        <v>387262.16999999998</v>
      </c>
      <c r="AI27" s="146">
        <f>SUMIF('2025 AC'!$B$3:$B$250,"*"&amp;$D27&amp;"*",'2025 AC'!D$3:D$250)</f>
        <v>370307.95000000001</v>
      </c>
      <c r="AJ27" s="146">
        <f>SUMIF('2025 AC'!$B$3:$B$250,"*"&amp;$D27&amp;"*",'2025 AC'!E$3:E$250)</f>
        <v>257215.41</v>
      </c>
      <c r="AK27" s="146">
        <f>SUMIF('2025 AC'!$B$3:$B$250,"*"&amp;$D27&amp;"*",'2025 AC'!F$3:F$250)</f>
        <v>325707.83000000002</v>
      </c>
      <c r="AL27" s="146">
        <f>SUMIF('2025 AC'!$B$3:$B$250,"*"&amp;$D27&amp;"*",'2025 AC'!G$3:G$250)</f>
        <v>352409.25</v>
      </c>
      <c r="AM27" s="146">
        <f>SUMIF('2025 AC'!$B$3:$B$250,"*"&amp;$D27&amp;"*",'2025 AC'!H$3:H$250)</f>
        <v>336619.46000000002</v>
      </c>
      <c r="AN27" s="146">
        <f>SUMIF('2025 AC'!$B$3:$B$250,"*"&amp;$D27&amp;"*",'2025 AC'!I$3:I$250)</f>
        <v>329009.53999999998</v>
      </c>
      <c r="AO27" s="146">
        <f>SUMIF('2025 AC'!$B$3:$B$250,"*"&amp;$D27&amp;"*",'2025 AC'!J$3:J$250)</f>
        <v>369440.70000000001</v>
      </c>
      <c r="AP27" s="146">
        <f>SUMIF('2025 AC'!$B$3:$B$250,"*"&amp;$D27&amp;"*",'2025 AC'!K$3:K$250)</f>
        <v>352696.31</v>
      </c>
      <c r="AQ27" s="146">
        <f>SUMIF('2025 AC'!$B$3:$B$250,"*"&amp;$D27&amp;"*",'2025 AC'!L$3:L$250)</f>
        <v>249048.85999999999</v>
      </c>
      <c r="AR27" s="146">
        <f>SUMIF('2025 AC'!$B$3:$B$250,"*"&amp;$D27&amp;"*",'2025 AC'!M$3:M$250)</f>
        <v>279273.64000000001</v>
      </c>
      <c r="AS27" s="146">
        <f>SUMIF('2025 AC'!$B$3:$B$250,"*"&amp;$D27&amp;"*",'2025 AC'!N$3:N$250)</f>
        <v>474032.84000000003</v>
      </c>
      <c r="AT27" s="149">
        <f t="shared" si="15"/>
        <v>4083023.96</v>
      </c>
      <c r="AU27" s="147">
        <f t="shared" si="16"/>
        <v>1014785.53</v>
      </c>
      <c r="AV27" s="147">
        <f t="shared" si="17"/>
        <v>1014736.54</v>
      </c>
      <c r="AW27" s="147">
        <f t="shared" si="18"/>
        <v>1051146.55</v>
      </c>
      <c r="AX27" s="147">
        <f t="shared" si="19"/>
        <v>1002355.3400000001</v>
      </c>
      <c r="AY27" s="148">
        <f t="shared" si="20"/>
        <v>4083023.96</v>
      </c>
      <c r="BA27" s="145">
        <f>SUMIF('2026 AC'!$B$3:$B$254,"*"&amp;$D27&amp;"*",'2026 AC'!C$3:C$254)</f>
        <v>435957.26000000001</v>
      </c>
      <c r="BB27" s="146">
        <f>SUMIF('2026 AC'!$B$3:$B$254,"*"&amp;$D27&amp;"*",'2026 AC'!D$3:D$254)</f>
        <v>381267.34999999998</v>
      </c>
      <c r="BC27" s="146">
        <f>SUMIF('2026 AC'!$B$3:$B$254,"*"&amp;$D27&amp;"*",'2026 AC'!E$3:E$254)</f>
        <v>333767.09999999998</v>
      </c>
      <c r="BD27" s="146">
        <f>SUMIF('2026 AC'!$B$3:$B$254,"*"&amp;$D27&amp;"*",'2026 AC'!F$3:F$254)</f>
        <v>384752.75</v>
      </c>
      <c r="BE27" s="146">
        <f>SUMIF('2026 AC'!$B$3:$B$254,"*"&amp;$D27&amp;"*",'2026 AC'!G$3:G$254)</f>
        <v>406390.26000000001</v>
      </c>
      <c r="BF27" s="146">
        <f>SUMIF('2026 AC'!$B$3:$B$254,"*"&amp;$D27&amp;"*",'2026 AC'!H$3:H$254)</f>
        <v>380114.72999999998</v>
      </c>
      <c r="BG27" s="146">
        <f>SUMIF('2026 AC'!$B$3:$B$254,"*"&amp;$D27&amp;"*",'2026 AC'!I$3:I$254)</f>
        <v>0</v>
      </c>
      <c r="BH27" s="146">
        <f>SUMIF('2026 AC'!$B$3:$B$254,"*"&amp;$D27&amp;"*",'2026 AC'!J$3:J$254)</f>
        <v>0</v>
      </c>
      <c r="BI27" s="146">
        <f>SUMIF('2026 AC'!$B$3:$B$254,"*"&amp;$D27&amp;"*",'2026 AC'!K$3:K$254)</f>
        <v>0</v>
      </c>
      <c r="BJ27" s="146">
        <f>SUMIF('2026 AC'!$B$3:$B$254,"*"&amp;$D27&amp;"*",'2026 AC'!L$3:L$254)</f>
        <v>0</v>
      </c>
      <c r="BK27" s="146">
        <f>SUMIF('2026 AC'!$B$3:$B$254,"*"&amp;$D27&amp;"*",'2026 AC'!M$3:M$254)</f>
        <v>0</v>
      </c>
      <c r="BL27" s="147">
        <f>SUMIF('2026 AC'!$B$3:$B$254,"*"&amp;$D27&amp;"*",'2026 AC'!N$3:N$254)</f>
        <v>0</v>
      </c>
      <c r="BM27" s="148">
        <f t="shared" si="21"/>
        <v>2322249.4500000002</v>
      </c>
      <c r="BN27" s="147">
        <f t="shared" si="22"/>
        <v>1150991.71</v>
      </c>
      <c r="BO27" s="147">
        <f t="shared" si="23"/>
        <v>1171257.74</v>
      </c>
      <c r="BP27" s="147">
        <f t="shared" si="24"/>
        <v>0</v>
      </c>
      <c r="BQ27" s="147">
        <f t="shared" si="25"/>
        <v>0</v>
      </c>
      <c r="BR27" s="148">
        <f t="shared" si="26"/>
        <v>2322249.4500000002</v>
      </c>
    </row>
    <row r="28" ht="15" customHeight="1" outlineLevel="1">
      <c r="A28" t="s">
        <v>39</v>
      </c>
      <c r="B28" t="s">
        <v>40</v>
      </c>
      <c r="C28" s="150" t="s">
        <v>41</v>
      </c>
      <c r="D28" s="35" t="s">
        <v>40</v>
      </c>
      <c r="E28" s="151">
        <f t="shared" si="49"/>
        <v>45375.879999999997</v>
      </c>
      <c r="F28" s="152">
        <f t="shared" si="50"/>
        <v>56019.32</v>
      </c>
      <c r="G28" s="54">
        <f t="shared" si="2"/>
        <v>-0.18999587999283107</v>
      </c>
      <c r="H28" s="153">
        <f t="shared" si="51"/>
        <v>150171.45000000001</v>
      </c>
      <c r="I28" s="153">
        <f t="shared" si="52"/>
        <v>152422.70999999999</v>
      </c>
      <c r="J28" s="54">
        <f t="shared" si="5"/>
        <v>-1.4769846304398999e-02</v>
      </c>
      <c r="K28" s="153">
        <f t="shared" si="53"/>
        <v>311649.44</v>
      </c>
      <c r="L28" s="153">
        <f t="shared" si="54"/>
        <v>274680.82000000001</v>
      </c>
      <c r="M28" s="55">
        <f t="shared" si="8"/>
        <v>0.13458755511214796</v>
      </c>
      <c r="O28" s="63">
        <f>SUMIF('2024 AC'!$B$3:$B$250,"*"&amp;$D28&amp;"*",'2024 AC'!C$3:C$250)</f>
        <v>91824.639999999999</v>
      </c>
      <c r="P28" s="53">
        <f>SUMIF('2024 AC'!$B$3:$B$250,"*"&amp;$D28&amp;"*",'2024 AC'!D$3:D$250)</f>
        <v>117113.12</v>
      </c>
      <c r="Q28" s="53">
        <f>SUMIF('2024 AC'!$B$3:$B$250,"*"&amp;$D28&amp;"*",'2024 AC'!E$3:E$250)</f>
        <v>39065.599999999999</v>
      </c>
      <c r="R28" s="53">
        <f>SUMIF('2024 AC'!$B$3:$B$250,"*"&amp;$D28&amp;"*",'2024 AC'!F$3:F$250)</f>
        <v>49011.139999999999</v>
      </c>
      <c r="S28" s="53">
        <f>SUMIF('2024 AC'!$B$3:$B$250,"*"&amp;$D28&amp;"*",'2024 AC'!G$3:G$250)</f>
        <v>56140.470000000001</v>
      </c>
      <c r="T28" s="53">
        <f>SUMIF('2024 AC'!$B$3:$B$250,"*"&amp;$D28&amp;"*",'2024 AC'!H$3:H$250)</f>
        <v>53387.220000000001</v>
      </c>
      <c r="U28" s="53">
        <f>SUMIF('2024 AC'!$B$3:$B$250,"*"&amp;$D28&amp;"*",'2024 AC'!I$3:I$250)</f>
        <v>99876.809999999998</v>
      </c>
      <c r="V28" s="53">
        <f>SUMIF('2024 AC'!$B$3:$B$250,"*"&amp;$D28&amp;"*",'2024 AC'!J$3:J$250)</f>
        <v>94461.360000000001</v>
      </c>
      <c r="W28" s="53">
        <f>SUMIF('2024 AC'!$B$3:$B$250,"*"&amp;$D28&amp;"*",'2024 AC'!K$3:K$250)</f>
        <v>54834.709999999999</v>
      </c>
      <c r="X28" s="53">
        <f>SUMIF('2024 AC'!$B$3:$B$250,"*"&amp;$D28&amp;"*",'2024 AC'!L$3:L$250)</f>
        <v>61334.169999999998</v>
      </c>
      <c r="Y28" s="53">
        <f>SUMIF('2024 AC'!$B$3:$B$250,"*"&amp;$D28&amp;"*",'2024 AC'!M$3:M$250)</f>
        <v>82683.059999999998</v>
      </c>
      <c r="Z28" s="93">
        <f>SUMIF('2024 AC'!$B$3:$B$250,"*"&amp;$D28&amp;"*",'2024 AC'!N$3:N$250)</f>
        <v>41620.43</v>
      </c>
      <c r="AA28" s="92">
        <f t="shared" si="9"/>
        <v>841352.7300000001</v>
      </c>
      <c r="AB28" s="93">
        <f t="shared" si="10"/>
        <v>248003.36000000002</v>
      </c>
      <c r="AC28" s="93">
        <f t="shared" si="11"/>
        <v>158538.83000000002</v>
      </c>
      <c r="AD28" s="93">
        <f t="shared" si="12"/>
        <v>249172.87999999998</v>
      </c>
      <c r="AE28" s="93">
        <f t="shared" si="13"/>
        <v>185637.65999999997</v>
      </c>
      <c r="AF28" s="92">
        <f t="shared" si="14"/>
        <v>841352.72999999998</v>
      </c>
      <c r="AH28" s="63">
        <f>SUMIF('2025 AC'!$B$3:$B$250,"*"&amp;$D28&amp;"*",'2025 AC'!C$3:C$250)</f>
        <v>36556.07</v>
      </c>
      <c r="AI28" s="53">
        <f>SUMIF('2025 AC'!$B$3:$B$250,"*"&amp;$D28&amp;"*",'2025 AC'!D$3:D$250)</f>
        <v>37009.269999999997</v>
      </c>
      <c r="AJ28" s="53">
        <f>SUMIF('2025 AC'!$B$3:$B$250,"*"&amp;$D28&amp;"*",'2025 AC'!E$3:E$250)</f>
        <v>48692.769999999997</v>
      </c>
      <c r="AK28" s="53">
        <f>SUMIF('2025 AC'!$B$3:$B$250,"*"&amp;$D28&amp;"*",'2025 AC'!F$3:F$250)</f>
        <v>52694.699999999997</v>
      </c>
      <c r="AL28" s="53">
        <f>SUMIF('2025 AC'!$B$3:$B$250,"*"&amp;$D28&amp;"*",'2025 AC'!G$3:G$250)</f>
        <v>43708.690000000002</v>
      </c>
      <c r="AM28" s="53">
        <f>SUMIF('2025 AC'!$B$3:$B$250,"*"&amp;$D28&amp;"*",'2025 AC'!H$3:H$250)</f>
        <v>56019.32</v>
      </c>
      <c r="AN28" s="53">
        <f>SUMIF('2025 AC'!$B$3:$B$250,"*"&amp;$D28&amp;"*",'2025 AC'!I$3:I$250)</f>
        <v>55221.529999999999</v>
      </c>
      <c r="AO28" s="53">
        <f>SUMIF('2025 AC'!$B$3:$B$250,"*"&amp;$D28&amp;"*",'2025 AC'!J$3:J$250)</f>
        <v>42610.839999999997</v>
      </c>
      <c r="AP28" s="53">
        <f>SUMIF('2025 AC'!$B$3:$B$250,"*"&amp;$D28&amp;"*",'2025 AC'!K$3:K$250)</f>
        <v>43375.410000000003</v>
      </c>
      <c r="AQ28" s="53">
        <f>SUMIF('2025 AC'!$B$3:$B$250,"*"&amp;$D28&amp;"*",'2025 AC'!L$3:L$250)</f>
        <v>36229.529999999999</v>
      </c>
      <c r="AR28" s="53">
        <f>SUMIF('2025 AC'!$B$3:$B$250,"*"&amp;$D28&amp;"*",'2025 AC'!M$3:M$250)</f>
        <v>33449.879999999997</v>
      </c>
      <c r="AS28" s="53">
        <f>SUMIF('2025 AC'!$B$3:$B$250,"*"&amp;$D28&amp;"*",'2025 AC'!N$3:N$250)</f>
        <v>48222.760000000002</v>
      </c>
      <c r="AT28" s="94">
        <f t="shared" si="15"/>
        <v>533790.77000000002</v>
      </c>
      <c r="AU28" s="93">
        <f t="shared" si="16"/>
        <v>122258.10999999999</v>
      </c>
      <c r="AV28" s="93">
        <f t="shared" si="17"/>
        <v>152422.70999999999</v>
      </c>
      <c r="AW28" s="93">
        <f t="shared" si="18"/>
        <v>141207.78</v>
      </c>
      <c r="AX28" s="93">
        <f t="shared" si="19"/>
        <v>117902.17000000001</v>
      </c>
      <c r="AY28" s="92">
        <f t="shared" si="20"/>
        <v>533790.77000000002</v>
      </c>
      <c r="BA28" s="63">
        <f>SUMIF('2026 AC'!$B$3:$B$254,"*"&amp;$D28&amp;"*",'2026 AC'!C$3:C$254)</f>
        <v>72341.520000000004</v>
      </c>
      <c r="BB28" s="53">
        <f>SUMIF('2026 AC'!$B$3:$B$254,"*"&amp;$D28&amp;"*",'2026 AC'!D$3:D$254)</f>
        <v>41920.269999999997</v>
      </c>
      <c r="BC28" s="53">
        <f>SUMIF('2026 AC'!$B$3:$B$254,"*"&amp;$D28&amp;"*",'2026 AC'!E$3:E$254)</f>
        <v>47216.199999999997</v>
      </c>
      <c r="BD28" s="53">
        <f>SUMIF('2026 AC'!$B$3:$B$254,"*"&amp;$D28&amp;"*",'2026 AC'!F$3:F$254)</f>
        <v>64930.400000000001</v>
      </c>
      <c r="BE28" s="53">
        <f>SUMIF('2026 AC'!$B$3:$B$254,"*"&amp;$D28&amp;"*",'2026 AC'!G$3:G$254)</f>
        <v>39865.169999999998</v>
      </c>
      <c r="BF28" s="53">
        <f>SUMIF('2026 AC'!$B$3:$B$254,"*"&amp;$D28&amp;"*",'2026 AC'!H$3:H$254)</f>
        <v>45375.879999999997</v>
      </c>
      <c r="BG28" s="53">
        <f>SUMIF('2026 AC'!$B$3:$B$254,"*"&amp;$D28&amp;"*",'2026 AC'!I$3:I$254)</f>
        <v>0</v>
      </c>
      <c r="BH28" s="53">
        <f>SUMIF('2026 AC'!$B$3:$B$254,"*"&amp;$D28&amp;"*",'2026 AC'!J$3:J$254)</f>
        <v>0</v>
      </c>
      <c r="BI28" s="53">
        <f>SUMIF('2026 AC'!$B$3:$B$254,"*"&amp;$D28&amp;"*",'2026 AC'!K$3:K$254)</f>
        <v>0</v>
      </c>
      <c r="BJ28" s="53">
        <f>SUMIF('2026 AC'!$B$3:$B$254,"*"&amp;$D28&amp;"*",'2026 AC'!L$3:L$254)</f>
        <v>0</v>
      </c>
      <c r="BK28" s="53">
        <f>SUMIF('2026 AC'!$B$3:$B$254,"*"&amp;$D28&amp;"*",'2026 AC'!M$3:M$254)</f>
        <v>0</v>
      </c>
      <c r="BL28" s="93">
        <f>SUMIF('2026 AC'!$B$3:$B$254,"*"&amp;$D28&amp;"*",'2026 AC'!N$3:N$254)</f>
        <v>0</v>
      </c>
      <c r="BM28" s="92">
        <f t="shared" si="21"/>
        <v>311649.44</v>
      </c>
      <c r="BN28" s="93">
        <f t="shared" si="22"/>
        <v>161477.98999999999</v>
      </c>
      <c r="BO28" s="93">
        <f t="shared" si="23"/>
        <v>150171.45000000001</v>
      </c>
      <c r="BP28" s="93">
        <f t="shared" si="24"/>
        <v>0</v>
      </c>
      <c r="BQ28" s="93">
        <f t="shared" si="25"/>
        <v>0</v>
      </c>
      <c r="BR28" s="92">
        <f t="shared" si="26"/>
        <v>311649.44</v>
      </c>
    </row>
    <row r="29" ht="15" customHeight="1" outlineLevel="1">
      <c r="A29" t="s">
        <v>42</v>
      </c>
      <c r="B29" t="s">
        <v>43</v>
      </c>
      <c r="C29" s="150" t="s">
        <v>44</v>
      </c>
      <c r="D29" s="35" t="s">
        <v>43</v>
      </c>
      <c r="E29" s="151">
        <f t="shared" si="49"/>
        <v>322233.15000000002</v>
      </c>
      <c r="F29" s="152">
        <f t="shared" si="50"/>
        <v>266352.17999999999</v>
      </c>
      <c r="G29" s="54">
        <f t="shared" si="2"/>
        <v>0.20980106113642483</v>
      </c>
      <c r="H29" s="153">
        <f t="shared" si="51"/>
        <v>983161.94000000006</v>
      </c>
      <c r="I29" s="153">
        <f t="shared" si="52"/>
        <v>817509.10000000009</v>
      </c>
      <c r="J29" s="54">
        <f t="shared" si="5"/>
        <v>0.20263118783631881</v>
      </c>
      <c r="K29" s="153">
        <f t="shared" si="53"/>
        <v>1935434.1100000003</v>
      </c>
      <c r="L29" s="153">
        <f t="shared" si="54"/>
        <v>1682793.7699999998</v>
      </c>
      <c r="M29" s="55">
        <f t="shared" si="8"/>
        <v>0.15013149234561321</v>
      </c>
      <c r="O29" s="63">
        <f>SUMIF('2024 AC'!$B$3:$B$250,"*"&amp;$D29&amp;"*",'2024 AC'!C$3:C$250)</f>
        <v>106475.37</v>
      </c>
      <c r="P29" s="53">
        <f>SUMIF('2024 AC'!$B$3:$B$250,"*"&amp;$D29&amp;"*",'2024 AC'!D$3:D$250)</f>
        <v>192677.42000000001</v>
      </c>
      <c r="Q29" s="53">
        <f>SUMIF('2024 AC'!$B$3:$B$250,"*"&amp;$D29&amp;"*",'2024 AC'!E$3:E$250)</f>
        <v>220731.87</v>
      </c>
      <c r="R29" s="53">
        <f>SUMIF('2024 AC'!$B$3:$B$250,"*"&amp;$D29&amp;"*",'2024 AC'!F$3:F$250)</f>
        <v>183013.56</v>
      </c>
      <c r="S29" s="53">
        <f>SUMIF('2024 AC'!$B$3:$B$250,"*"&amp;$D29&amp;"*",'2024 AC'!G$3:G$250)</f>
        <v>274407.21000000002</v>
      </c>
      <c r="T29" s="53">
        <f>SUMIF('2024 AC'!$B$3:$B$250,"*"&amp;$D29&amp;"*",'2024 AC'!H$3:H$250)</f>
        <v>261685.10000000001</v>
      </c>
      <c r="U29" s="53">
        <f>SUMIF('2024 AC'!$B$3:$B$250,"*"&amp;$D29&amp;"*",'2024 AC'!I$3:I$250)</f>
        <v>314220.34000000003</v>
      </c>
      <c r="V29" s="53">
        <f>SUMIF('2024 AC'!$B$3:$B$250,"*"&amp;$D29&amp;"*",'2024 AC'!J$3:J$250)</f>
        <v>319850.06</v>
      </c>
      <c r="W29" s="53">
        <f>SUMIF('2024 AC'!$B$3:$B$250,"*"&amp;$D29&amp;"*",'2024 AC'!K$3:K$250)</f>
        <v>309616.78000000003</v>
      </c>
      <c r="X29" s="53">
        <f>SUMIF('2024 AC'!$B$3:$B$250,"*"&amp;$D29&amp;"*",'2024 AC'!L$3:L$250)</f>
        <v>284565.22999999998</v>
      </c>
      <c r="Y29" s="53">
        <f>SUMIF('2024 AC'!$B$3:$B$250,"*"&amp;$D29&amp;"*",'2024 AC'!M$3:M$250)</f>
        <v>273913.98999999999</v>
      </c>
      <c r="Z29" s="93">
        <f>SUMIF('2024 AC'!$B$3:$B$250,"*"&amp;$D29&amp;"*",'2024 AC'!N$3:N$250)</f>
        <v>436035.88</v>
      </c>
      <c r="AA29" s="92">
        <f t="shared" si="9"/>
        <v>3177192.8099999996</v>
      </c>
      <c r="AB29" s="93">
        <f t="shared" si="10"/>
        <v>519884.66000000003</v>
      </c>
      <c r="AC29" s="93">
        <f t="shared" si="11"/>
        <v>719105.87</v>
      </c>
      <c r="AD29" s="93">
        <f t="shared" si="12"/>
        <v>943687.18000000005</v>
      </c>
      <c r="AE29" s="93">
        <f t="shared" si="13"/>
        <v>994515.09999999998</v>
      </c>
      <c r="AF29" s="92">
        <f t="shared" si="14"/>
        <v>3177192.8100000001</v>
      </c>
      <c r="AH29" s="63">
        <f>SUMIF('2025 AC'!$B$3:$B$250,"*"&amp;$D29&amp;"*",'2025 AC'!C$3:C$250)</f>
        <v>339450.79999999999</v>
      </c>
      <c r="AI29" s="53">
        <f>SUMIF('2025 AC'!$B$3:$B$250,"*"&amp;$D29&amp;"*",'2025 AC'!D$3:D$250)</f>
        <v>324160.5</v>
      </c>
      <c r="AJ29" s="53">
        <f>SUMIF('2025 AC'!$B$3:$B$250,"*"&amp;$D29&amp;"*",'2025 AC'!E$3:E$250)</f>
        <v>201673.37</v>
      </c>
      <c r="AK29" s="53">
        <f>SUMIF('2025 AC'!$B$3:$B$250,"*"&amp;$D29&amp;"*",'2025 AC'!F$3:F$250)</f>
        <v>260267.53</v>
      </c>
      <c r="AL29" s="53">
        <f>SUMIF('2025 AC'!$B$3:$B$250,"*"&amp;$D29&amp;"*",'2025 AC'!G$3:G$250)</f>
        <v>290889.39000000001</v>
      </c>
      <c r="AM29" s="53">
        <f>SUMIF('2025 AC'!$B$3:$B$250,"*"&amp;$D29&amp;"*",'2025 AC'!H$3:H$250)</f>
        <v>266352.17999999999</v>
      </c>
      <c r="AN29" s="53">
        <f>SUMIF('2025 AC'!$B$3:$B$250,"*"&amp;$D29&amp;"*",'2025 AC'!I$3:I$250)</f>
        <v>257531.70000000001</v>
      </c>
      <c r="AO29" s="53">
        <f>SUMIF('2025 AC'!$B$3:$B$250,"*"&amp;$D29&amp;"*",'2025 AC'!J$3:J$250)</f>
        <v>310536.85999999999</v>
      </c>
      <c r="AP29" s="53">
        <f>SUMIF('2025 AC'!$B$3:$B$250,"*"&amp;$D29&amp;"*",'2025 AC'!K$3:K$250)</f>
        <v>290099.95000000001</v>
      </c>
      <c r="AQ29" s="53">
        <f>SUMIF('2025 AC'!$B$3:$B$250,"*"&amp;$D29&amp;"*",'2025 AC'!L$3:L$250)</f>
        <v>202756.70999999999</v>
      </c>
      <c r="AR29" s="53">
        <f>SUMIF('2025 AC'!$B$3:$B$250,"*"&amp;$D29&amp;"*",'2025 AC'!M$3:M$250)</f>
        <v>228517.85999999999</v>
      </c>
      <c r="AS29" s="53">
        <f>SUMIF('2025 AC'!$B$3:$B$250,"*"&amp;$D29&amp;"*",'2025 AC'!N$3:N$250)</f>
        <v>412604.83000000002</v>
      </c>
      <c r="AT29" s="94">
        <f t="shared" si="15"/>
        <v>3384841.6799999997</v>
      </c>
      <c r="AU29" s="93">
        <f t="shared" si="16"/>
        <v>865284.67000000004</v>
      </c>
      <c r="AV29" s="93">
        <f t="shared" si="17"/>
        <v>817509.10000000009</v>
      </c>
      <c r="AW29" s="93">
        <f t="shared" si="18"/>
        <v>858168.51000000001</v>
      </c>
      <c r="AX29" s="93">
        <f t="shared" si="19"/>
        <v>843879.39999999991</v>
      </c>
      <c r="AY29" s="92">
        <f t="shared" si="20"/>
        <v>3384841.6800000002</v>
      </c>
      <c r="BA29" s="63">
        <f>SUMIF('2026 AC'!$B$3:$B$254,"*"&amp;$D29&amp;"*",'2026 AC'!C$3:C$254)</f>
        <v>348894.12</v>
      </c>
      <c r="BB29" s="53">
        <f>SUMIF('2026 AC'!$B$3:$B$254,"*"&amp;$D29&amp;"*",'2026 AC'!D$3:D$254)</f>
        <v>328793.52000000002</v>
      </c>
      <c r="BC29" s="53">
        <f>SUMIF('2026 AC'!$B$3:$B$254,"*"&amp;$D29&amp;"*",'2026 AC'!E$3:E$254)</f>
        <v>274584.53000000003</v>
      </c>
      <c r="BD29" s="53">
        <f>SUMIF('2026 AC'!$B$3:$B$254,"*"&amp;$D29&amp;"*",'2026 AC'!F$3:F$254)</f>
        <v>303828.01000000001</v>
      </c>
      <c r="BE29" s="53">
        <f>SUMIF('2026 AC'!$B$3:$B$254,"*"&amp;$D29&amp;"*",'2026 AC'!G$3:G$254)</f>
        <v>357100.78000000003</v>
      </c>
      <c r="BF29" s="53">
        <f>SUMIF('2026 AC'!$B$3:$B$254,"*"&amp;$D29&amp;"*",'2026 AC'!H$3:H$254)</f>
        <v>322233.15000000002</v>
      </c>
      <c r="BG29" s="53">
        <f>SUMIF('2026 AC'!$B$3:$B$254,"*"&amp;$D29&amp;"*",'2026 AC'!I$3:I$254)</f>
        <v>0</v>
      </c>
      <c r="BH29" s="53">
        <f>SUMIF('2026 AC'!$B$3:$B$254,"*"&amp;$D29&amp;"*",'2026 AC'!J$3:J$254)</f>
        <v>0</v>
      </c>
      <c r="BI29" s="53">
        <f>SUMIF('2026 AC'!$B$3:$B$254,"*"&amp;$D29&amp;"*",'2026 AC'!K$3:K$254)</f>
        <v>0</v>
      </c>
      <c r="BJ29" s="53">
        <f>SUMIF('2026 AC'!$B$3:$B$254,"*"&amp;$D29&amp;"*",'2026 AC'!L$3:L$254)</f>
        <v>0</v>
      </c>
      <c r="BK29" s="53">
        <f>SUMIF('2026 AC'!$B$3:$B$254,"*"&amp;$D29&amp;"*",'2026 AC'!M$3:M$254)</f>
        <v>0</v>
      </c>
      <c r="BL29" s="93">
        <f>SUMIF('2026 AC'!$B$3:$B$254,"*"&amp;$D29&amp;"*",'2026 AC'!N$3:N$254)</f>
        <v>0</v>
      </c>
      <c r="BM29" s="92">
        <f t="shared" si="21"/>
        <v>1935434.1100000003</v>
      </c>
      <c r="BN29" s="93">
        <f t="shared" si="22"/>
        <v>952272.17000000004</v>
      </c>
      <c r="BO29" s="93">
        <f t="shared" si="23"/>
        <v>983161.94000000006</v>
      </c>
      <c r="BP29" s="93">
        <f t="shared" si="24"/>
        <v>0</v>
      </c>
      <c r="BQ29" s="93">
        <f t="shared" si="25"/>
        <v>0</v>
      </c>
      <c r="BR29" s="92">
        <f t="shared" si="26"/>
        <v>1935434.1100000001</v>
      </c>
    </row>
    <row r="30" ht="15" customHeight="1" outlineLevel="1">
      <c r="A30" t="s">
        <v>45</v>
      </c>
      <c r="B30" t="s">
        <v>46</v>
      </c>
      <c r="C30" s="34" t="s">
        <v>47</v>
      </c>
      <c r="D30" s="35" t="s">
        <v>46</v>
      </c>
      <c r="E30" s="151">
        <f t="shared" si="49"/>
        <v>1881.4000000000001</v>
      </c>
      <c r="F30" s="152">
        <f t="shared" si="50"/>
        <v>0</v>
      </c>
      <c r="G30" s="154">
        <f>IFERROR((E30-F30)/F30,1)</f>
        <v>1</v>
      </c>
      <c r="H30" s="153">
        <f t="shared" si="51"/>
        <v>5050.9799999999996</v>
      </c>
      <c r="I30" s="153">
        <f t="shared" si="52"/>
        <v>0</v>
      </c>
      <c r="J30" s="154">
        <f>IFERROR((H30-I30)/I30,1)</f>
        <v>1</v>
      </c>
      <c r="K30" s="153">
        <f t="shared" si="53"/>
        <v>11106.24</v>
      </c>
      <c r="L30" s="153">
        <f t="shared" si="54"/>
        <v>0</v>
      </c>
      <c r="M30" s="155">
        <f>IFERROR((K30-L30)/L30,1)</f>
        <v>1</v>
      </c>
      <c r="O30" s="63">
        <f>SUMIF('2024 AC'!$B$3:$B$250,"*"&amp;$D30&amp;"*",'2024 AC'!C$3:C$250)</f>
        <v>0</v>
      </c>
      <c r="P30" s="53">
        <f>SUMIF('2024 AC'!$B$3:$B$250,"*"&amp;$D30&amp;"*",'2024 AC'!D$3:D$250)</f>
        <v>0</v>
      </c>
      <c r="Q30" s="53">
        <f>SUMIF('2024 AC'!$B$3:$B$250,"*"&amp;$D30&amp;"*",'2024 AC'!E$3:E$250)</f>
        <v>0</v>
      </c>
      <c r="R30" s="53">
        <f>SUMIF('2024 AC'!$B$3:$B$250,"*"&amp;$D30&amp;"*",'2024 AC'!F$3:F$250)</f>
        <v>0</v>
      </c>
      <c r="S30" s="53">
        <f>SUMIF('2024 AC'!$B$3:$B$250,"*"&amp;$D30&amp;"*",'2024 AC'!G$3:G$250)</f>
        <v>0</v>
      </c>
      <c r="T30" s="53">
        <f>SUMIF('2024 AC'!$B$3:$B$250,"*"&amp;$D30&amp;"*",'2024 AC'!H$3:H$250)</f>
        <v>0</v>
      </c>
      <c r="U30" s="53">
        <f>SUMIF('2024 AC'!$B$3:$B$250,"*"&amp;$D30&amp;"*",'2024 AC'!I$3:I$250)</f>
        <v>0</v>
      </c>
      <c r="V30" s="53">
        <f>SUMIF('2024 AC'!$B$3:$B$250,"*"&amp;$D30&amp;"*",'2024 AC'!J$3:J$250)</f>
        <v>0</v>
      </c>
      <c r="W30" s="53">
        <f>SUMIF('2024 AC'!$B$3:$B$250,"*"&amp;$D30&amp;"*",'2024 AC'!K$3:K$250)</f>
        <v>0</v>
      </c>
      <c r="X30" s="53">
        <f>SUMIF('2024 AC'!$B$3:$B$250,"*"&amp;$D30&amp;"*",'2024 AC'!L$3:L$250)</f>
        <v>0</v>
      </c>
      <c r="Y30" s="53">
        <f>SUMIF('2024 AC'!$B$3:$B$250,"*"&amp;$D30&amp;"*",'2024 AC'!M$3:M$250)</f>
        <v>0</v>
      </c>
      <c r="Z30" s="93">
        <f>SUMIF('2024 AC'!$B$3:$B$250,"*"&amp;$D30&amp;"*",'2024 AC'!N$3:N$250)</f>
        <v>0</v>
      </c>
      <c r="AA30" s="92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0</v>
      </c>
      <c r="AE30" s="93">
        <f t="shared" si="13"/>
        <v>0</v>
      </c>
      <c r="AF30" s="92">
        <f t="shared" si="14"/>
        <v>0</v>
      </c>
      <c r="AH30" s="63">
        <f>SUMIF('2025 AC'!$B$3:$B$250,"*"&amp;$D30&amp;"*",'2025 AC'!C$3:C$250)</f>
        <v>0</v>
      </c>
      <c r="AI30" s="53">
        <f>SUMIF('2025 AC'!$B$3:$B$250,"*"&amp;$D30&amp;"*",'2025 AC'!D$3:D$250)</f>
        <v>0</v>
      </c>
      <c r="AJ30" s="53">
        <f>SUMIF('2025 AC'!$B$3:$B$250,"*"&amp;$D30&amp;"*",'2025 AC'!E$3:E$250)</f>
        <v>0</v>
      </c>
      <c r="AK30" s="53">
        <f>SUMIF('2025 AC'!$B$3:$B$250,"*"&amp;$D30&amp;"*",'2025 AC'!F$3:F$250)</f>
        <v>0</v>
      </c>
      <c r="AL30" s="53">
        <f>SUMIF('2025 AC'!$B$3:$B$250,"*"&amp;$D30&amp;"*",'2025 AC'!G$3:G$250)</f>
        <v>0</v>
      </c>
      <c r="AM30" s="53">
        <f>SUMIF('2025 AC'!$B$3:$B$250,"*"&amp;$D30&amp;"*",'2025 AC'!H$3:H$250)</f>
        <v>0</v>
      </c>
      <c r="AN30" s="53">
        <f>SUMIF('2025 AC'!$B$3:$B$250,"*"&amp;$D30&amp;"*",'2025 AC'!I$3:I$250)</f>
        <v>779.66999999999996</v>
      </c>
      <c r="AO30" s="53">
        <f>SUMIF('2025 AC'!$B$3:$B$250,"*"&amp;$D30&amp;"*",'2025 AC'!J$3:J$250)</f>
        <v>1432.22</v>
      </c>
      <c r="AP30" s="53">
        <f>SUMIF('2025 AC'!$B$3:$B$250,"*"&amp;$D30&amp;"*",'2025 AC'!K$3:K$250)</f>
        <v>1000.03</v>
      </c>
      <c r="AQ30" s="53">
        <f>SUMIF('2025 AC'!$B$3:$B$250,"*"&amp;$D30&amp;"*",'2025 AC'!L$3:L$250)</f>
        <v>453.41000000000003</v>
      </c>
      <c r="AR30" s="53">
        <f>SUMIF('2025 AC'!$B$3:$B$250,"*"&amp;$D30&amp;"*",'2025 AC'!M$3:M$250)</f>
        <v>995.76999999999998</v>
      </c>
      <c r="AS30" s="53">
        <f>SUMIF('2025 AC'!$B$3:$B$250,"*"&amp;$D30&amp;"*",'2025 AC'!N$3:N$250)</f>
        <v>1258.54</v>
      </c>
      <c r="AT30" s="94">
        <f t="shared" si="15"/>
        <v>5919.6400000000003</v>
      </c>
      <c r="AU30" s="93">
        <f t="shared" si="16"/>
        <v>0</v>
      </c>
      <c r="AV30" s="93">
        <f t="shared" si="17"/>
        <v>0</v>
      </c>
      <c r="AW30" s="93">
        <f t="shared" si="18"/>
        <v>3211.9200000000001</v>
      </c>
      <c r="AX30" s="93">
        <f t="shared" si="19"/>
        <v>2707.7200000000003</v>
      </c>
      <c r="AY30" s="92">
        <f t="shared" si="20"/>
        <v>5919.6400000000003</v>
      </c>
      <c r="BA30" s="63">
        <f>SUMIF('2026 AC'!$B$3:$B$254,"*"&amp;$D30&amp;"*",'2026 AC'!C$3:C$254)</f>
        <v>2122.9000000000001</v>
      </c>
      <c r="BB30" s="53">
        <f>SUMIF('2026 AC'!$B$3:$B$254,"*"&amp;$D30&amp;"*",'2026 AC'!D$3:D$254)</f>
        <v>1652.6199999999999</v>
      </c>
      <c r="BC30" s="53">
        <f>SUMIF('2026 AC'!$B$3:$B$254,"*"&amp;$D30&amp;"*",'2026 AC'!E$3:E$254)</f>
        <v>2279.7399999999998</v>
      </c>
      <c r="BD30" s="53">
        <f>SUMIF('2026 AC'!$B$3:$B$254,"*"&amp;$D30&amp;"*",'2026 AC'!F$3:F$254)</f>
        <v>1355.96</v>
      </c>
      <c r="BE30" s="53">
        <f>SUMIF('2026 AC'!$B$3:$B$254,"*"&amp;$D30&amp;"*",'2026 AC'!G$3:G$254)</f>
        <v>1813.6199999999999</v>
      </c>
      <c r="BF30" s="53">
        <f>SUMIF('2026 AC'!$B$3:$B$254,"*"&amp;$D30&amp;"*",'2026 AC'!H$3:H$254)</f>
        <v>1881.4000000000001</v>
      </c>
      <c r="BG30" s="53">
        <f>SUMIF('2026 AC'!$B$3:$B$254,"*"&amp;$D30&amp;"*",'2026 AC'!I$3:I$254)</f>
        <v>0</v>
      </c>
      <c r="BH30" s="53">
        <f>SUMIF('2026 AC'!$B$3:$B$254,"*"&amp;$D30&amp;"*",'2026 AC'!J$3:J$254)</f>
        <v>0</v>
      </c>
      <c r="BI30" s="53">
        <f>SUMIF('2026 AC'!$B$3:$B$254,"*"&amp;$D30&amp;"*",'2026 AC'!K$3:K$254)</f>
        <v>0</v>
      </c>
      <c r="BJ30" s="53">
        <f>SUMIF('2026 AC'!$B$3:$B$254,"*"&amp;$D30&amp;"*",'2026 AC'!L$3:L$254)</f>
        <v>0</v>
      </c>
      <c r="BK30" s="53">
        <f>SUMIF('2026 AC'!$B$3:$B$254,"*"&amp;$D30&amp;"*",'2026 AC'!M$3:M$254)</f>
        <v>0</v>
      </c>
      <c r="BL30" s="93">
        <f>SUMIF('2026 AC'!$B$3:$B$254,"*"&amp;$D30&amp;"*",'2026 AC'!N$3:N$254)</f>
        <v>0</v>
      </c>
      <c r="BM30" s="92">
        <f t="shared" si="21"/>
        <v>11106.24</v>
      </c>
      <c r="BN30" s="93">
        <f t="shared" si="22"/>
        <v>6055.2600000000002</v>
      </c>
      <c r="BO30" s="93">
        <f t="shared" si="23"/>
        <v>5050.9799999999996</v>
      </c>
      <c r="BP30" s="93">
        <f t="shared" si="24"/>
        <v>0</v>
      </c>
      <c r="BQ30" s="93">
        <f t="shared" si="25"/>
        <v>0</v>
      </c>
      <c r="BR30" s="92">
        <f t="shared" si="26"/>
        <v>11106.24</v>
      </c>
    </row>
    <row r="31" ht="15" customHeight="1" outlineLevel="1">
      <c r="A31" t="s">
        <v>48</v>
      </c>
      <c r="B31" t="s">
        <v>49</v>
      </c>
      <c r="C31" s="150" t="s">
        <v>50</v>
      </c>
      <c r="D31" s="35" t="s">
        <v>49</v>
      </c>
      <c r="E31" s="151">
        <f t="shared" si="49"/>
        <v>123.01000000000001</v>
      </c>
      <c r="F31" s="152">
        <f t="shared" si="50"/>
        <v>0</v>
      </c>
      <c r="G31" s="154">
        <f t="shared" ref="G31:G42" si="55">IFERROR((E31-F31)/F31,0)</f>
        <v>0</v>
      </c>
      <c r="H31" s="153">
        <f t="shared" si="51"/>
        <v>326.81999999999999</v>
      </c>
      <c r="I31" s="153">
        <f t="shared" si="52"/>
        <v>108.57000000000001</v>
      </c>
      <c r="J31" s="154">
        <f t="shared" ref="J31:J32" si="56">IFERROR((H31-I31)/I31,0)</f>
        <v>2.010223818734457</v>
      </c>
      <c r="K31" s="153">
        <f t="shared" si="53"/>
        <v>813.81000000000006</v>
      </c>
      <c r="L31" s="153">
        <f t="shared" si="54"/>
        <v>108.57000000000001</v>
      </c>
      <c r="M31" s="155">
        <f t="shared" ref="M31:M34" si="57">IFERROR((K31-L31)/L31,0)</f>
        <v>6.4957170489085376</v>
      </c>
      <c r="O31" s="63">
        <f>SUMIF('2024 AC'!$B$3:$B$250,"*"&amp;$D31&amp;"*",'2024 AC'!C$3:C$250)</f>
        <v>0</v>
      </c>
      <c r="P31" s="53">
        <f>SUMIF('2024 AC'!$B$3:$B$250,"*"&amp;$D31&amp;"*",'2024 AC'!D$3:D$250)</f>
        <v>0</v>
      </c>
      <c r="Q31" s="53">
        <f>SUMIF('2024 AC'!$B$3:$B$250,"*"&amp;$D31&amp;"*",'2024 AC'!E$3:E$250)</f>
        <v>0</v>
      </c>
      <c r="R31" s="53">
        <f>SUMIF('2024 AC'!$B$3:$B$250,"*"&amp;$D31&amp;"*",'2024 AC'!F$3:F$250)</f>
        <v>0</v>
      </c>
      <c r="S31" s="53">
        <f>SUMIF('2024 AC'!$B$3:$B$250,"*"&amp;$D31&amp;"*",'2024 AC'!G$3:G$250)</f>
        <v>0</v>
      </c>
      <c r="T31" s="53">
        <f>SUMIF('2024 AC'!$B$3:$B$250,"*"&amp;$D31&amp;"*",'2024 AC'!H$3:H$250)</f>
        <v>0</v>
      </c>
      <c r="U31" s="53">
        <f>SUMIF('2024 AC'!$B$3:$B$250,"*"&amp;$D31&amp;"*",'2024 AC'!I$3:I$250)</f>
        <v>0</v>
      </c>
      <c r="V31" s="53">
        <f>SUMIF('2024 AC'!$B$3:$B$250,"*"&amp;$D31&amp;"*",'2024 AC'!J$3:J$250)</f>
        <v>0</v>
      </c>
      <c r="W31" s="53">
        <f>SUMIF('2024 AC'!$B$3:$B$250,"*"&amp;$D31&amp;"*",'2024 AC'!K$3:K$250)</f>
        <v>0</v>
      </c>
      <c r="X31" s="53">
        <f>SUMIF('2024 AC'!$B$3:$B$250,"*"&amp;$D31&amp;"*",'2024 AC'!L$3:L$250)</f>
        <v>47.5</v>
      </c>
      <c r="Y31" s="53">
        <f>SUMIF('2024 AC'!$B$3:$B$250,"*"&amp;$D31&amp;"*",'2024 AC'!M$3:M$250)</f>
        <v>0</v>
      </c>
      <c r="Z31" s="93">
        <f>SUMIF('2024 AC'!$B$3:$B$250,"*"&amp;$D31&amp;"*",'2024 AC'!N$3:N$250)</f>
        <v>739.75</v>
      </c>
      <c r="AA31" s="92">
        <f t="shared" si="9"/>
        <v>787.25</v>
      </c>
      <c r="AB31" s="93">
        <f t="shared" si="10"/>
        <v>0</v>
      </c>
      <c r="AC31" s="93">
        <f t="shared" si="11"/>
        <v>0</v>
      </c>
      <c r="AD31" s="93">
        <f t="shared" si="12"/>
        <v>0</v>
      </c>
      <c r="AE31" s="93">
        <f t="shared" si="13"/>
        <v>787.25</v>
      </c>
      <c r="AF31" s="92">
        <f t="shared" si="14"/>
        <v>787.25</v>
      </c>
      <c r="AH31" s="63">
        <f>SUMIF('2025 AC'!$B$3:$B$250,"*"&amp;$D31&amp;"*",'2025 AC'!C$3:C$250)</f>
        <v>0</v>
      </c>
      <c r="AI31" s="53">
        <f>SUMIF('2025 AC'!$B$3:$B$250,"*"&amp;$D31&amp;"*",'2025 AC'!D$3:D$250)</f>
        <v>0</v>
      </c>
      <c r="AJ31" s="53">
        <f>SUMIF('2025 AC'!$B$3:$B$250,"*"&amp;$D31&amp;"*",'2025 AC'!E$3:E$250)</f>
        <v>0</v>
      </c>
      <c r="AK31" s="53">
        <f>SUMIF('2025 AC'!$B$3:$B$250,"*"&amp;$D31&amp;"*",'2025 AC'!F$3:F$250)</f>
        <v>72.040000000000006</v>
      </c>
      <c r="AL31" s="53">
        <f>SUMIF('2025 AC'!$B$3:$B$250,"*"&amp;$D31&amp;"*",'2025 AC'!G$3:G$250)</f>
        <v>36.530000000000001</v>
      </c>
      <c r="AM31" s="53">
        <f>SUMIF('2025 AC'!$B$3:$B$250,"*"&amp;$D31&amp;"*",'2025 AC'!H$3:H$250)</f>
        <v>0</v>
      </c>
      <c r="AN31" s="53">
        <f>SUMIF('2025 AC'!$B$3:$B$250,"*"&amp;$D31&amp;"*",'2025 AC'!I$3:I$250)</f>
        <v>0</v>
      </c>
      <c r="AO31" s="53">
        <f>SUMIF('2025 AC'!$B$3:$B$250,"*"&amp;$D31&amp;"*",'2025 AC'!J$3:J$250)</f>
        <v>142.08000000000001</v>
      </c>
      <c r="AP31" s="53">
        <f>SUMIF('2025 AC'!$B$3:$B$250,"*"&amp;$D31&amp;"*",'2025 AC'!K$3:K$250)</f>
        <v>124.48999999999999</v>
      </c>
      <c r="AQ31" s="53">
        <f>SUMIF('2025 AC'!$B$3:$B$250,"*"&amp;$D31&amp;"*",'2025 AC'!L$3:L$250)</f>
        <v>0</v>
      </c>
      <c r="AR31" s="53">
        <f>SUMIF('2025 AC'!$B$3:$B$250,"*"&amp;$D31&amp;"*",'2025 AC'!M$3:M$250)</f>
        <v>46.530000000000001</v>
      </c>
      <c r="AS31" s="53">
        <f>SUMIF('2025 AC'!$B$3:$B$250,"*"&amp;$D31&amp;"*",'2025 AC'!N$3:N$250)</f>
        <v>0</v>
      </c>
      <c r="AT31" s="94">
        <f t="shared" si="15"/>
        <v>421.67000000000007</v>
      </c>
      <c r="AU31" s="93">
        <f t="shared" si="16"/>
        <v>0</v>
      </c>
      <c r="AV31" s="93">
        <f t="shared" si="17"/>
        <v>108.57000000000001</v>
      </c>
      <c r="AW31" s="93">
        <f t="shared" si="18"/>
        <v>266.56999999999999</v>
      </c>
      <c r="AX31" s="93">
        <f t="shared" si="19"/>
        <v>46.530000000000001</v>
      </c>
      <c r="AY31" s="92">
        <f t="shared" si="20"/>
        <v>421.66999999999996</v>
      </c>
      <c r="BA31" s="63">
        <f>SUMIF('2026 AC'!$B$3:$B$254,"*"&amp;$D31&amp;"*",'2026 AC'!C$3:C$254)</f>
        <v>308.00999999999999</v>
      </c>
      <c r="BB31" s="53">
        <f>SUMIF('2026 AC'!$B$3:$B$254,"*"&amp;$D31&amp;"*",'2026 AC'!D$3:D$254)</f>
        <v>178.97999999999999</v>
      </c>
      <c r="BC31" s="53">
        <f>SUMIF('2026 AC'!$B$3:$B$254,"*"&amp;$D31&amp;"*",'2026 AC'!E$3:E$254)</f>
        <v>0</v>
      </c>
      <c r="BD31" s="53">
        <f>SUMIF('2026 AC'!$B$3:$B$254,"*"&amp;$D31&amp;"*",'2026 AC'!F$3:F$254)</f>
        <v>56.82</v>
      </c>
      <c r="BE31" s="53">
        <f>SUMIF('2026 AC'!$B$3:$B$254,"*"&amp;$D31&amp;"*",'2026 AC'!G$3:G$254)</f>
        <v>146.99000000000001</v>
      </c>
      <c r="BF31" s="53">
        <f>SUMIF('2026 AC'!$B$3:$B$254,"*"&amp;$D31&amp;"*",'2026 AC'!H$3:H$254)</f>
        <v>123.01000000000001</v>
      </c>
      <c r="BG31" s="53">
        <f>SUMIF('2026 AC'!$B$3:$B$254,"*"&amp;$D31&amp;"*",'2026 AC'!I$3:I$254)</f>
        <v>0</v>
      </c>
      <c r="BH31" s="53">
        <f>SUMIF('2026 AC'!$B$3:$B$254,"*"&amp;$D31&amp;"*",'2026 AC'!J$3:J$254)</f>
        <v>0</v>
      </c>
      <c r="BI31" s="53">
        <f>SUMIF('2026 AC'!$B$3:$B$254,"*"&amp;$D31&amp;"*",'2026 AC'!K$3:K$254)</f>
        <v>0</v>
      </c>
      <c r="BJ31" s="53">
        <f>SUMIF('2026 AC'!$B$3:$B$254,"*"&amp;$D31&amp;"*",'2026 AC'!L$3:L$254)</f>
        <v>0</v>
      </c>
      <c r="BK31" s="53">
        <f>SUMIF('2026 AC'!$B$3:$B$254,"*"&amp;$D31&amp;"*",'2026 AC'!M$3:M$254)</f>
        <v>0</v>
      </c>
      <c r="BL31" s="93">
        <f>SUMIF('2026 AC'!$B$3:$B$254,"*"&amp;$D31&amp;"*",'2026 AC'!N$3:N$254)</f>
        <v>0</v>
      </c>
      <c r="BM31" s="92">
        <f t="shared" si="21"/>
        <v>813.81000000000006</v>
      </c>
      <c r="BN31" s="93">
        <f t="shared" si="22"/>
        <v>486.99000000000001</v>
      </c>
      <c r="BO31" s="93">
        <f t="shared" si="23"/>
        <v>326.81999999999999</v>
      </c>
      <c r="BP31" s="93">
        <f t="shared" si="24"/>
        <v>0</v>
      </c>
      <c r="BQ31" s="93">
        <f t="shared" si="25"/>
        <v>0</v>
      </c>
      <c r="BR31" s="92">
        <f t="shared" si="26"/>
        <v>813.80999999999995</v>
      </c>
    </row>
    <row r="32" ht="15" customHeight="1" outlineLevel="1">
      <c r="A32" t="s">
        <v>51</v>
      </c>
      <c r="B32" t="s">
        <v>52</v>
      </c>
      <c r="C32" s="150" t="s">
        <v>53</v>
      </c>
      <c r="D32" s="35" t="s">
        <v>52</v>
      </c>
      <c r="E32" s="151">
        <f t="shared" si="49"/>
        <v>0</v>
      </c>
      <c r="F32" s="152">
        <f t="shared" si="50"/>
        <v>0</v>
      </c>
      <c r="G32" s="154">
        <f t="shared" si="55"/>
        <v>0</v>
      </c>
      <c r="H32" s="153">
        <f t="shared" si="51"/>
        <v>0</v>
      </c>
      <c r="I32" s="153">
        <f t="shared" si="52"/>
        <v>0</v>
      </c>
      <c r="J32" s="154">
        <f t="shared" si="56"/>
        <v>0</v>
      </c>
      <c r="K32" s="153">
        <f t="shared" si="53"/>
        <v>0</v>
      </c>
      <c r="L32" s="153">
        <f t="shared" si="54"/>
        <v>0</v>
      </c>
      <c r="M32" s="155">
        <f t="shared" si="57"/>
        <v>0</v>
      </c>
      <c r="O32" s="63">
        <f>SUMIF('2024 AC'!$B$3:$B$250,"*"&amp;$D32&amp;"*",'2024 AC'!C$3:C$250)</f>
        <v>0</v>
      </c>
      <c r="P32" s="53">
        <f>SUMIF('2024 AC'!$B$3:$B$250,"*"&amp;$D32&amp;"*",'2024 AC'!D$3:D$250)</f>
        <v>0</v>
      </c>
      <c r="Q32" s="53">
        <f>SUMIF('2024 AC'!$B$3:$B$250,"*"&amp;$D32&amp;"*",'2024 AC'!E$3:E$250)</f>
        <v>0</v>
      </c>
      <c r="R32" s="53">
        <f>SUMIF('2024 AC'!$B$3:$B$250,"*"&amp;$D32&amp;"*",'2024 AC'!F$3:F$250)</f>
        <v>0</v>
      </c>
      <c r="S32" s="53">
        <f>SUMIF('2024 AC'!$B$3:$B$250,"*"&amp;$D32&amp;"*",'2024 AC'!G$3:G$250)</f>
        <v>416.67000000000002</v>
      </c>
      <c r="T32" s="53">
        <f>SUMIF('2024 AC'!$B$3:$B$250,"*"&amp;$D32&amp;"*",'2024 AC'!H$3:H$250)</f>
        <v>0</v>
      </c>
      <c r="U32" s="53">
        <f>SUMIF('2024 AC'!$B$3:$B$250,"*"&amp;$D32&amp;"*",'2024 AC'!I$3:I$250)</f>
        <v>127.12</v>
      </c>
      <c r="V32" s="53">
        <f>SUMIF('2024 AC'!$B$3:$B$250,"*"&amp;$D32&amp;"*",'2024 AC'!J$3:J$250)</f>
        <v>127.12</v>
      </c>
      <c r="W32" s="53">
        <f>SUMIF('2024 AC'!$B$3:$B$250,"*"&amp;$D32&amp;"*",'2024 AC'!K$3:K$250)</f>
        <v>129.66999999999999</v>
      </c>
      <c r="X32" s="53">
        <f>SUMIF('2024 AC'!$B$3:$B$250,"*"&amp;$D32&amp;"*",'2024 AC'!L$3:L$250)</f>
        <v>0</v>
      </c>
      <c r="Y32" s="53">
        <f>SUMIF('2024 AC'!$B$3:$B$250,"*"&amp;$D32&amp;"*",'2024 AC'!M$3:M$250)</f>
        <v>0</v>
      </c>
      <c r="Z32" s="93">
        <f>SUMIF('2024 AC'!$B$3:$B$250,"*"&amp;$D32&amp;"*",'2024 AC'!N$3:N$250)</f>
        <v>260.62</v>
      </c>
      <c r="AA32" s="92">
        <f t="shared" si="9"/>
        <v>1061.1999999999998</v>
      </c>
      <c r="AB32" s="93">
        <f t="shared" si="10"/>
        <v>0</v>
      </c>
      <c r="AC32" s="93">
        <f t="shared" si="11"/>
        <v>416.67000000000002</v>
      </c>
      <c r="AD32" s="93">
        <f t="shared" si="12"/>
        <v>383.90999999999997</v>
      </c>
      <c r="AE32" s="93">
        <f t="shared" si="13"/>
        <v>260.62</v>
      </c>
      <c r="AF32" s="92">
        <f t="shared" si="14"/>
        <v>1061.1999999999998</v>
      </c>
      <c r="AH32" s="63">
        <f>SUMIF('2025 AC'!$B$3:$B$250,"*"&amp;$D32&amp;"*",'2025 AC'!C$3:C$250)</f>
        <v>0</v>
      </c>
      <c r="AI32" s="53">
        <f>SUMIF('2025 AC'!$B$3:$B$250,"*"&amp;$D32&amp;"*",'2025 AC'!D$3:D$250)</f>
        <v>0</v>
      </c>
      <c r="AJ32" s="53">
        <f>SUMIF('2025 AC'!$B$3:$B$250,"*"&amp;$D32&amp;"*",'2025 AC'!E$3:E$250)</f>
        <v>0</v>
      </c>
      <c r="AK32" s="53">
        <f>SUMIF('2025 AC'!$B$3:$B$250,"*"&amp;$D32&amp;"*",'2025 AC'!F$3:F$250)</f>
        <v>0</v>
      </c>
      <c r="AL32" s="53">
        <f>SUMIF('2025 AC'!$B$3:$B$250,"*"&amp;$D32&amp;"*",'2025 AC'!G$3:G$250)</f>
        <v>0</v>
      </c>
      <c r="AM32" s="53">
        <f>SUMIF('2025 AC'!$B$3:$B$250,"*"&amp;$D32&amp;"*",'2025 AC'!H$3:H$250)</f>
        <v>0</v>
      </c>
      <c r="AN32" s="53">
        <f>SUMIF('2025 AC'!$B$3:$B$250,"*"&amp;$D32&amp;"*",'2025 AC'!I$3:I$250)</f>
        <v>0</v>
      </c>
      <c r="AO32" s="53">
        <f>SUMIF('2025 AC'!$B$3:$B$250,"*"&amp;$D32&amp;"*",'2025 AC'!J$3:J$250)</f>
        <v>0</v>
      </c>
      <c r="AP32" s="53">
        <f>SUMIF('2025 AC'!$B$3:$B$250,"*"&amp;$D32&amp;"*",'2025 AC'!K$3:K$250)</f>
        <v>0</v>
      </c>
      <c r="AQ32" s="53">
        <f>SUMIF('2025 AC'!$B$3:$B$250,"*"&amp;$D32&amp;"*",'2025 AC'!L$3:L$250)</f>
        <v>0</v>
      </c>
      <c r="AR32" s="53">
        <f>SUMIF('2025 AC'!$B$3:$B$250,"*"&amp;$D32&amp;"*",'2025 AC'!M$3:M$250)</f>
        <v>0</v>
      </c>
      <c r="AS32" s="53">
        <f>SUMIF('2025 AC'!$B$3:$B$250,"*"&amp;$D32&amp;"*",'2025 AC'!N$3:N$250)</f>
        <v>0</v>
      </c>
      <c r="AT32" s="94">
        <f t="shared" si="15"/>
        <v>0</v>
      </c>
      <c r="AU32" s="93">
        <f t="shared" si="16"/>
        <v>0</v>
      </c>
      <c r="AV32" s="93">
        <f t="shared" si="17"/>
        <v>0</v>
      </c>
      <c r="AW32" s="93">
        <f t="shared" si="18"/>
        <v>0</v>
      </c>
      <c r="AX32" s="93">
        <f t="shared" si="19"/>
        <v>0</v>
      </c>
      <c r="AY32" s="92">
        <f t="shared" si="20"/>
        <v>0</v>
      </c>
      <c r="BA32" s="63">
        <f>SUMIF('2026 AC'!$B$3:$B$254,"*"&amp;$D32&amp;"*",'2026 AC'!C$3:C$254)</f>
        <v>0</v>
      </c>
      <c r="BB32" s="53">
        <f>SUMIF('2026 AC'!$B$3:$B$254,"*"&amp;$D32&amp;"*",'2026 AC'!D$3:D$254)</f>
        <v>0</v>
      </c>
      <c r="BC32" s="53">
        <f>SUMIF('2026 AC'!$B$3:$B$254,"*"&amp;$D32&amp;"*",'2026 AC'!E$3:E$254)</f>
        <v>0</v>
      </c>
      <c r="BD32" s="53">
        <f>SUMIF('2026 AC'!$B$3:$B$254,"*"&amp;$D32&amp;"*",'2026 AC'!F$3:F$254)</f>
        <v>0</v>
      </c>
      <c r="BE32" s="53">
        <f>SUMIF('2026 AC'!$B$3:$B$254,"*"&amp;$D32&amp;"*",'2026 AC'!G$3:G$254)</f>
        <v>0</v>
      </c>
      <c r="BF32" s="53">
        <f>SUMIF('2026 AC'!$B$3:$B$254,"*"&amp;$D32&amp;"*",'2026 AC'!H$3:H$254)</f>
        <v>0</v>
      </c>
      <c r="BG32" s="53">
        <f>SUMIF('2026 AC'!$B$3:$B$254,"*"&amp;$D32&amp;"*",'2026 AC'!I$3:I$254)</f>
        <v>0</v>
      </c>
      <c r="BH32" s="53">
        <f>SUMIF('2026 AC'!$B$3:$B$254,"*"&amp;$D32&amp;"*",'2026 AC'!J$3:J$254)</f>
        <v>0</v>
      </c>
      <c r="BI32" s="53">
        <f>SUMIF('2026 AC'!$B$3:$B$254,"*"&amp;$D32&amp;"*",'2026 AC'!K$3:K$254)</f>
        <v>0</v>
      </c>
      <c r="BJ32" s="53">
        <f>SUMIF('2026 AC'!$B$3:$B$254,"*"&amp;$D32&amp;"*",'2026 AC'!L$3:L$254)</f>
        <v>0</v>
      </c>
      <c r="BK32" s="53">
        <f>SUMIF('2026 AC'!$B$3:$B$254,"*"&amp;$D32&amp;"*",'2026 AC'!M$3:M$254)</f>
        <v>0</v>
      </c>
      <c r="BL32" s="93">
        <f>SUMIF('2026 AC'!$B$3:$B$254,"*"&amp;$D32&amp;"*",'2026 AC'!N$3:N$254)</f>
        <v>0</v>
      </c>
      <c r="BM32" s="92">
        <f t="shared" si="21"/>
        <v>0</v>
      </c>
      <c r="BN32" s="93">
        <f t="shared" si="22"/>
        <v>0</v>
      </c>
      <c r="BO32" s="93">
        <f t="shared" si="23"/>
        <v>0</v>
      </c>
      <c r="BP32" s="93">
        <f t="shared" si="24"/>
        <v>0</v>
      </c>
      <c r="BQ32" s="93">
        <f t="shared" si="25"/>
        <v>0</v>
      </c>
      <c r="BR32" s="92">
        <f t="shared" si="26"/>
        <v>0</v>
      </c>
    </row>
    <row r="33" ht="15" customHeight="1" outlineLevel="1">
      <c r="A33" t="s">
        <v>54</v>
      </c>
      <c r="B33" t="s">
        <v>55</v>
      </c>
      <c r="C33" s="150" t="s">
        <v>56</v>
      </c>
      <c r="D33" s="35" t="s">
        <v>55</v>
      </c>
      <c r="E33" s="151">
        <f t="shared" si="49"/>
        <v>0</v>
      </c>
      <c r="F33" s="152">
        <f t="shared" si="50"/>
        <v>0</v>
      </c>
      <c r="G33" s="154">
        <f t="shared" si="55"/>
        <v>0</v>
      </c>
      <c r="H33" s="153">
        <f t="shared" si="51"/>
        <v>0</v>
      </c>
      <c r="I33" s="153">
        <f t="shared" si="52"/>
        <v>0</v>
      </c>
      <c r="J33" s="154">
        <f>IFERROR((H33-I33)/I33,1)</f>
        <v>1</v>
      </c>
      <c r="K33" s="153">
        <f t="shared" si="53"/>
        <v>42.369999999999997</v>
      </c>
      <c r="L33" s="153">
        <f t="shared" si="54"/>
        <v>0</v>
      </c>
      <c r="M33" s="155">
        <f>IFERROR((K33-L33)/L33,1)</f>
        <v>1</v>
      </c>
      <c r="O33" s="63">
        <f>SUMIF('2024 AC'!$B$3:$B$250,"*"&amp;$D33&amp;"*",'2024 AC'!C$3:C$250)</f>
        <v>232.75</v>
      </c>
      <c r="P33" s="53">
        <f>SUMIF('2024 AC'!$B$3:$B$250,"*"&amp;$D33&amp;"*",'2024 AC'!D$3:D$250)</f>
        <v>0</v>
      </c>
      <c r="Q33" s="53">
        <f>SUMIF('2024 AC'!$B$3:$B$250,"*"&amp;$D33&amp;"*",'2024 AC'!E$3:E$250)</f>
        <v>0</v>
      </c>
      <c r="R33" s="53">
        <f>SUMIF('2024 AC'!$B$3:$B$250,"*"&amp;$D33&amp;"*",'2024 AC'!F$3:F$250)</f>
        <v>0</v>
      </c>
      <c r="S33" s="53">
        <f>SUMIF('2024 AC'!$B$3:$B$250,"*"&amp;$D33&amp;"*",'2024 AC'!G$3:G$250)</f>
        <v>0</v>
      </c>
      <c r="T33" s="53">
        <f>SUMIF('2024 AC'!$B$3:$B$250,"*"&amp;$D33&amp;"*",'2024 AC'!H$3:H$250)</f>
        <v>0</v>
      </c>
      <c r="U33" s="53">
        <f>SUMIF('2024 AC'!$B$3:$B$250,"*"&amp;$D33&amp;"*",'2024 AC'!I$3:I$250)</f>
        <v>0</v>
      </c>
      <c r="V33" s="53">
        <f>SUMIF('2024 AC'!$B$3:$B$250,"*"&amp;$D33&amp;"*",'2024 AC'!J$3:J$250)</f>
        <v>0</v>
      </c>
      <c r="W33" s="53">
        <f>SUMIF('2024 AC'!$B$3:$B$250,"*"&amp;$D33&amp;"*",'2024 AC'!K$3:K$250)</f>
        <v>0</v>
      </c>
      <c r="X33" s="53">
        <f>SUMIF('2024 AC'!$B$3:$B$250,"*"&amp;$D33&amp;"*",'2024 AC'!L$3:L$250)</f>
        <v>0</v>
      </c>
      <c r="Y33" s="53">
        <f>SUMIF('2024 AC'!$B$3:$B$250,"*"&amp;$D33&amp;"*",'2024 AC'!M$3:M$250)</f>
        <v>0</v>
      </c>
      <c r="Z33" s="93">
        <f>SUMIF('2024 AC'!$B$3:$B$250,"*"&amp;$D33&amp;"*",'2024 AC'!N$3:N$250)</f>
        <v>0</v>
      </c>
      <c r="AA33" s="92">
        <f t="shared" si="9"/>
        <v>232.75</v>
      </c>
      <c r="AB33" s="93">
        <f t="shared" si="10"/>
        <v>232.75</v>
      </c>
      <c r="AC33" s="93">
        <f t="shared" si="11"/>
        <v>0</v>
      </c>
      <c r="AD33" s="93">
        <f t="shared" si="12"/>
        <v>0</v>
      </c>
      <c r="AE33" s="93">
        <f t="shared" si="13"/>
        <v>0</v>
      </c>
      <c r="AF33" s="92">
        <f t="shared" si="14"/>
        <v>232.75</v>
      </c>
      <c r="AH33" s="63">
        <f>SUMIF('2025 AC'!$B$3:$B$250,"*"&amp;$D33&amp;"*",'2025 AC'!C$3:C$250)</f>
        <v>0</v>
      </c>
      <c r="AI33" s="53">
        <f>SUMIF('2025 AC'!$B$3:$B$250,"*"&amp;$D33&amp;"*",'2025 AC'!D$3:D$250)</f>
        <v>0</v>
      </c>
      <c r="AJ33" s="53">
        <f>SUMIF('2025 AC'!$B$3:$B$250,"*"&amp;$D33&amp;"*",'2025 AC'!E$3:E$250)</f>
        <v>0</v>
      </c>
      <c r="AK33" s="53">
        <f>SUMIF('2025 AC'!$B$3:$B$250,"*"&amp;$D33&amp;"*",'2025 AC'!F$3:F$250)</f>
        <v>0</v>
      </c>
      <c r="AL33" s="53">
        <f>SUMIF('2025 AC'!$B$3:$B$250,"*"&amp;$D33&amp;"*",'2025 AC'!G$3:G$250)</f>
        <v>0</v>
      </c>
      <c r="AM33" s="53">
        <f>SUMIF('2025 AC'!$B$3:$B$250,"*"&amp;$D33&amp;"*",'2025 AC'!H$3:H$250)</f>
        <v>0</v>
      </c>
      <c r="AN33" s="53">
        <f>SUMIF('2025 AC'!$B$3:$B$250,"*"&amp;$D33&amp;"*",'2025 AC'!I$3:I$250)</f>
        <v>42.369999999999997</v>
      </c>
      <c r="AO33" s="53">
        <f>SUMIF('2025 AC'!$B$3:$B$250,"*"&amp;$D33&amp;"*",'2025 AC'!J$3:J$250)</f>
        <v>42.369999999999997</v>
      </c>
      <c r="AP33" s="53">
        <f>SUMIF('2025 AC'!$B$3:$B$250,"*"&amp;$D33&amp;"*",'2025 AC'!K$3:K$250)</f>
        <v>177.97</v>
      </c>
      <c r="AQ33" s="53">
        <f>SUMIF('2025 AC'!$B$3:$B$250,"*"&amp;$D33&amp;"*",'2025 AC'!L$3:L$250)</f>
        <v>16.949999999999999</v>
      </c>
      <c r="AR33" s="53">
        <f>SUMIF('2025 AC'!$B$3:$B$250,"*"&amp;$D33&amp;"*",'2025 AC'!M$3:M$250)</f>
        <v>0</v>
      </c>
      <c r="AS33" s="53">
        <f>SUMIF('2025 AC'!$B$3:$B$250,"*"&amp;$D33&amp;"*",'2025 AC'!N$3:N$250)</f>
        <v>0</v>
      </c>
      <c r="AT33" s="94">
        <f t="shared" si="15"/>
        <v>279.65999999999997</v>
      </c>
      <c r="AU33" s="93">
        <f t="shared" si="16"/>
        <v>0</v>
      </c>
      <c r="AV33" s="93">
        <f t="shared" si="17"/>
        <v>0</v>
      </c>
      <c r="AW33" s="93">
        <f t="shared" si="18"/>
        <v>262.70999999999998</v>
      </c>
      <c r="AX33" s="93">
        <f t="shared" si="19"/>
        <v>16.949999999999999</v>
      </c>
      <c r="AY33" s="92">
        <f t="shared" si="20"/>
        <v>279.65999999999997</v>
      </c>
      <c r="BA33" s="63">
        <f>SUMIF('2026 AC'!$B$3:$B$254,"*"&amp;$D33&amp;"*",'2026 AC'!C$3:C$254)</f>
        <v>0</v>
      </c>
      <c r="BB33" s="53">
        <f>SUMIF('2026 AC'!$B$3:$B$254,"*"&amp;$D33&amp;"*",'2026 AC'!D$3:D$254)</f>
        <v>42.369999999999997</v>
      </c>
      <c r="BC33" s="53">
        <f>SUMIF('2026 AC'!$B$3:$B$254,"*"&amp;$D33&amp;"*",'2026 AC'!E$3:E$254)</f>
        <v>0</v>
      </c>
      <c r="BD33" s="53">
        <f>SUMIF('2026 AC'!$B$3:$B$254,"*"&amp;$D33&amp;"*",'2026 AC'!F$3:F$254)</f>
        <v>0</v>
      </c>
      <c r="BE33" s="53">
        <f>SUMIF('2026 AC'!$B$3:$B$254,"*"&amp;$D33&amp;"*",'2026 AC'!G$3:G$254)</f>
        <v>0</v>
      </c>
      <c r="BF33" s="53">
        <f>SUMIF('2026 AC'!$B$3:$B$254,"*"&amp;$D33&amp;"*",'2026 AC'!H$3:H$254)</f>
        <v>0</v>
      </c>
      <c r="BG33" s="53">
        <f>SUMIF('2026 AC'!$B$3:$B$254,"*"&amp;$D33&amp;"*",'2026 AC'!I$3:I$254)</f>
        <v>0</v>
      </c>
      <c r="BH33" s="53">
        <f>SUMIF('2026 AC'!$B$3:$B$254,"*"&amp;$D33&amp;"*",'2026 AC'!J$3:J$254)</f>
        <v>0</v>
      </c>
      <c r="BI33" s="53">
        <f>SUMIF('2026 AC'!$B$3:$B$254,"*"&amp;$D33&amp;"*",'2026 AC'!K$3:K$254)</f>
        <v>0</v>
      </c>
      <c r="BJ33" s="53">
        <f>SUMIF('2026 AC'!$B$3:$B$254,"*"&amp;$D33&amp;"*",'2026 AC'!L$3:L$254)</f>
        <v>0</v>
      </c>
      <c r="BK33" s="53">
        <f>SUMIF('2026 AC'!$B$3:$B$254,"*"&amp;$D33&amp;"*",'2026 AC'!M$3:M$254)</f>
        <v>0</v>
      </c>
      <c r="BL33" s="93">
        <f>SUMIF('2026 AC'!$B$3:$B$254,"*"&amp;$D33&amp;"*",'2026 AC'!N$3:N$254)</f>
        <v>0</v>
      </c>
      <c r="BM33" s="92">
        <f t="shared" si="21"/>
        <v>42.369999999999997</v>
      </c>
      <c r="BN33" s="93">
        <f t="shared" si="22"/>
        <v>42.369999999999997</v>
      </c>
      <c r="BO33" s="93">
        <f t="shared" si="23"/>
        <v>0</v>
      </c>
      <c r="BP33" s="93">
        <f t="shared" si="24"/>
        <v>0</v>
      </c>
      <c r="BQ33" s="93">
        <f t="shared" si="25"/>
        <v>0</v>
      </c>
      <c r="BR33" s="92">
        <f t="shared" si="26"/>
        <v>42.369999999999997</v>
      </c>
    </row>
    <row r="34" ht="15" customHeight="1" outlineLevel="1">
      <c r="A34" t="s">
        <v>57</v>
      </c>
      <c r="B34" t="s">
        <v>58</v>
      </c>
      <c r="C34" s="150" t="s">
        <v>59</v>
      </c>
      <c r="D34" s="35" t="s">
        <v>58</v>
      </c>
      <c r="E34" s="151">
        <f t="shared" si="49"/>
        <v>0</v>
      </c>
      <c r="F34" s="152">
        <f t="shared" si="50"/>
        <v>0</v>
      </c>
      <c r="G34" s="154">
        <f t="shared" si="55"/>
        <v>0</v>
      </c>
      <c r="H34" s="153">
        <f t="shared" si="51"/>
        <v>0</v>
      </c>
      <c r="I34" s="153">
        <f t="shared" si="52"/>
        <v>0</v>
      </c>
      <c r="J34" s="154">
        <f>IFERROR((H34-I34)/I34,0)</f>
        <v>0</v>
      </c>
      <c r="K34" s="153">
        <f t="shared" si="53"/>
        <v>0</v>
      </c>
      <c r="L34" s="153">
        <f t="shared" si="54"/>
        <v>0</v>
      </c>
      <c r="M34" s="155">
        <f t="shared" si="57"/>
        <v>0</v>
      </c>
      <c r="O34" s="63">
        <f>SUMIF('2024 AC'!$B$3:$B$250,"*"&amp;$D34&amp;"*",'2024 AC'!C$3:C$250)</f>
        <v>0</v>
      </c>
      <c r="P34" s="53">
        <f>SUMIF('2024 AC'!$B$3:$B$250,"*"&amp;$D34&amp;"*",'2024 AC'!D$3:D$250)</f>
        <v>0</v>
      </c>
      <c r="Q34" s="53">
        <f>SUMIF('2024 AC'!$B$3:$B$250,"*"&amp;$D34&amp;"*",'2024 AC'!E$3:E$250)</f>
        <v>0</v>
      </c>
      <c r="R34" s="53">
        <f>SUMIF('2024 AC'!$B$3:$B$250,"*"&amp;$D34&amp;"*",'2024 AC'!F$3:F$250)</f>
        <v>0</v>
      </c>
      <c r="S34" s="53">
        <f>SUMIF('2024 AC'!$B$3:$B$250,"*"&amp;$D34&amp;"*",'2024 AC'!G$3:G$250)</f>
        <v>0</v>
      </c>
      <c r="T34" s="53">
        <f>SUMIF('2024 AC'!$B$3:$B$250,"*"&amp;$D34&amp;"*",'2024 AC'!H$3:H$250)</f>
        <v>0</v>
      </c>
      <c r="U34" s="53">
        <f>SUMIF('2024 AC'!$B$3:$B$250,"*"&amp;$D34&amp;"*",'2024 AC'!I$3:I$250)</f>
        <v>0</v>
      </c>
      <c r="V34" s="53">
        <f>SUMIF('2024 AC'!$B$3:$B$250,"*"&amp;$D34&amp;"*",'2024 AC'!J$3:J$250)</f>
        <v>0</v>
      </c>
      <c r="W34" s="53">
        <f>SUMIF('2024 AC'!$B$3:$B$250,"*"&amp;$D34&amp;"*",'2024 AC'!K$3:K$250)</f>
        <v>0</v>
      </c>
      <c r="X34" s="53">
        <f>SUMIF('2024 AC'!$B$3:$B$250,"*"&amp;$D34&amp;"*",'2024 AC'!L$3:L$250)</f>
        <v>0</v>
      </c>
      <c r="Y34" s="53">
        <f>SUMIF('2024 AC'!$B$3:$B$250,"*"&amp;$D34&amp;"*",'2024 AC'!M$3:M$250)</f>
        <v>0</v>
      </c>
      <c r="Z34" s="93">
        <f>SUMIF('2024 AC'!$B$3:$B$250,"*"&amp;$D34&amp;"*",'2024 AC'!N$3:N$250)</f>
        <v>0</v>
      </c>
      <c r="AA34" s="92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13"/>
        <v>0</v>
      </c>
      <c r="AF34" s="92">
        <f t="shared" si="14"/>
        <v>0</v>
      </c>
      <c r="AH34" s="63">
        <f>SUMIF('2025 AC'!$B$3:$B$250,"*"&amp;$D34&amp;"*",'2025 AC'!C$3:C$250)</f>
        <v>0</v>
      </c>
      <c r="AI34" s="53">
        <f>SUMIF('2025 AC'!$B$3:$B$250,"*"&amp;$D34&amp;"*",'2025 AC'!D$3:D$250)</f>
        <v>0</v>
      </c>
      <c r="AJ34" s="53">
        <f>SUMIF('2025 AC'!$B$3:$B$250,"*"&amp;$D34&amp;"*",'2025 AC'!E$3:E$250)</f>
        <v>0</v>
      </c>
      <c r="AK34" s="53">
        <f>SUMIF('2025 AC'!$B$3:$B$250,"*"&amp;$D34&amp;"*",'2025 AC'!F$3:F$250)</f>
        <v>0</v>
      </c>
      <c r="AL34" s="53">
        <f>SUMIF('2025 AC'!$B$3:$B$250,"*"&amp;$D34&amp;"*",'2025 AC'!G$3:G$250)</f>
        <v>0</v>
      </c>
      <c r="AM34" s="53">
        <f>SUMIF('2025 AC'!$B$3:$B$250,"*"&amp;$D34&amp;"*",'2025 AC'!H$3:H$250)</f>
        <v>0</v>
      </c>
      <c r="AN34" s="53">
        <f>SUMIF('2025 AC'!$B$3:$B$250,"*"&amp;$D34&amp;"*",'2025 AC'!I$3:I$250)</f>
        <v>0</v>
      </c>
      <c r="AO34" s="53">
        <f>SUMIF('2025 AC'!$B$3:$B$250,"*"&amp;$D34&amp;"*",'2025 AC'!J$3:J$250)</f>
        <v>0</v>
      </c>
      <c r="AP34" s="53">
        <f>SUMIF('2025 AC'!$B$3:$B$250,"*"&amp;$D34&amp;"*",'2025 AC'!K$3:K$250)</f>
        <v>0</v>
      </c>
      <c r="AQ34" s="53">
        <f>SUMIF('2025 AC'!$B$3:$B$250,"*"&amp;$D34&amp;"*",'2025 AC'!L$3:L$250)</f>
        <v>0</v>
      </c>
      <c r="AR34" s="53">
        <f>SUMIF('2025 AC'!$B$3:$B$250,"*"&amp;$D34&amp;"*",'2025 AC'!M$3:M$250)</f>
        <v>0</v>
      </c>
      <c r="AS34" s="53">
        <f>SUMIF('2025 AC'!$B$3:$B$250,"*"&amp;$D34&amp;"*",'2025 AC'!N$3:N$250)</f>
        <v>0</v>
      </c>
      <c r="AT34" s="94">
        <f t="shared" si="15"/>
        <v>0</v>
      </c>
      <c r="AU34" s="93">
        <f t="shared" si="16"/>
        <v>0</v>
      </c>
      <c r="AV34" s="93">
        <f t="shared" si="17"/>
        <v>0</v>
      </c>
      <c r="AW34" s="93">
        <f t="shared" si="18"/>
        <v>0</v>
      </c>
      <c r="AX34" s="93">
        <f t="shared" si="19"/>
        <v>0</v>
      </c>
      <c r="AY34" s="92">
        <f t="shared" si="20"/>
        <v>0</v>
      </c>
      <c r="BA34" s="63">
        <f>SUMIF('2026 AC'!$B$3:$B$254,"*"&amp;$D34&amp;"*",'2026 AC'!C$3:C$254)</f>
        <v>0</v>
      </c>
      <c r="BB34" s="53">
        <f>SUMIF('2026 AC'!$B$3:$B$254,"*"&amp;$D34&amp;"*",'2026 AC'!D$3:D$254)</f>
        <v>0</v>
      </c>
      <c r="BC34" s="53">
        <f>SUMIF('2026 AC'!$B$3:$B$254,"*"&amp;$D34&amp;"*",'2026 AC'!E$3:E$254)</f>
        <v>0</v>
      </c>
      <c r="BD34" s="53">
        <f>SUMIF('2026 AC'!$B$3:$B$254,"*"&amp;$D34&amp;"*",'2026 AC'!F$3:F$254)</f>
        <v>0</v>
      </c>
      <c r="BE34" s="53">
        <f>SUMIF('2026 AC'!$B$3:$B$254,"*"&amp;$D34&amp;"*",'2026 AC'!G$3:G$254)</f>
        <v>0</v>
      </c>
      <c r="BF34" s="53">
        <f>SUMIF('2026 AC'!$B$3:$B$254,"*"&amp;$D34&amp;"*",'2026 AC'!H$3:H$254)</f>
        <v>0</v>
      </c>
      <c r="BG34" s="53">
        <f>SUMIF('2026 AC'!$B$3:$B$254,"*"&amp;$D34&amp;"*",'2026 AC'!I$3:I$254)</f>
        <v>0</v>
      </c>
      <c r="BH34" s="53">
        <f>SUMIF('2026 AC'!$B$3:$B$254,"*"&amp;$D34&amp;"*",'2026 AC'!J$3:J$254)</f>
        <v>0</v>
      </c>
      <c r="BI34" s="53">
        <f>SUMIF('2026 AC'!$B$3:$B$254,"*"&amp;$D34&amp;"*",'2026 AC'!K$3:K$254)</f>
        <v>0</v>
      </c>
      <c r="BJ34" s="53">
        <f>SUMIF('2026 AC'!$B$3:$B$254,"*"&amp;$D34&amp;"*",'2026 AC'!L$3:L$254)</f>
        <v>0</v>
      </c>
      <c r="BK34" s="53">
        <f>SUMIF('2026 AC'!$B$3:$B$254,"*"&amp;$D34&amp;"*",'2026 AC'!M$3:M$254)</f>
        <v>0</v>
      </c>
      <c r="BL34" s="93">
        <f>SUMIF('2026 AC'!$B$3:$B$254,"*"&amp;$D34&amp;"*",'2026 AC'!N$3:N$254)</f>
        <v>0</v>
      </c>
      <c r="BM34" s="92">
        <f t="shared" si="21"/>
        <v>0</v>
      </c>
      <c r="BN34" s="93">
        <f t="shared" si="22"/>
        <v>0</v>
      </c>
      <c r="BO34" s="93">
        <f t="shared" si="23"/>
        <v>0</v>
      </c>
      <c r="BP34" s="93">
        <f t="shared" si="24"/>
        <v>0</v>
      </c>
      <c r="BQ34" s="93">
        <f t="shared" si="25"/>
        <v>0</v>
      </c>
      <c r="BR34" s="92">
        <f t="shared" si="26"/>
        <v>0</v>
      </c>
    </row>
    <row r="35" ht="15" customHeight="1" outlineLevel="1">
      <c r="A35" t="s">
        <v>60</v>
      </c>
      <c r="B35" t="s">
        <v>61</v>
      </c>
      <c r="C35" s="150" t="s">
        <v>62</v>
      </c>
      <c r="D35" s="35" t="s">
        <v>61</v>
      </c>
      <c r="E35" s="151">
        <f t="shared" si="49"/>
        <v>0</v>
      </c>
      <c r="F35" s="152">
        <f t="shared" si="50"/>
        <v>275.07999999999998</v>
      </c>
      <c r="G35" s="154">
        <f t="shared" si="55"/>
        <v>-1</v>
      </c>
      <c r="H35" s="153">
        <f t="shared" si="51"/>
        <v>0</v>
      </c>
      <c r="I35" s="153">
        <f t="shared" si="52"/>
        <v>616.76999999999998</v>
      </c>
      <c r="J35" s="54">
        <f t="shared" ref="J35:J39" si="58">(H35-I35)/I35</f>
        <v>-1</v>
      </c>
      <c r="K35" s="153">
        <f t="shared" si="53"/>
        <v>254.25</v>
      </c>
      <c r="L35" s="153">
        <f t="shared" si="54"/>
        <v>676.25999999999999</v>
      </c>
      <c r="M35" s="55">
        <f t="shared" ref="M35:M39" si="59">(K35-L35)/L35</f>
        <v>-0.6240351344157572</v>
      </c>
      <c r="O35" s="63">
        <f>SUMIF('2024 AC'!$B$3:$B$250,"*"&amp;$D35&amp;"*",'2024 AC'!C$3:C$250)</f>
        <v>0</v>
      </c>
      <c r="P35" s="53">
        <f>SUMIF('2024 AC'!$B$3:$B$250,"*"&amp;$D35&amp;"*",'2024 AC'!D$3:D$250)</f>
        <v>172.41999999999999</v>
      </c>
      <c r="Q35" s="53">
        <f>SUMIF('2024 AC'!$B$3:$B$250,"*"&amp;$D35&amp;"*",'2024 AC'!E$3:E$250)</f>
        <v>0</v>
      </c>
      <c r="R35" s="53">
        <f>SUMIF('2024 AC'!$B$3:$B$250,"*"&amp;$D35&amp;"*",'2024 AC'!F$3:F$250)</f>
        <v>84.75</v>
      </c>
      <c r="S35" s="53">
        <f>SUMIF('2024 AC'!$B$3:$B$250,"*"&amp;$D35&amp;"*",'2024 AC'!G$3:G$250)</f>
        <v>338.99000000000001</v>
      </c>
      <c r="T35" s="53">
        <f>SUMIF('2024 AC'!$B$3:$B$250,"*"&amp;$D35&amp;"*",'2024 AC'!H$3:H$250)</f>
        <v>169.5</v>
      </c>
      <c r="U35" s="53">
        <f>SUMIF('2024 AC'!$B$3:$B$250,"*"&amp;$D35&amp;"*",'2024 AC'!I$3:I$250)</f>
        <v>0</v>
      </c>
      <c r="V35" s="53">
        <f>SUMIF('2024 AC'!$B$3:$B$250,"*"&amp;$D35&amp;"*",'2024 AC'!J$3:J$250)</f>
        <v>169.5</v>
      </c>
      <c r="W35" s="53">
        <f>SUMIF('2024 AC'!$B$3:$B$250,"*"&amp;$D35&amp;"*",'2024 AC'!K$3:K$250)</f>
        <v>84.75</v>
      </c>
      <c r="X35" s="53">
        <f>SUMIF('2024 AC'!$B$3:$B$250,"*"&amp;$D35&amp;"*",'2024 AC'!L$3:L$250)</f>
        <v>0</v>
      </c>
      <c r="Y35" s="53">
        <f>SUMIF('2024 AC'!$B$3:$B$250,"*"&amp;$D35&amp;"*",'2024 AC'!M$3:M$250)</f>
        <v>151.87</v>
      </c>
      <c r="Z35" s="93">
        <f>SUMIF('2024 AC'!$B$3:$B$250,"*"&amp;$D35&amp;"*",'2024 AC'!N$3:N$250)</f>
        <v>292.38</v>
      </c>
      <c r="AA35" s="92">
        <f t="shared" si="9"/>
        <v>1464.1599999999999</v>
      </c>
      <c r="AB35" s="93">
        <f t="shared" si="10"/>
        <v>172.41999999999999</v>
      </c>
      <c r="AC35" s="93">
        <f t="shared" si="11"/>
        <v>593.24000000000001</v>
      </c>
      <c r="AD35" s="93">
        <f t="shared" si="12"/>
        <v>254.25</v>
      </c>
      <c r="AE35" s="93">
        <f t="shared" si="13"/>
        <v>444.25</v>
      </c>
      <c r="AF35" s="92">
        <f t="shared" si="14"/>
        <v>1464.1599999999999</v>
      </c>
      <c r="AH35" s="63">
        <f>SUMIF('2025 AC'!$B$3:$B$250,"*"&amp;$D35&amp;"*",'2025 AC'!C$3:C$250)</f>
        <v>8.6500000000000004</v>
      </c>
      <c r="AI35" s="53">
        <f>SUMIF('2025 AC'!$B$3:$B$250,"*"&amp;$D35&amp;"*",'2025 AC'!D$3:D$250)</f>
        <v>50.840000000000003</v>
      </c>
      <c r="AJ35" s="53">
        <f>SUMIF('2025 AC'!$B$3:$B$250,"*"&amp;$D35&amp;"*",'2025 AC'!E$3:E$250)</f>
        <v>0</v>
      </c>
      <c r="AK35" s="53">
        <f>SUMIF('2025 AC'!$B$3:$B$250,"*"&amp;$D35&amp;"*",'2025 AC'!F$3:F$250)</f>
        <v>0</v>
      </c>
      <c r="AL35" s="53">
        <f>SUMIF('2025 AC'!$B$3:$B$250,"*"&amp;$D35&amp;"*",'2025 AC'!G$3:G$250)</f>
        <v>341.69</v>
      </c>
      <c r="AM35" s="53">
        <f>SUMIF('2025 AC'!$B$3:$B$250,"*"&amp;$D35&amp;"*",'2025 AC'!H$3:H$250)</f>
        <v>275.07999999999998</v>
      </c>
      <c r="AN35" s="53">
        <f>SUMIF('2025 AC'!$B$3:$B$250,"*"&amp;$D35&amp;"*",'2025 AC'!I$3:I$250)</f>
        <v>121.53</v>
      </c>
      <c r="AO35" s="53">
        <f>SUMIF('2025 AC'!$B$3:$B$250,"*"&amp;$D35&amp;"*",'2025 AC'!J$3:J$250)</f>
        <v>169.5</v>
      </c>
      <c r="AP35" s="53">
        <f>SUMIF('2025 AC'!$B$3:$B$250,"*"&amp;$D35&amp;"*",'2025 AC'!K$3:K$250)</f>
        <v>0</v>
      </c>
      <c r="AQ35" s="53">
        <f>SUMIF('2025 AC'!$B$3:$B$250,"*"&amp;$D35&amp;"*",'2025 AC'!L$3:L$250)</f>
        <v>0</v>
      </c>
      <c r="AR35" s="53">
        <f>SUMIF('2025 AC'!$B$3:$B$250,"*"&amp;$D35&amp;"*",'2025 AC'!M$3:M$250)</f>
        <v>0</v>
      </c>
      <c r="AS35" s="53">
        <f>SUMIF('2025 AC'!$B$3:$B$250,"*"&amp;$D35&amp;"*",'2025 AC'!N$3:N$250)</f>
        <v>0</v>
      </c>
      <c r="AT35" s="94">
        <f t="shared" si="15"/>
        <v>967.28999999999996</v>
      </c>
      <c r="AU35" s="93">
        <f t="shared" si="16"/>
        <v>59.490000000000002</v>
      </c>
      <c r="AV35" s="93">
        <f t="shared" si="17"/>
        <v>616.76999999999998</v>
      </c>
      <c r="AW35" s="93">
        <f t="shared" si="18"/>
        <v>291.02999999999997</v>
      </c>
      <c r="AX35" s="93">
        <f t="shared" si="19"/>
        <v>0</v>
      </c>
      <c r="AY35" s="92">
        <f t="shared" si="20"/>
        <v>967.28999999999996</v>
      </c>
      <c r="BA35" s="63">
        <f>SUMIF('2026 AC'!$B$3:$B$254,"*"&amp;$D35&amp;"*",'2026 AC'!C$3:C$254)</f>
        <v>254.25</v>
      </c>
      <c r="BB35" s="53">
        <f>SUMIF('2026 AC'!$B$3:$B$254,"*"&amp;$D35&amp;"*",'2026 AC'!D$3:D$254)</f>
        <v>0</v>
      </c>
      <c r="BC35" s="53">
        <f>SUMIF('2026 AC'!$B$3:$B$254,"*"&amp;$D35&amp;"*",'2026 AC'!E$3:E$254)</f>
        <v>0</v>
      </c>
      <c r="BD35" s="53">
        <f>SUMIF('2026 AC'!$B$3:$B$254,"*"&amp;$D35&amp;"*",'2026 AC'!F$3:F$254)</f>
        <v>0</v>
      </c>
      <c r="BE35" s="53">
        <f>SUMIF('2026 AC'!$B$3:$B$254,"*"&amp;$D35&amp;"*",'2026 AC'!G$3:G$254)</f>
        <v>0</v>
      </c>
      <c r="BF35" s="53">
        <f>SUMIF('2026 AC'!$B$3:$B$254,"*"&amp;$D35&amp;"*",'2026 AC'!H$3:H$254)</f>
        <v>0</v>
      </c>
      <c r="BG35" s="53">
        <f>SUMIF('2026 AC'!$B$3:$B$254,"*"&amp;$D35&amp;"*",'2026 AC'!I$3:I$254)</f>
        <v>0</v>
      </c>
      <c r="BH35" s="53">
        <f>SUMIF('2026 AC'!$B$3:$B$254,"*"&amp;$D35&amp;"*",'2026 AC'!J$3:J$254)</f>
        <v>0</v>
      </c>
      <c r="BI35" s="53">
        <f>SUMIF('2026 AC'!$B$3:$B$254,"*"&amp;$D35&amp;"*",'2026 AC'!K$3:K$254)</f>
        <v>0</v>
      </c>
      <c r="BJ35" s="53">
        <f>SUMIF('2026 AC'!$B$3:$B$254,"*"&amp;$D35&amp;"*",'2026 AC'!L$3:L$254)</f>
        <v>0</v>
      </c>
      <c r="BK35" s="53">
        <f>SUMIF('2026 AC'!$B$3:$B$254,"*"&amp;$D35&amp;"*",'2026 AC'!M$3:M$254)</f>
        <v>0</v>
      </c>
      <c r="BL35" s="93">
        <f>SUMIF('2026 AC'!$B$3:$B$254,"*"&amp;$D35&amp;"*",'2026 AC'!N$3:N$254)</f>
        <v>0</v>
      </c>
      <c r="BM35" s="92">
        <f t="shared" si="21"/>
        <v>254.25</v>
      </c>
      <c r="BN35" s="93">
        <f t="shared" si="22"/>
        <v>254.25</v>
      </c>
      <c r="BO35" s="93">
        <f t="shared" si="23"/>
        <v>0</v>
      </c>
      <c r="BP35" s="93">
        <f t="shared" si="24"/>
        <v>0</v>
      </c>
      <c r="BQ35" s="93">
        <f t="shared" si="25"/>
        <v>0</v>
      </c>
      <c r="BR35" s="92">
        <f t="shared" si="26"/>
        <v>254.25</v>
      </c>
    </row>
    <row r="36" ht="15" customHeight="1" outlineLevel="1">
      <c r="A36" t="s">
        <v>63</v>
      </c>
      <c r="B36" t="s">
        <v>64</v>
      </c>
      <c r="C36" s="150" t="s">
        <v>65</v>
      </c>
      <c r="D36" s="35" t="s">
        <v>64</v>
      </c>
      <c r="E36" s="151">
        <f t="shared" si="49"/>
        <v>0</v>
      </c>
      <c r="F36" s="152">
        <f t="shared" si="50"/>
        <v>0</v>
      </c>
      <c r="G36" s="154">
        <f t="shared" si="55"/>
        <v>0</v>
      </c>
      <c r="H36" s="153">
        <f t="shared" si="51"/>
        <v>10</v>
      </c>
      <c r="I36" s="153">
        <f t="shared" si="52"/>
        <v>0</v>
      </c>
      <c r="J36" s="154">
        <f>IFERROR((H36-I36)/I36,1)</f>
        <v>1</v>
      </c>
      <c r="K36" s="153">
        <f t="shared" si="53"/>
        <v>10</v>
      </c>
      <c r="L36" s="153">
        <f t="shared" si="54"/>
        <v>0</v>
      </c>
      <c r="M36" s="155">
        <f>IFERROR((K36-L36)/L36,1)</f>
        <v>1</v>
      </c>
      <c r="O36" s="63">
        <f>SUMIF('2024 AC'!$B$3:$B$250,"*"&amp;$D36&amp;"*",'2024 AC'!C$3:C$250)</f>
        <v>0</v>
      </c>
      <c r="P36" s="53">
        <f>SUMIF('2024 AC'!$B$3:$B$250,"*"&amp;$D36&amp;"*",'2024 AC'!D$3:D$250)</f>
        <v>0</v>
      </c>
      <c r="Q36" s="53">
        <f>SUMIF('2024 AC'!$B$3:$B$250,"*"&amp;$D36&amp;"*",'2024 AC'!E$3:E$250)</f>
        <v>0</v>
      </c>
      <c r="R36" s="53">
        <f>SUMIF('2024 AC'!$B$3:$B$250,"*"&amp;$D36&amp;"*",'2024 AC'!F$3:F$250)</f>
        <v>0</v>
      </c>
      <c r="S36" s="53">
        <f>SUMIF('2024 AC'!$B$3:$B$250,"*"&amp;$D36&amp;"*",'2024 AC'!G$3:G$250)</f>
        <v>0</v>
      </c>
      <c r="T36" s="53">
        <f>SUMIF('2024 AC'!$B$3:$B$250,"*"&amp;$D36&amp;"*",'2024 AC'!H$3:H$250)</f>
        <v>0</v>
      </c>
      <c r="U36" s="53">
        <f>SUMIF('2024 AC'!$B$3:$B$250,"*"&amp;$D36&amp;"*",'2024 AC'!I$3:I$250)</f>
        <v>0</v>
      </c>
      <c r="V36" s="53">
        <f>SUMIF('2024 AC'!$B$3:$B$250,"*"&amp;$D36&amp;"*",'2024 AC'!J$3:J$250)</f>
        <v>0</v>
      </c>
      <c r="W36" s="53">
        <f>SUMIF('2024 AC'!$B$3:$B$250,"*"&amp;$D36&amp;"*",'2024 AC'!K$3:K$250)</f>
        <v>10</v>
      </c>
      <c r="X36" s="53">
        <f>SUMIF('2024 AC'!$B$3:$B$250,"*"&amp;$D36&amp;"*",'2024 AC'!L$3:L$250)</f>
        <v>0</v>
      </c>
      <c r="Y36" s="53">
        <f>SUMIF('2024 AC'!$B$3:$B$250,"*"&amp;$D36&amp;"*",'2024 AC'!M$3:M$250)</f>
        <v>10</v>
      </c>
      <c r="Z36" s="93">
        <f>SUMIF('2024 AC'!$B$3:$B$250,"*"&amp;$D36&amp;"*",'2024 AC'!N$3:N$250)</f>
        <v>0</v>
      </c>
      <c r="AA36" s="92">
        <f t="shared" si="9"/>
        <v>20</v>
      </c>
      <c r="AB36" s="93">
        <f t="shared" si="10"/>
        <v>0</v>
      </c>
      <c r="AC36" s="93">
        <f t="shared" si="11"/>
        <v>0</v>
      </c>
      <c r="AD36" s="93">
        <f t="shared" si="12"/>
        <v>10</v>
      </c>
      <c r="AE36" s="93">
        <f t="shared" si="13"/>
        <v>10</v>
      </c>
      <c r="AF36" s="92">
        <f t="shared" si="14"/>
        <v>20</v>
      </c>
      <c r="AH36" s="63">
        <f>SUMIF('2025 AC'!$B$3:$B$250,"*"&amp;$D36&amp;"*",'2025 AC'!C$3:C$250)</f>
        <v>0</v>
      </c>
      <c r="AI36" s="53">
        <f>SUMIF('2025 AC'!$B$3:$B$250,"*"&amp;$D36&amp;"*",'2025 AC'!D$3:D$250)</f>
        <v>0</v>
      </c>
      <c r="AJ36" s="53">
        <f>SUMIF('2025 AC'!$B$3:$B$250,"*"&amp;$D36&amp;"*",'2025 AC'!E$3:E$250)</f>
        <v>0</v>
      </c>
      <c r="AK36" s="53">
        <f>SUMIF('2025 AC'!$B$3:$B$250,"*"&amp;$D36&amp;"*",'2025 AC'!F$3:F$250)</f>
        <v>0</v>
      </c>
      <c r="AL36" s="53">
        <f>SUMIF('2025 AC'!$B$3:$B$250,"*"&amp;$D36&amp;"*",'2025 AC'!G$3:G$250)</f>
        <v>0</v>
      </c>
      <c r="AM36" s="53">
        <f>SUMIF('2025 AC'!$B$3:$B$250,"*"&amp;$D36&amp;"*",'2025 AC'!H$3:H$250)</f>
        <v>0</v>
      </c>
      <c r="AN36" s="53">
        <f>SUMIF('2025 AC'!$B$3:$B$250,"*"&amp;$D36&amp;"*",'2025 AC'!I$3:I$250)</f>
        <v>0</v>
      </c>
      <c r="AO36" s="53">
        <f>SUMIF('2025 AC'!$B$3:$B$250,"*"&amp;$D36&amp;"*",'2025 AC'!J$3:J$250)</f>
        <v>0</v>
      </c>
      <c r="AP36" s="53">
        <f>SUMIF('2025 AC'!$B$3:$B$250,"*"&amp;$D36&amp;"*",'2025 AC'!K$3:K$250)</f>
        <v>0</v>
      </c>
      <c r="AQ36" s="53">
        <f>SUMIF('2025 AC'!$B$3:$B$250,"*"&amp;$D36&amp;"*",'2025 AC'!L$3:L$250)</f>
        <v>0</v>
      </c>
      <c r="AR36" s="53">
        <f>SUMIF('2025 AC'!$B$3:$B$250,"*"&amp;$D36&amp;"*",'2025 AC'!M$3:M$250)</f>
        <v>0</v>
      </c>
      <c r="AS36" s="53">
        <f>SUMIF('2025 AC'!$B$3:$B$250,"*"&amp;$D36&amp;"*",'2025 AC'!N$3:N$250)</f>
        <v>9.1799999999999997</v>
      </c>
      <c r="AT36" s="94">
        <f t="shared" si="15"/>
        <v>9.1799999999999997</v>
      </c>
      <c r="AU36" s="93">
        <f t="shared" si="16"/>
        <v>0</v>
      </c>
      <c r="AV36" s="93">
        <f t="shared" si="17"/>
        <v>0</v>
      </c>
      <c r="AW36" s="93">
        <f t="shared" si="18"/>
        <v>0</v>
      </c>
      <c r="AX36" s="93">
        <f t="shared" si="19"/>
        <v>9.1799999999999997</v>
      </c>
      <c r="AY36" s="92">
        <f t="shared" si="20"/>
        <v>9.1799999999999997</v>
      </c>
      <c r="BA36" s="63">
        <f>SUMIF('2026 AC'!$B$3:$B$254,"*"&amp;$D36&amp;"*",'2026 AC'!C$3:C$254)</f>
        <v>0</v>
      </c>
      <c r="BB36" s="53">
        <f>SUMIF('2026 AC'!$B$3:$B$254,"*"&amp;$D36&amp;"*",'2026 AC'!D$3:D$254)</f>
        <v>0</v>
      </c>
      <c r="BC36" s="53">
        <f>SUMIF('2026 AC'!$B$3:$B$254,"*"&amp;$D36&amp;"*",'2026 AC'!E$3:E$254)</f>
        <v>0</v>
      </c>
      <c r="BD36" s="53">
        <f>SUMIF('2026 AC'!$B$3:$B$254,"*"&amp;$D36&amp;"*",'2026 AC'!F$3:F$254)</f>
        <v>0</v>
      </c>
      <c r="BE36" s="53">
        <f>SUMIF('2026 AC'!$B$3:$B$254,"*"&amp;$D36&amp;"*",'2026 AC'!G$3:G$254)</f>
        <v>10</v>
      </c>
      <c r="BF36" s="53">
        <f>SUMIF('2026 AC'!$B$3:$B$254,"*"&amp;$D36&amp;"*",'2026 AC'!H$3:H$254)</f>
        <v>0</v>
      </c>
      <c r="BG36" s="53">
        <f>SUMIF('2026 AC'!$B$3:$B$254,"*"&amp;$D36&amp;"*",'2026 AC'!I$3:I$254)</f>
        <v>0</v>
      </c>
      <c r="BH36" s="53">
        <f>SUMIF('2026 AC'!$B$3:$B$254,"*"&amp;$D36&amp;"*",'2026 AC'!J$3:J$254)</f>
        <v>0</v>
      </c>
      <c r="BI36" s="53">
        <f>SUMIF('2026 AC'!$B$3:$B$254,"*"&amp;$D36&amp;"*",'2026 AC'!K$3:K$254)</f>
        <v>0</v>
      </c>
      <c r="BJ36" s="53">
        <f>SUMIF('2026 AC'!$B$3:$B$254,"*"&amp;$D36&amp;"*",'2026 AC'!L$3:L$254)</f>
        <v>0</v>
      </c>
      <c r="BK36" s="53">
        <f>SUMIF('2026 AC'!$B$3:$B$254,"*"&amp;$D36&amp;"*",'2026 AC'!M$3:M$254)</f>
        <v>0</v>
      </c>
      <c r="BL36" s="93">
        <f>SUMIF('2026 AC'!$B$3:$B$254,"*"&amp;$D36&amp;"*",'2026 AC'!N$3:N$254)</f>
        <v>0</v>
      </c>
      <c r="BM36" s="92">
        <f t="shared" si="21"/>
        <v>10</v>
      </c>
      <c r="BN36" s="93">
        <f t="shared" si="22"/>
        <v>0</v>
      </c>
      <c r="BO36" s="93">
        <f t="shared" si="23"/>
        <v>10</v>
      </c>
      <c r="BP36" s="93">
        <f t="shared" si="24"/>
        <v>0</v>
      </c>
      <c r="BQ36" s="93">
        <f t="shared" si="25"/>
        <v>0</v>
      </c>
      <c r="BR36" s="92">
        <f t="shared" si="26"/>
        <v>10</v>
      </c>
    </row>
    <row r="37" ht="15" customHeight="1" outlineLevel="1">
      <c r="A37" t="s">
        <v>66</v>
      </c>
      <c r="B37" t="s">
        <v>67</v>
      </c>
      <c r="C37" s="150" t="s">
        <v>68</v>
      </c>
      <c r="D37" s="156" t="s">
        <v>67</v>
      </c>
      <c r="E37" s="151">
        <f t="shared" si="49"/>
        <v>10501.290000000001</v>
      </c>
      <c r="F37" s="152">
        <f t="shared" si="50"/>
        <v>13972.879999999999</v>
      </c>
      <c r="G37" s="54">
        <f t="shared" ref="G37:G39" si="60">(E37-F37)/F37</f>
        <v>-0.24845200130538575</v>
      </c>
      <c r="H37" s="153">
        <f t="shared" si="51"/>
        <v>32536.549999999999</v>
      </c>
      <c r="I37" s="153">
        <f t="shared" si="52"/>
        <v>44079.389999999999</v>
      </c>
      <c r="J37" s="54">
        <f t="shared" si="58"/>
        <v>-0.26186478533391683</v>
      </c>
      <c r="K37" s="153">
        <f t="shared" si="53"/>
        <v>62939.229999999996</v>
      </c>
      <c r="L37" s="153">
        <f t="shared" si="54"/>
        <v>71262.650000000009</v>
      </c>
      <c r="M37" s="55">
        <f t="shared" si="59"/>
        <v>-0.11679919284505995</v>
      </c>
      <c r="O37" s="63">
        <f>SUMIF('2024 AC'!$B$3:$B$250,"*"&amp;$D37&amp;"*",'2024 AC'!C$3:C$250)</f>
        <v>16553.619999999999</v>
      </c>
      <c r="P37" s="53">
        <f>SUMIF('2024 AC'!$B$3:$B$250,"*"&amp;$D37&amp;"*",'2024 AC'!D$3:D$250)</f>
        <v>20560.029999999999</v>
      </c>
      <c r="Q37" s="53">
        <f>SUMIF('2024 AC'!$B$3:$B$250,"*"&amp;$D37&amp;"*",'2024 AC'!E$3:E$250)</f>
        <v>7550.1700000000001</v>
      </c>
      <c r="R37" s="53">
        <f>SUMIF('2024 AC'!$B$3:$B$250,"*"&amp;$D37&amp;"*",'2024 AC'!F$3:F$250)</f>
        <v>10739.639999999999</v>
      </c>
      <c r="S37" s="53">
        <f>SUMIF('2024 AC'!$B$3:$B$250,"*"&amp;$D37&amp;"*",'2024 AC'!G$3:G$250)</f>
        <v>17809.02</v>
      </c>
      <c r="T37" s="53">
        <f>SUMIF('2024 AC'!$B$3:$B$250,"*"&amp;$D37&amp;"*",'2024 AC'!H$3:H$250)</f>
        <v>13795.41</v>
      </c>
      <c r="U37" s="53">
        <f>SUMIF('2024 AC'!$B$3:$B$250,"*"&amp;$D37&amp;"*",'2024 AC'!I$3:I$250)</f>
        <v>16256.450000000001</v>
      </c>
      <c r="V37" s="53">
        <f>SUMIF('2024 AC'!$B$3:$B$250,"*"&amp;$D37&amp;"*",'2024 AC'!J$3:J$250)</f>
        <v>25670.240000000002</v>
      </c>
      <c r="W37" s="53">
        <f>SUMIF('2024 AC'!$B$3:$B$250,"*"&amp;$D37&amp;"*",'2024 AC'!K$3:K$250)</f>
        <v>12413.74</v>
      </c>
      <c r="X37" s="53">
        <f>SUMIF('2024 AC'!$B$3:$B$250,"*"&amp;$D37&amp;"*",'2024 AC'!L$3:L$250)</f>
        <v>15067.1</v>
      </c>
      <c r="Y37" s="53">
        <f>SUMIF('2024 AC'!$B$3:$B$250,"*"&amp;$D37&amp;"*",'2024 AC'!M$3:M$250)</f>
        <v>21355.389999999999</v>
      </c>
      <c r="Z37" s="93">
        <f>SUMIF('2024 AC'!$B$3:$B$250,"*"&amp;$D37&amp;"*",'2024 AC'!N$3:N$250)</f>
        <v>10189.48</v>
      </c>
      <c r="AA37" s="92">
        <f t="shared" si="9"/>
        <v>187960.29000000001</v>
      </c>
      <c r="AB37" s="93">
        <f t="shared" si="10"/>
        <v>44663.819999999992</v>
      </c>
      <c r="AC37" s="93">
        <f t="shared" si="11"/>
        <v>42344.07</v>
      </c>
      <c r="AD37" s="93">
        <f t="shared" si="12"/>
        <v>54340.43</v>
      </c>
      <c r="AE37" s="93">
        <f t="shared" si="13"/>
        <v>46611.970000000001</v>
      </c>
      <c r="AF37" s="92">
        <f t="shared" si="14"/>
        <v>187960.28999999998</v>
      </c>
      <c r="AH37" s="63">
        <f>SUMIF('2025 AC'!$B$3:$B$250,"*"&amp;$D37&amp;"*",'2025 AC'!C$3:C$250)</f>
        <v>11246.65</v>
      </c>
      <c r="AI37" s="53">
        <f>SUMIF('2025 AC'!$B$3:$B$250,"*"&amp;$D37&amp;"*",'2025 AC'!D$3:D$250)</f>
        <v>9087.3400000000001</v>
      </c>
      <c r="AJ37" s="53">
        <f>SUMIF('2025 AC'!$B$3:$B$250,"*"&amp;$D37&amp;"*",'2025 AC'!E$3:E$250)</f>
        <v>6849.2700000000004</v>
      </c>
      <c r="AK37" s="53">
        <f>SUMIF('2025 AC'!$B$3:$B$250,"*"&amp;$D37&amp;"*",'2025 AC'!F$3:F$250)</f>
        <v>12673.559999999999</v>
      </c>
      <c r="AL37" s="53">
        <f>SUMIF('2025 AC'!$B$3:$B$250,"*"&amp;$D37&amp;"*",'2025 AC'!G$3:G$250)</f>
        <v>17432.950000000001</v>
      </c>
      <c r="AM37" s="53">
        <f>SUMIF('2025 AC'!$B$3:$B$250,"*"&amp;$D37&amp;"*",'2025 AC'!H$3:H$250)</f>
        <v>13972.879999999999</v>
      </c>
      <c r="AN37" s="53">
        <f>SUMIF('2025 AC'!$B$3:$B$250,"*"&amp;$D37&amp;"*",'2025 AC'!I$3:I$250)</f>
        <v>15312.74</v>
      </c>
      <c r="AO37" s="53">
        <f>SUMIF('2025 AC'!$B$3:$B$250,"*"&amp;$D37&amp;"*",'2025 AC'!J$3:J$250)</f>
        <v>14506.83</v>
      </c>
      <c r="AP37" s="53">
        <f>SUMIF('2025 AC'!$B$3:$B$250,"*"&amp;$D37&amp;"*",'2025 AC'!K$3:K$250)</f>
        <v>17918.459999999999</v>
      </c>
      <c r="AQ37" s="53">
        <f>SUMIF('2025 AC'!$B$3:$B$250,"*"&amp;$D37&amp;"*",'2025 AC'!L$3:L$250)</f>
        <v>9592.2600000000002</v>
      </c>
      <c r="AR37" s="53">
        <f>SUMIF('2025 AC'!$B$3:$B$250,"*"&amp;$D37&amp;"*",'2025 AC'!M$3:M$250)</f>
        <v>16263.6</v>
      </c>
      <c r="AS37" s="53">
        <f>SUMIF('2025 AC'!$B$3:$B$250,"*"&amp;$D37&amp;"*",'2025 AC'!N$3:N$250)</f>
        <v>11937.530000000001</v>
      </c>
      <c r="AT37" s="94">
        <f t="shared" si="15"/>
        <v>156794.07000000001</v>
      </c>
      <c r="AU37" s="93">
        <f t="shared" si="16"/>
        <v>27183.259999999998</v>
      </c>
      <c r="AV37" s="93">
        <f t="shared" si="17"/>
        <v>44079.389999999999</v>
      </c>
      <c r="AW37" s="93">
        <f t="shared" si="18"/>
        <v>47738.029999999999</v>
      </c>
      <c r="AX37" s="93">
        <f t="shared" si="19"/>
        <v>37793.389999999999</v>
      </c>
      <c r="AY37" s="92">
        <f t="shared" si="20"/>
        <v>156794.07000000001</v>
      </c>
      <c r="BA37" s="63">
        <f>SUMIF('2026 AC'!$B$3:$B$254,"*"&amp;$D37&amp;"*",'2026 AC'!C$3:C$254)</f>
        <v>12036.459999999999</v>
      </c>
      <c r="BB37" s="53">
        <f>SUMIF('2026 AC'!$B$3:$B$254,"*"&amp;$D37&amp;"*",'2026 AC'!D$3:D$254)</f>
        <v>8679.5900000000001</v>
      </c>
      <c r="BC37" s="53">
        <f>SUMIF('2026 AC'!$B$3:$B$254,"*"&amp;$D37&amp;"*",'2026 AC'!E$3:E$254)</f>
        <v>9686.6299999999992</v>
      </c>
      <c r="BD37" s="53">
        <f>SUMIF('2026 AC'!$B$3:$B$254,"*"&amp;$D37&amp;"*",'2026 AC'!F$3:F$254)</f>
        <v>14581.559999999999</v>
      </c>
      <c r="BE37" s="53">
        <f>SUMIF('2026 AC'!$B$3:$B$254,"*"&amp;$D37&amp;"*",'2026 AC'!G$3:G$254)</f>
        <v>7453.6999999999998</v>
      </c>
      <c r="BF37" s="53">
        <f>SUMIF('2026 AC'!$B$3:$B$254,"*"&amp;$D37&amp;"*",'2026 AC'!H$3:H$254)</f>
        <v>10501.290000000001</v>
      </c>
      <c r="BG37" s="53">
        <f>SUMIF('2026 AC'!$B$3:$B$254,"*"&amp;$D37&amp;"*",'2026 AC'!I$3:I$254)</f>
        <v>0</v>
      </c>
      <c r="BH37" s="53">
        <f>SUMIF('2026 AC'!$B$3:$B$254,"*"&amp;$D37&amp;"*",'2026 AC'!J$3:J$254)</f>
        <v>0</v>
      </c>
      <c r="BI37" s="53">
        <f>SUMIF('2026 AC'!$B$3:$B$254,"*"&amp;$D37&amp;"*",'2026 AC'!K$3:K$254)</f>
        <v>0</v>
      </c>
      <c r="BJ37" s="53">
        <f>SUMIF('2026 AC'!$B$3:$B$254,"*"&amp;$D37&amp;"*",'2026 AC'!L$3:L$254)</f>
        <v>0</v>
      </c>
      <c r="BK37" s="53">
        <f>SUMIF('2026 AC'!$B$3:$B$254,"*"&amp;$D37&amp;"*",'2026 AC'!M$3:M$254)</f>
        <v>0</v>
      </c>
      <c r="BL37" s="93">
        <f>SUMIF('2026 AC'!$B$3:$B$254,"*"&amp;$D37&amp;"*",'2026 AC'!N$3:N$254)</f>
        <v>0</v>
      </c>
      <c r="BM37" s="92">
        <f t="shared" si="21"/>
        <v>62939.229999999996</v>
      </c>
      <c r="BN37" s="93">
        <f t="shared" si="22"/>
        <v>30402.68</v>
      </c>
      <c r="BO37" s="93">
        <f t="shared" si="23"/>
        <v>32536.549999999999</v>
      </c>
      <c r="BP37" s="93">
        <f t="shared" si="24"/>
        <v>0</v>
      </c>
      <c r="BQ37" s="93">
        <f t="shared" si="25"/>
        <v>0</v>
      </c>
      <c r="BR37" s="92">
        <f t="shared" si="26"/>
        <v>62939.229999999996</v>
      </c>
    </row>
    <row r="38" s="137" customFormat="1">
      <c r="A38" s="137" t="s">
        <v>69</v>
      </c>
      <c r="B38" s="137" t="s">
        <v>70</v>
      </c>
      <c r="C38" s="138" t="s">
        <v>71</v>
      </c>
      <c r="D38" s="139" t="s">
        <v>70</v>
      </c>
      <c r="E38" s="140">
        <f t="shared" si="49"/>
        <v>17895.139999999999</v>
      </c>
      <c r="F38" s="141">
        <f t="shared" si="50"/>
        <v>12236.469999999999</v>
      </c>
      <c r="G38" s="142">
        <f t="shared" si="60"/>
        <v>0.46244300848202141</v>
      </c>
      <c r="H38" s="143">
        <f t="shared" si="51"/>
        <v>38463.619999999995</v>
      </c>
      <c r="I38" s="143">
        <f t="shared" si="52"/>
        <v>49885.459999999999</v>
      </c>
      <c r="J38" s="142">
        <f t="shared" si="58"/>
        <v>-0.22896130455647806</v>
      </c>
      <c r="K38" s="143">
        <f t="shared" si="53"/>
        <v>194334.40000000002</v>
      </c>
      <c r="L38" s="143">
        <f t="shared" si="54"/>
        <v>245457.26999999999</v>
      </c>
      <c r="M38" s="144">
        <f t="shared" si="59"/>
        <v>-0.20827604739513306</v>
      </c>
      <c r="O38" s="145">
        <f>SUMIF('2024 AC'!$B$3:$B$250,"*"&amp;$D38&amp;"*",'2024 AC'!C$3:C$250)</f>
        <v>25359.380000000001</v>
      </c>
      <c r="P38" s="146">
        <f>SUMIF('2024 AC'!$B$3:$B$250,"*"&amp;$D38&amp;"*",'2024 AC'!D$3:D$250)</f>
        <v>28424.25</v>
      </c>
      <c r="Q38" s="146">
        <f>SUMIF('2024 AC'!$B$3:$B$250,"*"&amp;$D38&amp;"*",'2024 AC'!E$3:E$250)</f>
        <v>97945.960000000006</v>
      </c>
      <c r="R38" s="146">
        <f>SUMIF('2024 AC'!$B$3:$B$250,"*"&amp;$D38&amp;"*",'2024 AC'!F$3:F$250)</f>
        <v>70797.070000000007</v>
      </c>
      <c r="S38" s="146">
        <f>SUMIF('2024 AC'!$B$3:$B$250,"*"&amp;$D38&amp;"*",'2024 AC'!G$3:G$250)</f>
        <v>33305.830000000002</v>
      </c>
      <c r="T38" s="146">
        <f>SUMIF('2024 AC'!$B$3:$B$250,"*"&amp;$D38&amp;"*",'2024 AC'!H$3:H$250)</f>
        <v>29357.490000000002</v>
      </c>
      <c r="U38" s="146">
        <f>SUMIF('2024 AC'!$B$3:$B$250,"*"&amp;$D38&amp;"*",'2024 AC'!I$3:I$250)</f>
        <v>36166</v>
      </c>
      <c r="V38" s="146">
        <f>SUMIF('2024 AC'!$B$3:$B$250,"*"&amp;$D38&amp;"*",'2024 AC'!J$3:J$250)</f>
        <v>33224.160000000003</v>
      </c>
      <c r="W38" s="146">
        <f>SUMIF('2024 AC'!$B$3:$B$250,"*"&amp;$D38&amp;"*",'2024 AC'!K$3:K$250)</f>
        <v>20405.27</v>
      </c>
      <c r="X38" s="146">
        <f>SUMIF('2024 AC'!$B$3:$B$250,"*"&amp;$D38&amp;"*",'2024 AC'!L$3:L$250)</f>
        <v>15946.620000000001</v>
      </c>
      <c r="Y38" s="146">
        <f>SUMIF('2024 AC'!$B$3:$B$250,"*"&amp;$D38&amp;"*",'2024 AC'!M$3:M$250)</f>
        <v>10818.139999999999</v>
      </c>
      <c r="Z38" s="147">
        <f>SUMIF('2024 AC'!$B$3:$B$250,"*"&amp;$D38&amp;"*",'2024 AC'!N$3:N$250)</f>
        <v>19440.23</v>
      </c>
      <c r="AA38" s="148">
        <f t="shared" si="9"/>
        <v>421190.40000000002</v>
      </c>
      <c r="AB38" s="147">
        <f t="shared" si="10"/>
        <v>151729.59000000003</v>
      </c>
      <c r="AC38" s="147">
        <f t="shared" si="11"/>
        <v>133460.39000000001</v>
      </c>
      <c r="AD38" s="147">
        <f t="shared" si="12"/>
        <v>89795.430000000008</v>
      </c>
      <c r="AE38" s="147">
        <f t="shared" si="13"/>
        <v>46204.990000000005</v>
      </c>
      <c r="AF38" s="148">
        <f t="shared" si="14"/>
        <v>421190.40000000002</v>
      </c>
      <c r="AH38" s="145">
        <f>SUMIF('2025 AC'!$B$3:$B$250,"*"&amp;$D38&amp;"*",'2025 AC'!C$3:C$250)</f>
        <v>11237.620000000001</v>
      </c>
      <c r="AI38" s="146">
        <f>SUMIF('2025 AC'!$B$3:$B$250,"*"&amp;$D38&amp;"*",'2025 AC'!D$3:D$250)</f>
        <v>11051.17</v>
      </c>
      <c r="AJ38" s="146">
        <f>SUMIF('2025 AC'!$B$3:$B$250,"*"&amp;$D38&amp;"*",'2025 AC'!E$3:E$250)</f>
        <v>173283.01999999999</v>
      </c>
      <c r="AK38" s="146">
        <f>SUMIF('2025 AC'!$B$3:$B$250,"*"&amp;$D38&amp;"*",'2025 AC'!F$3:F$250)</f>
        <v>22433.860000000001</v>
      </c>
      <c r="AL38" s="146">
        <f>SUMIF('2025 AC'!$B$3:$B$250,"*"&amp;$D38&amp;"*",'2025 AC'!G$3:G$250)</f>
        <v>15215.129999999999</v>
      </c>
      <c r="AM38" s="146">
        <f>SUMIF('2025 AC'!$B$3:$B$250,"*"&amp;$D38&amp;"*",'2025 AC'!H$3:H$250)</f>
        <v>12236.469999999999</v>
      </c>
      <c r="AN38" s="146">
        <f>SUMIF('2025 AC'!$B$3:$B$250,"*"&amp;$D38&amp;"*",'2025 AC'!I$3:I$250)</f>
        <v>13176.76</v>
      </c>
      <c r="AO38" s="146">
        <f>SUMIF('2025 AC'!$B$3:$B$250,"*"&amp;$D38&amp;"*",'2025 AC'!J$3:J$250)</f>
        <v>12812.24</v>
      </c>
      <c r="AP38" s="146">
        <f>SUMIF('2025 AC'!$B$3:$B$250,"*"&amp;$D38&amp;"*",'2025 AC'!K$3:K$250)</f>
        <v>13000.860000000001</v>
      </c>
      <c r="AQ38" s="146">
        <f>SUMIF('2025 AC'!$B$3:$B$250,"*"&amp;$D38&amp;"*",'2025 AC'!L$3:L$250)</f>
        <v>10737.98</v>
      </c>
      <c r="AR38" s="146">
        <f>SUMIF('2025 AC'!$B$3:$B$250,"*"&amp;$D38&amp;"*",'2025 AC'!M$3:M$250)</f>
        <v>11562.110000000001</v>
      </c>
      <c r="AS38" s="146">
        <f>SUMIF('2025 AC'!$B$3:$B$250,"*"&amp;$D38&amp;"*",'2025 AC'!N$3:N$250)</f>
        <v>15761.74</v>
      </c>
      <c r="AT38" s="149">
        <f t="shared" si="15"/>
        <v>322508.95999999996</v>
      </c>
      <c r="AU38" s="147">
        <f t="shared" si="16"/>
        <v>195571.81</v>
      </c>
      <c r="AV38" s="147">
        <f t="shared" si="17"/>
        <v>49885.459999999999</v>
      </c>
      <c r="AW38" s="147">
        <f t="shared" si="18"/>
        <v>38989.860000000001</v>
      </c>
      <c r="AX38" s="147">
        <f t="shared" si="19"/>
        <v>38061.830000000002</v>
      </c>
      <c r="AY38" s="148">
        <f t="shared" si="20"/>
        <v>322508.96000000002</v>
      </c>
      <c r="BA38" s="145">
        <f>SUMIF('2026 AC'!$B$3:$B$254,"*"&amp;$D38&amp;"*",'2026 AC'!C$3:C$254)</f>
        <v>18794.09</v>
      </c>
      <c r="BB38" s="146">
        <f>SUMIF('2026 AC'!$B$3:$B$254,"*"&amp;$D38&amp;"*",'2026 AC'!D$3:D$254)</f>
        <v>27030.970000000001</v>
      </c>
      <c r="BC38" s="146">
        <f>SUMIF('2026 AC'!$B$3:$B$254,"*"&amp;$D38&amp;"*",'2026 AC'!E$3:E$254)</f>
        <v>110045.72</v>
      </c>
      <c r="BD38" s="146">
        <f>SUMIF('2026 AC'!$B$3:$B$254,"*"&amp;$D38&amp;"*",'2026 AC'!F$3:F$254)</f>
        <v>10962.42</v>
      </c>
      <c r="BE38" s="146">
        <f>SUMIF('2026 AC'!$B$3:$B$254,"*"&amp;$D38&amp;"*",'2026 AC'!G$3:G$254)</f>
        <v>9606.0599999999995</v>
      </c>
      <c r="BF38" s="146">
        <f>SUMIF('2026 AC'!$B$3:$B$254,"*"&amp;$D38&amp;"*",'2026 AC'!H$3:H$254)</f>
        <v>17895.139999999999</v>
      </c>
      <c r="BG38" s="146">
        <f>SUMIF('2026 AC'!$B$3:$B$254,"*"&amp;$D38&amp;"*",'2026 AC'!I$3:I$254)</f>
        <v>0</v>
      </c>
      <c r="BH38" s="146">
        <f>SUMIF('2026 AC'!$B$3:$B$254,"*"&amp;$D38&amp;"*",'2026 AC'!J$3:J$254)</f>
        <v>0</v>
      </c>
      <c r="BI38" s="146">
        <f>SUMIF('2026 AC'!$B$3:$B$254,"*"&amp;$D38&amp;"*",'2026 AC'!K$3:K$254)</f>
        <v>0</v>
      </c>
      <c r="BJ38" s="146">
        <f>SUMIF('2026 AC'!$B$3:$B$254,"*"&amp;$D38&amp;"*",'2026 AC'!L$3:L$254)</f>
        <v>0</v>
      </c>
      <c r="BK38" s="146">
        <f>SUMIF('2026 AC'!$B$3:$B$254,"*"&amp;$D38&amp;"*",'2026 AC'!M$3:M$254)</f>
        <v>0</v>
      </c>
      <c r="BL38" s="147">
        <f>SUMIF('2026 AC'!$B$3:$B$254,"*"&amp;$D38&amp;"*",'2026 AC'!N$3:N$254)</f>
        <v>0</v>
      </c>
      <c r="BM38" s="148">
        <f t="shared" si="21"/>
        <v>194334.40000000002</v>
      </c>
      <c r="BN38" s="147">
        <f t="shared" si="22"/>
        <v>155870.78</v>
      </c>
      <c r="BO38" s="147">
        <f t="shared" si="23"/>
        <v>38463.619999999995</v>
      </c>
      <c r="BP38" s="147">
        <f t="shared" si="24"/>
        <v>0</v>
      </c>
      <c r="BQ38" s="147">
        <f t="shared" si="25"/>
        <v>0</v>
      </c>
      <c r="BR38" s="148">
        <f t="shared" si="26"/>
        <v>194334.39999999999</v>
      </c>
    </row>
    <row r="39" ht="15" customHeight="1" outlineLevel="1">
      <c r="A39" t="s">
        <v>72</v>
      </c>
      <c r="B39" t="s">
        <v>73</v>
      </c>
      <c r="C39" s="34" t="s">
        <v>74</v>
      </c>
      <c r="D39" s="35" t="s">
        <v>73</v>
      </c>
      <c r="E39" s="151">
        <f t="shared" si="49"/>
        <v>9060.8099999999995</v>
      </c>
      <c r="F39" s="152">
        <f t="shared" si="50"/>
        <v>10241.5</v>
      </c>
      <c r="G39" s="54">
        <f t="shared" si="60"/>
        <v>-0.11528487038031543</v>
      </c>
      <c r="H39" s="153">
        <f t="shared" si="51"/>
        <v>19107.669999999998</v>
      </c>
      <c r="I39" s="153">
        <f t="shared" si="52"/>
        <v>37373.760000000002</v>
      </c>
      <c r="J39" s="54">
        <f t="shared" si="58"/>
        <v>-0.488741031140565</v>
      </c>
      <c r="K39" s="153">
        <f t="shared" si="53"/>
        <v>40321.849999999999</v>
      </c>
      <c r="L39" s="153">
        <f t="shared" si="54"/>
        <v>70646.190000000002</v>
      </c>
      <c r="M39" s="55">
        <f t="shared" si="59"/>
        <v>-0.42924239792690877</v>
      </c>
      <c r="O39" s="63">
        <f>SUMIF('2024 AC'!$B$3:$B$250,"*"&amp;$D39&amp;"*",'2024 AC'!C$3:C$250)</f>
        <v>1164.1900000000001</v>
      </c>
      <c r="P39" s="53">
        <f>SUMIF('2024 AC'!$B$3:$B$250,"*"&amp;$D39&amp;"*",'2024 AC'!D$3:D$250)</f>
        <v>978.67999999999995</v>
      </c>
      <c r="Q39" s="53">
        <f>SUMIF('2024 AC'!$B$3:$B$250,"*"&amp;$D39&amp;"*",'2024 AC'!E$3:E$250)</f>
        <v>3076.3699999999999</v>
      </c>
      <c r="R39" s="53">
        <f>SUMIF('2024 AC'!$B$3:$B$250,"*"&amp;$D39&amp;"*",'2024 AC'!F$3:F$250)</f>
        <v>2724.5599999999999</v>
      </c>
      <c r="S39" s="53">
        <f>SUMIF('2024 AC'!$B$3:$B$250,"*"&amp;$D39&amp;"*",'2024 AC'!G$3:G$250)</f>
        <v>1949.1099999999999</v>
      </c>
      <c r="T39" s="53">
        <f>SUMIF('2024 AC'!$B$3:$B$250,"*"&amp;$D39&amp;"*",'2024 AC'!H$3:H$250)</f>
        <v>3364.6999999999998</v>
      </c>
      <c r="U39" s="53">
        <f>SUMIF('2024 AC'!$B$3:$B$250,"*"&amp;$D39&amp;"*",'2024 AC'!I$3:I$250)</f>
        <v>14121.59</v>
      </c>
      <c r="V39" s="53">
        <f>SUMIF('2024 AC'!$B$3:$B$250,"*"&amp;$D39&amp;"*",'2024 AC'!J$3:J$250)</f>
        <v>4190.8500000000004</v>
      </c>
      <c r="W39" s="53">
        <f>SUMIF('2024 AC'!$B$3:$B$250,"*"&amp;$D39&amp;"*",'2024 AC'!K$3:K$250)</f>
        <v>11251.299999999999</v>
      </c>
      <c r="X39" s="53">
        <f>SUMIF('2024 AC'!$B$3:$B$250,"*"&amp;$D39&amp;"*",'2024 AC'!L$3:L$250)</f>
        <v>15946.620000000001</v>
      </c>
      <c r="Y39" s="53">
        <f>SUMIF('2024 AC'!$B$3:$B$250,"*"&amp;$D39&amp;"*",'2024 AC'!M$3:M$250)</f>
        <v>10818.139999999999</v>
      </c>
      <c r="Z39" s="93">
        <f>SUMIF('2024 AC'!$B$3:$B$250,"*"&amp;$D39&amp;"*",'2024 AC'!N$3:N$250)</f>
        <v>13585.1</v>
      </c>
      <c r="AA39" s="92">
        <f t="shared" si="9"/>
        <v>83171.210000000021</v>
      </c>
      <c r="AB39" s="93">
        <f t="shared" si="10"/>
        <v>5219.2399999999998</v>
      </c>
      <c r="AC39" s="93">
        <f t="shared" si="11"/>
        <v>8038.3699999999999</v>
      </c>
      <c r="AD39" s="93">
        <f t="shared" si="12"/>
        <v>29563.740000000002</v>
      </c>
      <c r="AE39" s="93">
        <f t="shared" si="13"/>
        <v>40349.860000000001</v>
      </c>
      <c r="AF39" s="92">
        <f t="shared" si="14"/>
        <v>83171.210000000006</v>
      </c>
      <c r="AH39" s="63">
        <f>SUMIF('2025 AC'!$B$3:$B$250,"*"&amp;$D39&amp;"*",'2025 AC'!C$3:C$250)</f>
        <v>11237.620000000001</v>
      </c>
      <c r="AI39" s="53">
        <f>SUMIF('2025 AC'!$B$3:$B$250,"*"&amp;$D39&amp;"*",'2025 AC'!D$3:D$250)</f>
        <v>9051.1700000000001</v>
      </c>
      <c r="AJ39" s="53">
        <f>SUMIF('2025 AC'!$B$3:$B$250,"*"&amp;$D39&amp;"*",'2025 AC'!E$3:E$250)</f>
        <v>12983.639999999999</v>
      </c>
      <c r="AK39" s="53">
        <f>SUMIF('2025 AC'!$B$3:$B$250,"*"&amp;$D39&amp;"*",'2025 AC'!F$3:F$250)</f>
        <v>14924.200000000001</v>
      </c>
      <c r="AL39" s="53">
        <f>SUMIF('2025 AC'!$B$3:$B$250,"*"&amp;$D39&amp;"*",'2025 AC'!G$3:G$250)</f>
        <v>12208.059999999999</v>
      </c>
      <c r="AM39" s="53">
        <f>SUMIF('2025 AC'!$B$3:$B$250,"*"&amp;$D39&amp;"*",'2025 AC'!H$3:H$250)</f>
        <v>10241.5</v>
      </c>
      <c r="AN39" s="53">
        <f>SUMIF('2025 AC'!$B$3:$B$250,"*"&amp;$D39&amp;"*",'2025 AC'!I$3:I$250)</f>
        <v>10898.860000000001</v>
      </c>
      <c r="AO39" s="53">
        <f>SUMIF('2025 AC'!$B$3:$B$250,"*"&amp;$D39&amp;"*",'2025 AC'!J$3:J$250)</f>
        <v>8072.3900000000003</v>
      </c>
      <c r="AP39" s="53">
        <f>SUMIF('2025 AC'!$B$3:$B$250,"*"&amp;$D39&amp;"*",'2025 AC'!K$3:K$250)</f>
        <v>4767.1400000000003</v>
      </c>
      <c r="AQ39" s="53">
        <f>SUMIF('2025 AC'!$B$3:$B$250,"*"&amp;$D39&amp;"*",'2025 AC'!L$3:L$250)</f>
        <v>7229.1800000000003</v>
      </c>
      <c r="AR39" s="53">
        <f>SUMIF('2025 AC'!$B$3:$B$250,"*"&amp;$D39&amp;"*",'2025 AC'!M$3:M$250)</f>
        <v>7657.1599999999999</v>
      </c>
      <c r="AS39" s="53">
        <f>SUMIF('2025 AC'!$B$3:$B$250,"*"&amp;$D39&amp;"*",'2025 AC'!N$3:N$250)</f>
        <v>7502.8400000000001</v>
      </c>
      <c r="AT39" s="94">
        <f t="shared" si="15"/>
        <v>116773.76000000001</v>
      </c>
      <c r="AU39" s="93">
        <f t="shared" si="16"/>
        <v>33272.43</v>
      </c>
      <c r="AV39" s="93">
        <f t="shared" si="17"/>
        <v>37373.760000000002</v>
      </c>
      <c r="AW39" s="93">
        <f t="shared" si="18"/>
        <v>23738.389999999999</v>
      </c>
      <c r="AX39" s="93">
        <f t="shared" si="19"/>
        <v>22389.18</v>
      </c>
      <c r="AY39" s="92">
        <f t="shared" si="20"/>
        <v>116773.76000000001</v>
      </c>
      <c r="BA39" s="63">
        <f>SUMIF('2026 AC'!$B$3:$B$254,"*"&amp;$D39&amp;"*",'2026 AC'!C$3:C$254)</f>
        <v>6606.96</v>
      </c>
      <c r="BB39" s="53">
        <f>SUMIF('2026 AC'!$B$3:$B$254,"*"&amp;$D39&amp;"*",'2026 AC'!D$3:D$254)</f>
        <v>6051.21</v>
      </c>
      <c r="BC39" s="53">
        <f>SUMIF('2026 AC'!$B$3:$B$254,"*"&amp;$D39&amp;"*",'2026 AC'!E$3:E$254)</f>
        <v>8556.0100000000002</v>
      </c>
      <c r="BD39" s="53">
        <f>SUMIF('2026 AC'!$B$3:$B$254,"*"&amp;$D39&amp;"*",'2026 AC'!F$3:F$254)</f>
        <v>6467.9700000000003</v>
      </c>
      <c r="BE39" s="53">
        <f>SUMIF('2026 AC'!$B$3:$B$254,"*"&amp;$D39&amp;"*",'2026 AC'!G$3:G$254)</f>
        <v>3578.8899999999999</v>
      </c>
      <c r="BF39" s="53">
        <f>SUMIF('2026 AC'!$B$3:$B$254,"*"&amp;$D39&amp;"*",'2026 AC'!H$3:H$254)</f>
        <v>9060.8099999999995</v>
      </c>
      <c r="BG39" s="53">
        <f>SUMIF('2026 AC'!$B$3:$B$254,"*"&amp;$D39&amp;"*",'2026 AC'!I$3:I$254)</f>
        <v>0</v>
      </c>
      <c r="BH39" s="53">
        <f>SUMIF('2026 AC'!$B$3:$B$254,"*"&amp;$D39&amp;"*",'2026 AC'!J$3:J$254)</f>
        <v>0</v>
      </c>
      <c r="BI39" s="53">
        <f>SUMIF('2026 AC'!$B$3:$B$254,"*"&amp;$D39&amp;"*",'2026 AC'!K$3:K$254)</f>
        <v>0</v>
      </c>
      <c r="BJ39" s="53">
        <f>SUMIF('2026 AC'!$B$3:$B$254,"*"&amp;$D39&amp;"*",'2026 AC'!L$3:L$254)</f>
        <v>0</v>
      </c>
      <c r="BK39" s="53">
        <f>SUMIF('2026 AC'!$B$3:$B$254,"*"&amp;$D39&amp;"*",'2026 AC'!M$3:M$254)</f>
        <v>0</v>
      </c>
      <c r="BL39" s="93">
        <f>SUMIF('2026 AC'!$B$3:$B$254,"*"&amp;$D39&amp;"*",'2026 AC'!N$3:N$254)</f>
        <v>0</v>
      </c>
      <c r="BM39" s="92">
        <f t="shared" si="21"/>
        <v>40321.849999999999</v>
      </c>
      <c r="BN39" s="93">
        <f t="shared" si="22"/>
        <v>21214.18</v>
      </c>
      <c r="BO39" s="93">
        <f t="shared" si="23"/>
        <v>19107.669999999998</v>
      </c>
      <c r="BP39" s="93">
        <f t="shared" si="24"/>
        <v>0</v>
      </c>
      <c r="BQ39" s="93">
        <f t="shared" si="25"/>
        <v>0</v>
      </c>
      <c r="BR39" s="92">
        <f t="shared" si="26"/>
        <v>40321.849999999999</v>
      </c>
    </row>
    <row r="40" ht="15" customHeight="1" outlineLevel="1">
      <c r="A40" t="s">
        <v>75</v>
      </c>
      <c r="B40" t="s">
        <v>76</v>
      </c>
      <c r="C40" s="157" t="s">
        <v>77</v>
      </c>
      <c r="D40" s="156" t="s">
        <v>76</v>
      </c>
      <c r="E40" s="153">
        <f t="shared" si="49"/>
        <v>0</v>
      </c>
      <c r="F40" s="152">
        <f t="shared" si="50"/>
        <v>0</v>
      </c>
      <c r="G40" s="154">
        <f t="shared" si="55"/>
        <v>0</v>
      </c>
      <c r="H40" s="153">
        <f t="shared" si="51"/>
        <v>0</v>
      </c>
      <c r="I40" s="153">
        <f t="shared" si="52"/>
        <v>0</v>
      </c>
      <c r="J40" s="154">
        <f t="shared" ref="J40:J42" si="61">IFERROR((H40-I40)/I40,0)</f>
        <v>0</v>
      </c>
      <c r="K40" s="153">
        <f t="shared" si="53"/>
        <v>0</v>
      </c>
      <c r="L40" s="153">
        <f t="shared" si="54"/>
        <v>0</v>
      </c>
      <c r="M40" s="155">
        <f t="shared" ref="M40:M42" si="62">IFERROR((K40-L40)/L40,0)</f>
        <v>0</v>
      </c>
      <c r="O40" s="63">
        <f>SUMIF('2024 AC'!$B$3:$B$250,"*"&amp;$D40&amp;"*",'2024 AC'!C$3:C$250)</f>
        <v>0</v>
      </c>
      <c r="P40" s="53">
        <f>SUMIF('2024 AC'!$B$3:$B$250,"*"&amp;$D40&amp;"*",'2024 AC'!D$3:D$250)</f>
        <v>0</v>
      </c>
      <c r="Q40" s="53">
        <f>SUMIF('2024 AC'!$B$3:$B$250,"*"&amp;$D40&amp;"*",'2024 AC'!E$3:E$250)</f>
        <v>0</v>
      </c>
      <c r="R40" s="53">
        <f>SUMIF('2024 AC'!$B$3:$B$250,"*"&amp;$D40&amp;"*",'2024 AC'!F$3:F$250)</f>
        <v>0</v>
      </c>
      <c r="S40" s="53">
        <f>SUMIF('2024 AC'!$B$3:$B$250,"*"&amp;$D40&amp;"*",'2024 AC'!G$3:G$250)</f>
        <v>0</v>
      </c>
      <c r="T40" s="53">
        <f>SUMIF('2024 AC'!$B$3:$B$250,"*"&amp;$D40&amp;"*",'2024 AC'!H$3:H$250)</f>
        <v>0</v>
      </c>
      <c r="U40" s="53">
        <f>SUMIF('2024 AC'!$B$3:$B$250,"*"&amp;$D40&amp;"*",'2024 AC'!I$3:I$250)</f>
        <v>0</v>
      </c>
      <c r="V40" s="53">
        <f>SUMIF('2024 AC'!$B$3:$B$250,"*"&amp;$D40&amp;"*",'2024 AC'!J$3:J$250)</f>
        <v>0</v>
      </c>
      <c r="W40" s="53">
        <f>SUMIF('2024 AC'!$B$3:$B$250,"*"&amp;$D40&amp;"*",'2024 AC'!K$3:K$250)</f>
        <v>0</v>
      </c>
      <c r="X40" s="53">
        <f>SUMIF('2024 AC'!$B$3:$B$250,"*"&amp;$D40&amp;"*",'2024 AC'!L$3:L$250)</f>
        <v>0</v>
      </c>
      <c r="Y40" s="53">
        <f>SUMIF('2024 AC'!$B$3:$B$250,"*"&amp;$D40&amp;"*",'2024 AC'!M$3:M$250)</f>
        <v>0</v>
      </c>
      <c r="Z40" s="93">
        <f>SUMIF('2024 AC'!$B$3:$B$250,"*"&amp;$D40&amp;"*",'2024 AC'!N$3:N$250)</f>
        <v>0</v>
      </c>
      <c r="AA40" s="92">
        <f t="shared" si="9"/>
        <v>0</v>
      </c>
      <c r="AB40" s="93">
        <f t="shared" si="10"/>
        <v>0</v>
      </c>
      <c r="AC40" s="93">
        <f t="shared" si="11"/>
        <v>0</v>
      </c>
      <c r="AD40" s="93">
        <f t="shared" si="12"/>
        <v>0</v>
      </c>
      <c r="AE40" s="93">
        <f t="shared" si="13"/>
        <v>0</v>
      </c>
      <c r="AF40" s="92">
        <f t="shared" si="14"/>
        <v>0</v>
      </c>
      <c r="AH40" s="63">
        <f>SUMIF('2025 AC'!$B$3:$B$250,"*"&amp;$D40&amp;"*",'2025 AC'!C$3:C$250)</f>
        <v>0</v>
      </c>
      <c r="AI40" s="53">
        <f>SUMIF('2025 AC'!$B$3:$B$250,"*"&amp;$D40&amp;"*",'2025 AC'!D$3:D$250)</f>
        <v>0</v>
      </c>
      <c r="AJ40" s="53">
        <f>SUMIF('2025 AC'!$B$3:$B$250,"*"&amp;$D40&amp;"*",'2025 AC'!E$3:E$250)</f>
        <v>0</v>
      </c>
      <c r="AK40" s="53">
        <f>SUMIF('2025 AC'!$B$3:$B$250,"*"&amp;$D40&amp;"*",'2025 AC'!F$3:F$250)</f>
        <v>0</v>
      </c>
      <c r="AL40" s="53">
        <f>SUMIF('2025 AC'!$B$3:$B$250,"*"&amp;$D40&amp;"*",'2025 AC'!G$3:G$250)</f>
        <v>0</v>
      </c>
      <c r="AM40" s="53">
        <f>SUMIF('2025 AC'!$B$3:$B$250,"*"&amp;$D40&amp;"*",'2025 AC'!H$3:H$250)</f>
        <v>0</v>
      </c>
      <c r="AN40" s="53">
        <f>SUMIF('2025 AC'!$B$3:$B$250,"*"&amp;$D40&amp;"*",'2025 AC'!I$3:I$250)</f>
        <v>0</v>
      </c>
      <c r="AO40" s="53">
        <f>SUMIF('2025 AC'!$B$3:$B$250,"*"&amp;$D40&amp;"*",'2025 AC'!J$3:J$250)</f>
        <v>0</v>
      </c>
      <c r="AP40" s="53">
        <f>SUMIF('2025 AC'!$B$3:$B$250,"*"&amp;$D40&amp;"*",'2025 AC'!K$3:K$250)</f>
        <v>0</v>
      </c>
      <c r="AQ40" s="53">
        <f>SUMIF('2025 AC'!$B$3:$B$250,"*"&amp;$D40&amp;"*",'2025 AC'!L$3:L$250)</f>
        <v>0</v>
      </c>
      <c r="AR40" s="53">
        <f>SUMIF('2025 AC'!$B$3:$B$250,"*"&amp;$D40&amp;"*",'2025 AC'!M$3:M$250)</f>
        <v>0</v>
      </c>
      <c r="AS40" s="53">
        <f>SUMIF('2025 AC'!$B$3:$B$250,"*"&amp;$D40&amp;"*",'2025 AC'!N$3:N$250)</f>
        <v>0</v>
      </c>
      <c r="AT40" s="94">
        <f t="shared" si="15"/>
        <v>0</v>
      </c>
      <c r="AU40" s="93">
        <f t="shared" si="16"/>
        <v>0</v>
      </c>
      <c r="AV40" s="93">
        <f t="shared" si="17"/>
        <v>0</v>
      </c>
      <c r="AW40" s="93">
        <f t="shared" si="18"/>
        <v>0</v>
      </c>
      <c r="AX40" s="93">
        <f t="shared" si="19"/>
        <v>0</v>
      </c>
      <c r="AY40" s="92">
        <f t="shared" si="20"/>
        <v>0</v>
      </c>
      <c r="BA40" s="63">
        <f>SUMIF('2026 AC'!$B$3:$B$254,"*"&amp;$D40&amp;"*",'2026 AC'!C$3:C$254)</f>
        <v>0</v>
      </c>
      <c r="BB40" s="53">
        <f>SUMIF('2026 AC'!$B$3:$B$254,"*"&amp;$D40&amp;"*",'2026 AC'!D$3:D$254)</f>
        <v>0</v>
      </c>
      <c r="BC40" s="53">
        <f>SUMIF('2026 AC'!$B$3:$B$254,"*"&amp;$D40&amp;"*",'2026 AC'!E$3:E$254)</f>
        <v>0</v>
      </c>
      <c r="BD40" s="53">
        <f>SUMIF('2026 AC'!$B$3:$B$254,"*"&amp;$D40&amp;"*",'2026 AC'!F$3:F$254)</f>
        <v>0</v>
      </c>
      <c r="BE40" s="53">
        <f>SUMIF('2026 AC'!$B$3:$B$254,"*"&amp;$D40&amp;"*",'2026 AC'!G$3:G$254)</f>
        <v>0</v>
      </c>
      <c r="BF40" s="53">
        <f>SUMIF('2026 AC'!$B$3:$B$254,"*"&amp;$D40&amp;"*",'2026 AC'!H$3:H$254)</f>
        <v>0</v>
      </c>
      <c r="BG40" s="53">
        <f>SUMIF('2026 AC'!$B$3:$B$254,"*"&amp;$D40&amp;"*",'2026 AC'!I$3:I$254)</f>
        <v>0</v>
      </c>
      <c r="BH40" s="53">
        <f>SUMIF('2026 AC'!$B$3:$B$254,"*"&amp;$D40&amp;"*",'2026 AC'!J$3:J$254)</f>
        <v>0</v>
      </c>
      <c r="BI40" s="53">
        <f>SUMIF('2026 AC'!$B$3:$B$254,"*"&amp;$D40&amp;"*",'2026 AC'!K$3:K$254)</f>
        <v>0</v>
      </c>
      <c r="BJ40" s="53">
        <f>SUMIF('2026 AC'!$B$3:$B$254,"*"&amp;$D40&amp;"*",'2026 AC'!L$3:L$254)</f>
        <v>0</v>
      </c>
      <c r="BK40" s="53">
        <f>SUMIF('2026 AC'!$B$3:$B$254,"*"&amp;$D40&amp;"*",'2026 AC'!M$3:M$254)</f>
        <v>0</v>
      </c>
      <c r="BL40" s="93">
        <f>SUMIF('2026 AC'!$B$3:$B$254,"*"&amp;$D40&amp;"*",'2026 AC'!N$3:N$254)</f>
        <v>0</v>
      </c>
      <c r="BM40" s="92">
        <f t="shared" si="21"/>
        <v>0</v>
      </c>
      <c r="BN40" s="93">
        <f t="shared" si="22"/>
        <v>0</v>
      </c>
      <c r="BO40" s="93">
        <f t="shared" si="23"/>
        <v>0</v>
      </c>
      <c r="BP40" s="93">
        <f t="shared" si="24"/>
        <v>0</v>
      </c>
      <c r="BQ40" s="93">
        <f t="shared" si="25"/>
        <v>0</v>
      </c>
      <c r="BR40" s="92">
        <f t="shared" si="26"/>
        <v>0</v>
      </c>
    </row>
    <row r="41" ht="15" customHeight="1" outlineLevel="1">
      <c r="A41" t="s">
        <v>78</v>
      </c>
      <c r="B41" t="s">
        <v>79</v>
      </c>
      <c r="C41" s="34" t="s">
        <v>80</v>
      </c>
      <c r="D41" s="35" t="s">
        <v>79</v>
      </c>
      <c r="E41" s="153">
        <f t="shared" si="49"/>
        <v>0</v>
      </c>
      <c r="F41" s="152">
        <f t="shared" si="50"/>
        <v>0</v>
      </c>
      <c r="G41" s="154">
        <f t="shared" si="55"/>
        <v>0</v>
      </c>
      <c r="H41" s="153">
        <f t="shared" si="51"/>
        <v>0</v>
      </c>
      <c r="I41" s="153">
        <f t="shared" si="52"/>
        <v>0</v>
      </c>
      <c r="J41" s="154">
        <f t="shared" si="61"/>
        <v>0</v>
      </c>
      <c r="K41" s="153">
        <f t="shared" si="53"/>
        <v>0</v>
      </c>
      <c r="L41" s="153">
        <f t="shared" si="54"/>
        <v>0</v>
      </c>
      <c r="M41" s="155">
        <f t="shared" si="62"/>
        <v>0</v>
      </c>
      <c r="O41" s="63">
        <f>SUMIF('2024 AC'!$B$3:$B$250,"*"&amp;$D41&amp;"*",'2024 AC'!C$3:C$250)</f>
        <v>23782.009999999998</v>
      </c>
      <c r="P41" s="53">
        <f>SUMIF('2024 AC'!$B$3:$B$250,"*"&amp;$D41&amp;"*",'2024 AC'!D$3:D$250)</f>
        <v>27010.689999999999</v>
      </c>
      <c r="Q41" s="53">
        <f>SUMIF('2024 AC'!$B$3:$B$250,"*"&amp;$D41&amp;"*",'2024 AC'!E$3:E$250)</f>
        <v>23209.669999999998</v>
      </c>
      <c r="R41" s="53">
        <f>SUMIF('2024 AC'!$B$3:$B$250,"*"&amp;$D41&amp;"*",'2024 AC'!F$3:F$250)</f>
        <v>25166.68</v>
      </c>
      <c r="S41" s="53">
        <f>SUMIF('2024 AC'!$B$3:$B$250,"*"&amp;$D41&amp;"*",'2024 AC'!G$3:G$250)</f>
        <v>30536.720000000001</v>
      </c>
      <c r="T41" s="53">
        <f>SUMIF('2024 AC'!$B$3:$B$250,"*"&amp;$D41&amp;"*",'2024 AC'!H$3:H$250)</f>
        <v>23923.830000000002</v>
      </c>
      <c r="U41" s="53">
        <f>SUMIF('2024 AC'!$B$3:$B$250,"*"&amp;$D41&amp;"*",'2024 AC'!I$3:I$250)</f>
        <v>21747.259999999998</v>
      </c>
      <c r="V41" s="53">
        <f>SUMIF('2024 AC'!$B$3:$B$250,"*"&amp;$D41&amp;"*",'2024 AC'!J$3:J$250)</f>
        <v>28948.41</v>
      </c>
      <c r="W41" s="53">
        <f>SUMIF('2024 AC'!$B$3:$B$250,"*"&amp;$D41&amp;"*",'2024 AC'!K$3:K$250)</f>
        <v>9135.1000000000004</v>
      </c>
      <c r="X41" s="53">
        <f>SUMIF('2024 AC'!$B$3:$B$250,"*"&amp;$D41&amp;"*",'2024 AC'!L$3:L$250)</f>
        <v>0</v>
      </c>
      <c r="Y41" s="53">
        <f>SUMIF('2024 AC'!$B$3:$B$250,"*"&amp;$D41&amp;"*",'2024 AC'!M$3:M$250)</f>
        <v>0</v>
      </c>
      <c r="Z41" s="93">
        <f>SUMIF('2024 AC'!$B$3:$B$250,"*"&amp;$D41&amp;"*",'2024 AC'!N$3:N$250)</f>
        <v>0</v>
      </c>
      <c r="AA41" s="92">
        <f t="shared" si="9"/>
        <v>213460.37</v>
      </c>
      <c r="AB41" s="93">
        <f t="shared" si="10"/>
        <v>74002.369999999995</v>
      </c>
      <c r="AC41" s="93">
        <f t="shared" si="11"/>
        <v>79627.23000000001</v>
      </c>
      <c r="AD41" s="93">
        <f t="shared" si="12"/>
        <v>59830.769999999997</v>
      </c>
      <c r="AE41" s="93">
        <f t="shared" si="13"/>
        <v>0</v>
      </c>
      <c r="AF41" s="92">
        <f t="shared" si="14"/>
        <v>213460.37</v>
      </c>
      <c r="AH41" s="63">
        <f>SUMIF('2025 AC'!$B$3:$B$250,"*"&amp;$D41&amp;"*",'2025 AC'!C$3:C$250)</f>
        <v>0</v>
      </c>
      <c r="AI41" s="53">
        <f>SUMIF('2025 AC'!$B$3:$B$250,"*"&amp;$D41&amp;"*",'2025 AC'!D$3:D$250)</f>
        <v>0</v>
      </c>
      <c r="AJ41" s="53">
        <f>SUMIF('2025 AC'!$B$3:$B$250,"*"&amp;$D41&amp;"*",'2025 AC'!E$3:E$250)</f>
        <v>0</v>
      </c>
      <c r="AK41" s="53">
        <f>SUMIF('2025 AC'!$B$3:$B$250,"*"&amp;$D41&amp;"*",'2025 AC'!F$3:F$250)</f>
        <v>0</v>
      </c>
      <c r="AL41" s="53">
        <f>SUMIF('2025 AC'!$B$3:$B$250,"*"&amp;$D41&amp;"*",'2025 AC'!G$3:G$250)</f>
        <v>0</v>
      </c>
      <c r="AM41" s="53">
        <f>SUMIF('2025 AC'!$B$3:$B$250,"*"&amp;$D41&amp;"*",'2025 AC'!H$3:H$250)</f>
        <v>0</v>
      </c>
      <c r="AN41" s="53">
        <f>SUMIF('2025 AC'!$B$3:$B$250,"*"&amp;$D41&amp;"*",'2025 AC'!I$3:I$250)</f>
        <v>0</v>
      </c>
      <c r="AO41" s="53">
        <f>SUMIF('2025 AC'!$B$3:$B$250,"*"&amp;$D41&amp;"*",'2025 AC'!J$3:J$250)</f>
        <v>0</v>
      </c>
      <c r="AP41" s="53">
        <f>SUMIF('2025 AC'!$B$3:$B$250,"*"&amp;$D41&amp;"*",'2025 AC'!K$3:K$250)</f>
        <v>0</v>
      </c>
      <c r="AQ41" s="53">
        <f>SUMIF('2025 AC'!$B$3:$B$250,"*"&amp;$D41&amp;"*",'2025 AC'!L$3:L$250)</f>
        <v>0</v>
      </c>
      <c r="AR41" s="53">
        <f>SUMIF('2025 AC'!$B$3:$B$250,"*"&amp;$D41&amp;"*",'2025 AC'!M$3:M$250)</f>
        <v>0</v>
      </c>
      <c r="AS41" s="53">
        <f>SUMIF('2025 AC'!$B$3:$B$250,"*"&amp;$D41&amp;"*",'2025 AC'!N$3:N$250)</f>
        <v>0</v>
      </c>
      <c r="AT41" s="94">
        <f t="shared" si="15"/>
        <v>0</v>
      </c>
      <c r="AU41" s="93">
        <f t="shared" si="16"/>
        <v>0</v>
      </c>
      <c r="AV41" s="93">
        <f t="shared" si="17"/>
        <v>0</v>
      </c>
      <c r="AW41" s="93">
        <f t="shared" si="18"/>
        <v>0</v>
      </c>
      <c r="AX41" s="93">
        <f t="shared" si="19"/>
        <v>0</v>
      </c>
      <c r="AY41" s="92">
        <f t="shared" si="20"/>
        <v>0</v>
      </c>
      <c r="BA41" s="63">
        <f>SUMIF('2026 AC'!$B$3:$B$254,"*"&amp;$D41&amp;"*",'2026 AC'!C$3:C$254)</f>
        <v>0</v>
      </c>
      <c r="BB41" s="53">
        <f>SUMIF('2026 AC'!$B$3:$B$254,"*"&amp;$D41&amp;"*",'2026 AC'!D$3:D$254)</f>
        <v>0</v>
      </c>
      <c r="BC41" s="53">
        <f>SUMIF('2026 AC'!$B$3:$B$254,"*"&amp;$D41&amp;"*",'2026 AC'!E$3:E$254)</f>
        <v>0</v>
      </c>
      <c r="BD41" s="53">
        <f>SUMIF('2026 AC'!$B$3:$B$254,"*"&amp;$D41&amp;"*",'2026 AC'!F$3:F$254)</f>
        <v>0</v>
      </c>
      <c r="BE41" s="53">
        <f>SUMIF('2026 AC'!$B$3:$B$254,"*"&amp;$D41&amp;"*",'2026 AC'!G$3:G$254)</f>
        <v>0</v>
      </c>
      <c r="BF41" s="53">
        <f>SUMIF('2026 AC'!$B$3:$B$254,"*"&amp;$D41&amp;"*",'2026 AC'!H$3:H$254)</f>
        <v>0</v>
      </c>
      <c r="BG41" s="53">
        <f>SUMIF('2026 AC'!$B$3:$B$254,"*"&amp;$D41&amp;"*",'2026 AC'!I$3:I$254)</f>
        <v>0</v>
      </c>
      <c r="BH41" s="53">
        <f>SUMIF('2026 AC'!$B$3:$B$254,"*"&amp;$D41&amp;"*",'2026 AC'!J$3:J$254)</f>
        <v>0</v>
      </c>
      <c r="BI41" s="53">
        <f>SUMIF('2026 AC'!$B$3:$B$254,"*"&amp;$D41&amp;"*",'2026 AC'!K$3:K$254)</f>
        <v>0</v>
      </c>
      <c r="BJ41" s="53">
        <f>SUMIF('2026 AC'!$B$3:$B$254,"*"&amp;$D41&amp;"*",'2026 AC'!L$3:L$254)</f>
        <v>0</v>
      </c>
      <c r="BK41" s="53">
        <f>SUMIF('2026 AC'!$B$3:$B$254,"*"&amp;$D41&amp;"*",'2026 AC'!M$3:M$254)</f>
        <v>0</v>
      </c>
      <c r="BL41" s="93">
        <f>SUMIF('2026 AC'!$B$3:$B$254,"*"&amp;$D41&amp;"*",'2026 AC'!N$3:N$254)</f>
        <v>0</v>
      </c>
      <c r="BM41" s="92">
        <f t="shared" si="21"/>
        <v>0</v>
      </c>
      <c r="BN41" s="93">
        <f t="shared" si="22"/>
        <v>0</v>
      </c>
      <c r="BO41" s="93">
        <f t="shared" si="23"/>
        <v>0</v>
      </c>
      <c r="BP41" s="93">
        <f t="shared" si="24"/>
        <v>0</v>
      </c>
      <c r="BQ41" s="93">
        <f t="shared" si="25"/>
        <v>0</v>
      </c>
      <c r="BR41" s="92">
        <f t="shared" si="26"/>
        <v>0</v>
      </c>
    </row>
    <row r="42" ht="15" customHeight="1" outlineLevel="1">
      <c r="A42" t="s">
        <v>81</v>
      </c>
      <c r="B42" t="s">
        <v>82</v>
      </c>
      <c r="C42" s="34" t="s">
        <v>83</v>
      </c>
      <c r="D42" s="35" t="s">
        <v>82</v>
      </c>
      <c r="E42" s="151">
        <f t="shared" si="49"/>
        <v>0</v>
      </c>
      <c r="F42" s="152">
        <f t="shared" si="50"/>
        <v>0</v>
      </c>
      <c r="G42" s="154">
        <f t="shared" si="55"/>
        <v>0</v>
      </c>
      <c r="H42" s="153">
        <f t="shared" si="51"/>
        <v>0</v>
      </c>
      <c r="I42" s="153">
        <f t="shared" si="52"/>
        <v>0</v>
      </c>
      <c r="J42" s="154">
        <f t="shared" si="61"/>
        <v>0</v>
      </c>
      <c r="K42" s="153">
        <f t="shared" si="53"/>
        <v>0</v>
      </c>
      <c r="L42" s="153">
        <f t="shared" si="54"/>
        <v>0</v>
      </c>
      <c r="M42" s="155">
        <f t="shared" si="62"/>
        <v>0</v>
      </c>
      <c r="O42" s="63">
        <f>SUMIF('2024 AC'!$B$3:$B$250,"*"&amp;$D42&amp;"*",'2024 AC'!C$3:C$250)</f>
        <v>0</v>
      </c>
      <c r="P42" s="53">
        <f>SUMIF('2024 AC'!$B$3:$B$250,"*"&amp;$D42&amp;"*",'2024 AC'!D$3:D$250)</f>
        <v>0</v>
      </c>
      <c r="Q42" s="53">
        <f>SUMIF('2024 AC'!$B$3:$B$250,"*"&amp;$D42&amp;"*",'2024 AC'!E$3:E$250)</f>
        <v>0</v>
      </c>
      <c r="R42" s="53">
        <f>SUMIF('2024 AC'!$B$3:$B$250,"*"&amp;$D42&amp;"*",'2024 AC'!F$3:F$250)</f>
        <v>0</v>
      </c>
      <c r="S42" s="53">
        <f>SUMIF('2024 AC'!$B$3:$B$250,"*"&amp;$D42&amp;"*",'2024 AC'!G$3:G$250)</f>
        <v>0</v>
      </c>
      <c r="T42" s="53">
        <f>SUMIF('2024 AC'!$B$3:$B$250,"*"&amp;$D42&amp;"*",'2024 AC'!H$3:H$250)</f>
        <v>0</v>
      </c>
      <c r="U42" s="53">
        <f>SUMIF('2024 AC'!$B$3:$B$250,"*"&amp;$D42&amp;"*",'2024 AC'!I$3:I$250)</f>
        <v>0</v>
      </c>
      <c r="V42" s="53">
        <f>SUMIF('2024 AC'!$B$3:$B$250,"*"&amp;$D42&amp;"*",'2024 AC'!J$3:J$250)</f>
        <v>0</v>
      </c>
      <c r="W42" s="53">
        <f>SUMIF('2024 AC'!$B$3:$B$250,"*"&amp;$D42&amp;"*",'2024 AC'!K$3:K$250)</f>
        <v>0</v>
      </c>
      <c r="X42" s="53">
        <f>SUMIF('2024 AC'!$B$3:$B$250,"*"&amp;$D42&amp;"*",'2024 AC'!L$3:L$250)</f>
        <v>0</v>
      </c>
      <c r="Y42" s="53">
        <f>SUMIF('2024 AC'!$B$3:$B$250,"*"&amp;$D42&amp;"*",'2024 AC'!M$3:M$250)</f>
        <v>0</v>
      </c>
      <c r="Z42" s="93">
        <f>SUMIF('2024 AC'!$B$3:$B$250,"*"&amp;$D42&amp;"*",'2024 AC'!N$3:N$250)</f>
        <v>0</v>
      </c>
      <c r="AA42" s="92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13"/>
        <v>0</v>
      </c>
      <c r="AF42" s="92">
        <f t="shared" si="14"/>
        <v>0</v>
      </c>
      <c r="AH42" s="63">
        <f>SUMIF('2025 AC'!$B$3:$B$250,"*"&amp;$D42&amp;"*",'2025 AC'!C$3:C$250)</f>
        <v>0</v>
      </c>
      <c r="AI42" s="53">
        <f>SUMIF('2025 AC'!$B$3:$B$250,"*"&amp;$D42&amp;"*",'2025 AC'!D$3:D$250)</f>
        <v>0</v>
      </c>
      <c r="AJ42" s="53">
        <f>SUMIF('2025 AC'!$B$3:$B$250,"*"&amp;$D42&amp;"*",'2025 AC'!E$3:E$250)</f>
        <v>0</v>
      </c>
      <c r="AK42" s="53">
        <f>SUMIF('2025 AC'!$B$3:$B$250,"*"&amp;$D42&amp;"*",'2025 AC'!F$3:F$250)</f>
        <v>0</v>
      </c>
      <c r="AL42" s="53">
        <f>SUMIF('2025 AC'!$B$3:$B$250,"*"&amp;$D42&amp;"*",'2025 AC'!G$3:G$250)</f>
        <v>0</v>
      </c>
      <c r="AM42" s="53">
        <f>SUMIF('2025 AC'!$B$3:$B$250,"*"&amp;$D42&amp;"*",'2025 AC'!H$3:H$250)</f>
        <v>0</v>
      </c>
      <c r="AN42" s="53">
        <f>SUMIF('2025 AC'!$B$3:$B$250,"*"&amp;$D42&amp;"*",'2025 AC'!I$3:I$250)</f>
        <v>0</v>
      </c>
      <c r="AO42" s="53">
        <f>SUMIF('2025 AC'!$B$3:$B$250,"*"&amp;$D42&amp;"*",'2025 AC'!J$3:J$250)</f>
        <v>0</v>
      </c>
      <c r="AP42" s="53">
        <f>SUMIF('2025 AC'!$B$3:$B$250,"*"&amp;$D42&amp;"*",'2025 AC'!K$3:K$250)</f>
        <v>0</v>
      </c>
      <c r="AQ42" s="53">
        <f>SUMIF('2025 AC'!$B$3:$B$250,"*"&amp;$D42&amp;"*",'2025 AC'!L$3:L$250)</f>
        <v>0</v>
      </c>
      <c r="AR42" s="53">
        <f>SUMIF('2025 AC'!$B$3:$B$250,"*"&amp;$D42&amp;"*",'2025 AC'!M$3:M$250)</f>
        <v>0</v>
      </c>
      <c r="AS42" s="53">
        <f>SUMIF('2025 AC'!$B$3:$B$250,"*"&amp;$D42&amp;"*",'2025 AC'!N$3:N$250)</f>
        <v>0</v>
      </c>
      <c r="AT42" s="94">
        <f t="shared" si="15"/>
        <v>0</v>
      </c>
      <c r="AU42" s="93">
        <f t="shared" si="16"/>
        <v>0</v>
      </c>
      <c r="AV42" s="93">
        <f t="shared" si="17"/>
        <v>0</v>
      </c>
      <c r="AW42" s="93">
        <f t="shared" si="18"/>
        <v>0</v>
      </c>
      <c r="AX42" s="93">
        <f t="shared" si="19"/>
        <v>0</v>
      </c>
      <c r="AY42" s="92">
        <f t="shared" si="20"/>
        <v>0</v>
      </c>
      <c r="BA42" s="63">
        <f>SUMIF('2026 AC'!$B$3:$B$254,"*"&amp;$D42&amp;"*",'2026 AC'!C$3:C$254)</f>
        <v>0</v>
      </c>
      <c r="BB42" s="53">
        <f>SUMIF('2026 AC'!$B$3:$B$254,"*"&amp;$D42&amp;"*",'2026 AC'!D$3:D$254)</f>
        <v>0</v>
      </c>
      <c r="BC42" s="53">
        <f>SUMIF('2026 AC'!$B$3:$B$254,"*"&amp;$D42&amp;"*",'2026 AC'!E$3:E$254)</f>
        <v>0</v>
      </c>
      <c r="BD42" s="53">
        <f>SUMIF('2026 AC'!$B$3:$B$254,"*"&amp;$D42&amp;"*",'2026 AC'!F$3:F$254)</f>
        <v>0</v>
      </c>
      <c r="BE42" s="53">
        <f>SUMIF('2026 AC'!$B$3:$B$254,"*"&amp;$D42&amp;"*",'2026 AC'!G$3:G$254)</f>
        <v>0</v>
      </c>
      <c r="BF42" s="53">
        <f>SUMIF('2026 AC'!$B$3:$B$254,"*"&amp;$D42&amp;"*",'2026 AC'!H$3:H$254)</f>
        <v>0</v>
      </c>
      <c r="BG42" s="53">
        <f>SUMIF('2026 AC'!$B$3:$B$254,"*"&amp;$D42&amp;"*",'2026 AC'!I$3:I$254)</f>
        <v>0</v>
      </c>
      <c r="BH42" s="53">
        <f>SUMIF('2026 AC'!$B$3:$B$254,"*"&amp;$D42&amp;"*",'2026 AC'!J$3:J$254)</f>
        <v>0</v>
      </c>
      <c r="BI42" s="53">
        <f>SUMIF('2026 AC'!$B$3:$B$254,"*"&amp;$D42&amp;"*",'2026 AC'!K$3:K$254)</f>
        <v>0</v>
      </c>
      <c r="BJ42" s="53">
        <f>SUMIF('2026 AC'!$B$3:$B$254,"*"&amp;$D42&amp;"*",'2026 AC'!L$3:L$254)</f>
        <v>0</v>
      </c>
      <c r="BK42" s="53">
        <f>SUMIF('2026 AC'!$B$3:$B$254,"*"&amp;$D42&amp;"*",'2026 AC'!M$3:M$254)</f>
        <v>0</v>
      </c>
      <c r="BL42" s="93">
        <f>SUMIF('2026 AC'!$B$3:$B$254,"*"&amp;$D42&amp;"*",'2026 AC'!N$3:N$254)</f>
        <v>0</v>
      </c>
      <c r="BM42" s="92">
        <f t="shared" si="21"/>
        <v>0</v>
      </c>
      <c r="BN42" s="93">
        <f t="shared" si="22"/>
        <v>0</v>
      </c>
      <c r="BO42" s="93">
        <f t="shared" si="23"/>
        <v>0</v>
      </c>
      <c r="BP42" s="93">
        <f t="shared" si="24"/>
        <v>0</v>
      </c>
      <c r="BQ42" s="93">
        <f t="shared" si="25"/>
        <v>0</v>
      </c>
      <c r="BR42" s="92">
        <f t="shared" si="26"/>
        <v>0</v>
      </c>
    </row>
    <row r="43" ht="15" customHeight="1" outlineLevel="1">
      <c r="A43" t="s">
        <v>84</v>
      </c>
      <c r="B43" t="s">
        <v>85</v>
      </c>
      <c r="C43" s="34" t="s">
        <v>86</v>
      </c>
      <c r="D43" s="35" t="s">
        <v>85</v>
      </c>
      <c r="E43" s="151">
        <f t="shared" si="49"/>
        <v>8834.3299999999999</v>
      </c>
      <c r="F43" s="152">
        <f t="shared" si="50"/>
        <v>1994.97</v>
      </c>
      <c r="G43" s="54">
        <f t="shared" ref="G43:G46" si="63">(E43-F43)/F43</f>
        <v>3.4283021799826563</v>
      </c>
      <c r="H43" s="153">
        <f t="shared" si="51"/>
        <v>19355.949999999997</v>
      </c>
      <c r="I43" s="153">
        <f t="shared" si="52"/>
        <v>12511.699999999999</v>
      </c>
      <c r="J43" s="54">
        <f t="shared" ref="J43:J53" si="64">(H43-I43)/I43</f>
        <v>0.54702798180902668</v>
      </c>
      <c r="K43" s="153">
        <f t="shared" si="53"/>
        <v>154012.55000000002</v>
      </c>
      <c r="L43" s="153">
        <f t="shared" si="54"/>
        <v>174811.08000000002</v>
      </c>
      <c r="M43" s="55">
        <f t="shared" ref="M43:M46" si="65">(K43-L43)/L43</f>
        <v>-0.11897718382610528</v>
      </c>
      <c r="O43" s="63">
        <f>SUMIF('2024 AC'!$B$3:$B$250,"*"&amp;$D43&amp;"*",'2024 AC'!C$3:C$250)</f>
        <v>413.18000000000001</v>
      </c>
      <c r="P43" s="53">
        <f>SUMIF('2024 AC'!$B$3:$B$250,"*"&amp;$D43&amp;"*",'2024 AC'!D$3:D$250)</f>
        <v>434.88</v>
      </c>
      <c r="Q43" s="53">
        <f>SUMIF('2024 AC'!$B$3:$B$250,"*"&amp;$D43&amp;"*",'2024 AC'!E$3:E$250)</f>
        <v>71659.919999999998</v>
      </c>
      <c r="R43" s="53">
        <f>SUMIF('2024 AC'!$B$3:$B$250,"*"&amp;$D43&amp;"*",'2024 AC'!F$3:F$250)</f>
        <v>42905.830000000002</v>
      </c>
      <c r="S43" s="53">
        <f>SUMIF('2024 AC'!$B$3:$B$250,"*"&amp;$D43&amp;"*",'2024 AC'!G$3:G$250)</f>
        <v>820</v>
      </c>
      <c r="T43" s="53">
        <f>SUMIF('2024 AC'!$B$3:$B$250,"*"&amp;$D43&amp;"*",'2024 AC'!H$3:H$250)</f>
        <v>2068.96</v>
      </c>
      <c r="U43" s="53">
        <f>SUMIF('2024 AC'!$B$3:$B$250,"*"&amp;$D43&amp;"*",'2024 AC'!I$3:I$250)</f>
        <v>297.14999999999998</v>
      </c>
      <c r="V43" s="53">
        <f>SUMIF('2024 AC'!$B$3:$B$250,"*"&amp;$D43&amp;"*",'2024 AC'!J$3:J$250)</f>
        <v>84.900000000000006</v>
      </c>
      <c r="W43" s="53">
        <f>SUMIF('2024 AC'!$B$3:$B$250,"*"&amp;$D43&amp;"*",'2024 AC'!K$3:K$250)</f>
        <v>18.870000000000001</v>
      </c>
      <c r="X43" s="53">
        <f>SUMIF('2024 AC'!$B$3:$B$250,"*"&amp;$D43&amp;"*",'2024 AC'!L$3:L$250)</f>
        <v>0</v>
      </c>
      <c r="Y43" s="53">
        <f>SUMIF('2024 AC'!$B$3:$B$250,"*"&amp;$D43&amp;"*",'2024 AC'!M$3:M$250)</f>
        <v>0</v>
      </c>
      <c r="Z43" s="93">
        <f>SUMIF('2024 AC'!$B$3:$B$250,"*"&amp;$D43&amp;"*",'2024 AC'!N$3:N$250)</f>
        <v>5855.1300000000001</v>
      </c>
      <c r="AA43" s="92">
        <f t="shared" si="9"/>
        <v>124558.81999999999</v>
      </c>
      <c r="AB43" s="93">
        <f t="shared" si="10"/>
        <v>72507.979999999996</v>
      </c>
      <c r="AC43" s="93">
        <f t="shared" si="11"/>
        <v>45794.790000000001</v>
      </c>
      <c r="AD43" s="93">
        <f t="shared" si="12"/>
        <v>400.91999999999996</v>
      </c>
      <c r="AE43" s="93">
        <f t="shared" si="13"/>
        <v>5855.1300000000001</v>
      </c>
      <c r="AF43" s="92">
        <f t="shared" si="14"/>
        <v>124558.81999999999</v>
      </c>
      <c r="AH43" s="63">
        <f>SUMIF('2025 AC'!$B$3:$B$250,"*"&amp;$D43&amp;"*",'2025 AC'!C$3:C$250)</f>
        <v>0</v>
      </c>
      <c r="AI43" s="53">
        <f>SUMIF('2025 AC'!$B$3:$B$250,"*"&amp;$D43&amp;"*",'2025 AC'!D$3:D$250)</f>
        <v>2000</v>
      </c>
      <c r="AJ43" s="53">
        <f>SUMIF('2025 AC'!$B$3:$B$250,"*"&amp;$D43&amp;"*",'2025 AC'!E$3:E$250)</f>
        <v>160299.38</v>
      </c>
      <c r="AK43" s="53">
        <f>SUMIF('2025 AC'!$B$3:$B$250,"*"&amp;$D43&amp;"*",'2025 AC'!F$3:F$250)</f>
        <v>7509.6599999999999</v>
      </c>
      <c r="AL43" s="53">
        <f>SUMIF('2025 AC'!$B$3:$B$250,"*"&amp;$D43&amp;"*",'2025 AC'!G$3:G$250)</f>
        <v>3007.0700000000002</v>
      </c>
      <c r="AM43" s="53">
        <f>SUMIF('2025 AC'!$B$3:$B$250,"*"&amp;$D43&amp;"*",'2025 AC'!H$3:H$250)</f>
        <v>1994.97</v>
      </c>
      <c r="AN43" s="53">
        <f>SUMIF('2025 AC'!$B$3:$B$250,"*"&amp;$D43&amp;"*",'2025 AC'!I$3:I$250)</f>
        <v>2277.9000000000001</v>
      </c>
      <c r="AO43" s="53">
        <f>SUMIF('2025 AC'!$B$3:$B$250,"*"&amp;$D43&amp;"*",'2025 AC'!J$3:J$250)</f>
        <v>4739.8500000000004</v>
      </c>
      <c r="AP43" s="53">
        <f>SUMIF('2025 AC'!$B$3:$B$250,"*"&amp;$D43&amp;"*",'2025 AC'!K$3:K$250)</f>
        <v>8233.7199999999993</v>
      </c>
      <c r="AQ43" s="53">
        <f>SUMIF('2025 AC'!$B$3:$B$250,"*"&amp;$D43&amp;"*",'2025 AC'!L$3:L$250)</f>
        <v>3508.8000000000002</v>
      </c>
      <c r="AR43" s="53">
        <f>SUMIF('2025 AC'!$B$3:$B$250,"*"&amp;$D43&amp;"*",'2025 AC'!M$3:M$250)</f>
        <v>3904.9499999999998</v>
      </c>
      <c r="AS43" s="53">
        <f>SUMIF('2025 AC'!$B$3:$B$250,"*"&amp;$D43&amp;"*",'2025 AC'!N$3:N$250)</f>
        <v>8258.8999999999996</v>
      </c>
      <c r="AT43" s="94">
        <f t="shared" si="15"/>
        <v>205735.20000000001</v>
      </c>
      <c r="AU43" s="93">
        <f t="shared" si="16"/>
        <v>162299.38</v>
      </c>
      <c r="AV43" s="93">
        <f t="shared" si="17"/>
        <v>12511.699999999999</v>
      </c>
      <c r="AW43" s="93">
        <f t="shared" si="18"/>
        <v>15251.469999999999</v>
      </c>
      <c r="AX43" s="93">
        <f t="shared" si="19"/>
        <v>15672.65</v>
      </c>
      <c r="AY43" s="92">
        <f t="shared" si="20"/>
        <v>205735.20000000001</v>
      </c>
      <c r="BA43" s="63">
        <f>SUMIF('2026 AC'!$B$3:$B$254,"*"&amp;$D43&amp;"*",'2026 AC'!C$3:C$254)</f>
        <v>12187.129999999999</v>
      </c>
      <c r="BB43" s="53">
        <f>SUMIF('2026 AC'!$B$3:$B$254,"*"&amp;$D43&amp;"*",'2026 AC'!D$3:D$254)</f>
        <v>20979.759999999998</v>
      </c>
      <c r="BC43" s="53">
        <f>SUMIF('2026 AC'!$B$3:$B$254,"*"&amp;$D43&amp;"*",'2026 AC'!E$3:E$254)</f>
        <v>101489.71000000001</v>
      </c>
      <c r="BD43" s="53">
        <f>SUMIF('2026 AC'!$B$3:$B$254,"*"&amp;$D43&amp;"*",'2026 AC'!F$3:F$254)</f>
        <v>4494.4499999999998</v>
      </c>
      <c r="BE43" s="53">
        <f>SUMIF('2026 AC'!$B$3:$B$254,"*"&amp;$D43&amp;"*",'2026 AC'!G$3:G$254)</f>
        <v>6027.1700000000001</v>
      </c>
      <c r="BF43" s="53">
        <f>SUMIF('2026 AC'!$B$3:$B$254,"*"&amp;$D43&amp;"*",'2026 AC'!H$3:H$254)</f>
        <v>8834.3299999999999</v>
      </c>
      <c r="BG43" s="53">
        <f>SUMIF('2026 AC'!$B$3:$B$254,"*"&amp;$D43&amp;"*",'2026 AC'!I$3:I$254)</f>
        <v>0</v>
      </c>
      <c r="BH43" s="53">
        <f>SUMIF('2026 AC'!$B$3:$B$254,"*"&amp;$D43&amp;"*",'2026 AC'!J$3:J$254)</f>
        <v>0</v>
      </c>
      <c r="BI43" s="53">
        <f>SUMIF('2026 AC'!$B$3:$B$254,"*"&amp;$D43&amp;"*",'2026 AC'!K$3:K$254)</f>
        <v>0</v>
      </c>
      <c r="BJ43" s="53">
        <f>SUMIF('2026 AC'!$B$3:$B$254,"*"&amp;$D43&amp;"*",'2026 AC'!L$3:L$254)</f>
        <v>0</v>
      </c>
      <c r="BK43" s="53">
        <f>SUMIF('2026 AC'!$B$3:$B$254,"*"&amp;$D43&amp;"*",'2026 AC'!M$3:M$254)</f>
        <v>0</v>
      </c>
      <c r="BL43" s="93">
        <f>SUMIF('2026 AC'!$B$3:$B$254,"*"&amp;$D43&amp;"*",'2026 AC'!N$3:N$254)</f>
        <v>0</v>
      </c>
      <c r="BM43" s="92">
        <f t="shared" si="21"/>
        <v>154012.55000000002</v>
      </c>
      <c r="BN43" s="93">
        <f t="shared" si="22"/>
        <v>134656.60000000001</v>
      </c>
      <c r="BO43" s="93">
        <f t="shared" si="23"/>
        <v>19355.949999999997</v>
      </c>
      <c r="BP43" s="93">
        <f t="shared" si="24"/>
        <v>0</v>
      </c>
      <c r="BQ43" s="93">
        <f t="shared" si="25"/>
        <v>0</v>
      </c>
      <c r="BR43" s="92">
        <f t="shared" si="26"/>
        <v>154012.54999999999</v>
      </c>
    </row>
    <row r="44" ht="15" customHeight="1" outlineLevel="1">
      <c r="A44" t="s">
        <v>87</v>
      </c>
      <c r="B44" t="s">
        <v>88</v>
      </c>
      <c r="C44" s="34" t="s">
        <v>89</v>
      </c>
      <c r="D44" s="156" t="s">
        <v>88</v>
      </c>
      <c r="E44" s="153">
        <f t="shared" si="49"/>
        <v>0</v>
      </c>
      <c r="F44" s="152">
        <f t="shared" si="50"/>
        <v>0</v>
      </c>
      <c r="G44" s="154">
        <f>IFERROR((E44-F44)/F44,0)</f>
        <v>0</v>
      </c>
      <c r="H44" s="153">
        <f t="shared" si="51"/>
        <v>0</v>
      </c>
      <c r="I44" s="153">
        <f t="shared" si="52"/>
        <v>0</v>
      </c>
      <c r="J44" s="154">
        <f>IFERROR((H44-I44)/I44,0)</f>
        <v>0</v>
      </c>
      <c r="K44" s="153">
        <f t="shared" si="53"/>
        <v>0</v>
      </c>
      <c r="L44" s="153">
        <f t="shared" si="54"/>
        <v>0</v>
      </c>
      <c r="M44" s="155">
        <f>IFERROR((K44-L44)/L44,0)</f>
        <v>0</v>
      </c>
      <c r="O44" s="63">
        <f>SUMIF('2024 AC'!$B$3:$B$250,"*"&amp;$D44&amp;"*",'2024 AC'!C$3:C$250)</f>
        <v>0</v>
      </c>
      <c r="P44" s="53">
        <f>SUMIF('2024 AC'!$B$3:$B$250,"*"&amp;$D44&amp;"*",'2024 AC'!D$3:D$250)</f>
        <v>0</v>
      </c>
      <c r="Q44" s="53">
        <f>SUMIF('2024 AC'!$B$3:$B$250,"*"&amp;$D44&amp;"*",'2024 AC'!E$3:E$250)</f>
        <v>0</v>
      </c>
      <c r="R44" s="53">
        <f>SUMIF('2024 AC'!$B$3:$B$250,"*"&amp;$D44&amp;"*",'2024 AC'!F$3:F$250)</f>
        <v>0</v>
      </c>
      <c r="S44" s="53">
        <f>SUMIF('2024 AC'!$B$3:$B$250,"*"&amp;$D44&amp;"*",'2024 AC'!G$3:G$250)</f>
        <v>0</v>
      </c>
      <c r="T44" s="53">
        <f>SUMIF('2024 AC'!$B$3:$B$250,"*"&amp;$D44&amp;"*",'2024 AC'!H$3:H$250)</f>
        <v>0</v>
      </c>
      <c r="U44" s="53">
        <f>SUMIF('2024 AC'!$B$3:$B$250,"*"&amp;$D44&amp;"*",'2024 AC'!I$3:I$250)</f>
        <v>0</v>
      </c>
      <c r="V44" s="53">
        <f>SUMIF('2024 AC'!$B$3:$B$250,"*"&amp;$D44&amp;"*",'2024 AC'!J$3:J$250)</f>
        <v>0</v>
      </c>
      <c r="W44" s="53">
        <f>SUMIF('2024 AC'!$B$3:$B$250,"*"&amp;$D44&amp;"*",'2024 AC'!K$3:K$250)</f>
        <v>0</v>
      </c>
      <c r="X44" s="53">
        <f>SUMIF('2024 AC'!$B$3:$B$250,"*"&amp;$D44&amp;"*",'2024 AC'!L$3:L$250)</f>
        <v>0</v>
      </c>
      <c r="Y44" s="53">
        <f>SUMIF('2024 AC'!$B$3:$B$250,"*"&amp;$D44&amp;"*",'2024 AC'!M$3:M$250)</f>
        <v>0</v>
      </c>
      <c r="Z44" s="93">
        <f>SUMIF('2024 AC'!$B$3:$B$250,"*"&amp;$D44&amp;"*",'2024 AC'!N$3:N$250)</f>
        <v>0</v>
      </c>
      <c r="AA44" s="92">
        <f t="shared" si="9"/>
        <v>0</v>
      </c>
      <c r="AB44" s="93">
        <f t="shared" si="10"/>
        <v>0</v>
      </c>
      <c r="AC44" s="93">
        <f t="shared" si="11"/>
        <v>0</v>
      </c>
      <c r="AD44" s="93">
        <f t="shared" si="12"/>
        <v>0</v>
      </c>
      <c r="AE44" s="93">
        <f t="shared" si="13"/>
        <v>0</v>
      </c>
      <c r="AF44" s="92">
        <f t="shared" si="14"/>
        <v>0</v>
      </c>
      <c r="AH44" s="63">
        <f>SUMIF('2025 AC'!$B$3:$B$250,"*"&amp;$D44&amp;"*",'2025 AC'!C$3:C$250)</f>
        <v>0</v>
      </c>
      <c r="AI44" s="53">
        <f>SUMIF('2025 AC'!$B$3:$B$250,"*"&amp;$D44&amp;"*",'2025 AC'!D$3:D$250)</f>
        <v>0</v>
      </c>
      <c r="AJ44" s="53">
        <f>SUMIF('2025 AC'!$B$3:$B$250,"*"&amp;$D44&amp;"*",'2025 AC'!E$3:E$250)</f>
        <v>0</v>
      </c>
      <c r="AK44" s="53">
        <f>SUMIF('2025 AC'!$B$3:$B$250,"*"&amp;$D44&amp;"*",'2025 AC'!F$3:F$250)</f>
        <v>0</v>
      </c>
      <c r="AL44" s="53">
        <f>SUMIF('2025 AC'!$B$3:$B$250,"*"&amp;$D44&amp;"*",'2025 AC'!G$3:G$250)</f>
        <v>0</v>
      </c>
      <c r="AM44" s="53">
        <f>SUMIF('2025 AC'!$B$3:$B$250,"*"&amp;$D44&amp;"*",'2025 AC'!H$3:H$250)</f>
        <v>0</v>
      </c>
      <c r="AN44" s="53">
        <f>SUMIF('2025 AC'!$B$3:$B$250,"*"&amp;$D44&amp;"*",'2025 AC'!I$3:I$250)</f>
        <v>0</v>
      </c>
      <c r="AO44" s="53">
        <f>SUMIF('2025 AC'!$B$3:$B$250,"*"&amp;$D44&amp;"*",'2025 AC'!J$3:J$250)</f>
        <v>0</v>
      </c>
      <c r="AP44" s="53">
        <f>SUMIF('2025 AC'!$B$3:$B$250,"*"&amp;$D44&amp;"*",'2025 AC'!K$3:K$250)</f>
        <v>0</v>
      </c>
      <c r="AQ44" s="53">
        <f>SUMIF('2025 AC'!$B$3:$B$250,"*"&amp;$D44&amp;"*",'2025 AC'!L$3:L$250)</f>
        <v>0</v>
      </c>
      <c r="AR44" s="53">
        <f>SUMIF('2025 AC'!$B$3:$B$250,"*"&amp;$D44&amp;"*",'2025 AC'!M$3:M$250)</f>
        <v>0</v>
      </c>
      <c r="AS44" s="53">
        <f>SUMIF('2025 AC'!$B$3:$B$250,"*"&amp;$D44&amp;"*",'2025 AC'!N$3:N$250)</f>
        <v>0</v>
      </c>
      <c r="AT44" s="94">
        <f t="shared" si="15"/>
        <v>0</v>
      </c>
      <c r="AU44" s="93">
        <f t="shared" si="16"/>
        <v>0</v>
      </c>
      <c r="AV44" s="93">
        <f t="shared" si="17"/>
        <v>0</v>
      </c>
      <c r="AW44" s="93">
        <f t="shared" si="18"/>
        <v>0</v>
      </c>
      <c r="AX44" s="93">
        <f t="shared" si="19"/>
        <v>0</v>
      </c>
      <c r="AY44" s="92">
        <f t="shared" si="20"/>
        <v>0</v>
      </c>
      <c r="BA44" s="63">
        <f>SUMIF('2026 AC'!$B$3:$B$254,"*"&amp;$D44&amp;"*",'2026 AC'!C$3:C$254)</f>
        <v>0</v>
      </c>
      <c r="BB44" s="53">
        <f>SUMIF('2026 AC'!$B$3:$B$254,"*"&amp;$D44&amp;"*",'2026 AC'!D$3:D$254)</f>
        <v>0</v>
      </c>
      <c r="BC44" s="53">
        <f>SUMIF('2026 AC'!$B$3:$B$254,"*"&amp;$D44&amp;"*",'2026 AC'!E$3:E$254)</f>
        <v>0</v>
      </c>
      <c r="BD44" s="53">
        <f>SUMIF('2026 AC'!$B$3:$B$254,"*"&amp;$D44&amp;"*",'2026 AC'!F$3:F$254)</f>
        <v>0</v>
      </c>
      <c r="BE44" s="53">
        <f>SUMIF('2026 AC'!$B$3:$B$254,"*"&amp;$D44&amp;"*",'2026 AC'!G$3:G$254)</f>
        <v>0</v>
      </c>
      <c r="BF44" s="53">
        <f>SUMIF('2026 AC'!$B$3:$B$254,"*"&amp;$D44&amp;"*",'2026 AC'!H$3:H$254)</f>
        <v>0</v>
      </c>
      <c r="BG44" s="53">
        <f>SUMIF('2026 AC'!$B$3:$B$254,"*"&amp;$D44&amp;"*",'2026 AC'!I$3:I$254)</f>
        <v>0</v>
      </c>
      <c r="BH44" s="53">
        <f>SUMIF('2026 AC'!$B$3:$B$254,"*"&amp;$D44&amp;"*",'2026 AC'!J$3:J$254)</f>
        <v>0</v>
      </c>
      <c r="BI44" s="53">
        <f>SUMIF('2026 AC'!$B$3:$B$254,"*"&amp;$D44&amp;"*",'2026 AC'!K$3:K$254)</f>
        <v>0</v>
      </c>
      <c r="BJ44" s="53">
        <f>SUMIF('2026 AC'!$B$3:$B$254,"*"&amp;$D44&amp;"*",'2026 AC'!L$3:L$254)</f>
        <v>0</v>
      </c>
      <c r="BK44" s="53">
        <f>SUMIF('2026 AC'!$B$3:$B$254,"*"&amp;$D44&amp;"*",'2026 AC'!M$3:M$254)</f>
        <v>0</v>
      </c>
      <c r="BL44" s="93">
        <f>SUMIF('2026 AC'!$B$3:$B$254,"*"&amp;$D44&amp;"*",'2026 AC'!N$3:N$254)</f>
        <v>0</v>
      </c>
      <c r="BM44" s="92">
        <f t="shared" si="21"/>
        <v>0</v>
      </c>
      <c r="BN44" s="93">
        <f t="shared" si="22"/>
        <v>0</v>
      </c>
      <c r="BO44" s="93">
        <f t="shared" si="23"/>
        <v>0</v>
      </c>
      <c r="BP44" s="93">
        <f t="shared" si="24"/>
        <v>0</v>
      </c>
      <c r="BQ44" s="93">
        <f t="shared" si="25"/>
        <v>0</v>
      </c>
      <c r="BR44" s="92">
        <f t="shared" si="26"/>
        <v>0</v>
      </c>
    </row>
    <row r="45" s="137" customFormat="1">
      <c r="A45" s="137" t="s">
        <v>90</v>
      </c>
      <c r="B45" s="137" t="s">
        <v>91</v>
      </c>
      <c r="C45" s="158" t="s">
        <v>92</v>
      </c>
      <c r="D45" s="139" t="s">
        <v>91</v>
      </c>
      <c r="E45" s="159">
        <f t="shared" si="49"/>
        <v>57628.849999999999</v>
      </c>
      <c r="F45" s="141">
        <f t="shared" si="50"/>
        <v>73202.380000000005</v>
      </c>
      <c r="G45" s="142">
        <f t="shared" si="63"/>
        <v>-0.21274622491782377</v>
      </c>
      <c r="H45" s="143">
        <f t="shared" si="51"/>
        <v>169802.73999999999</v>
      </c>
      <c r="I45" s="143">
        <f t="shared" si="52"/>
        <v>242502.59000000003</v>
      </c>
      <c r="J45" s="142">
        <f t="shared" si="64"/>
        <v>-0.29978999399552814</v>
      </c>
      <c r="K45" s="143">
        <f t="shared" si="53"/>
        <v>305507.03999999998</v>
      </c>
      <c r="L45" s="143">
        <f t="shared" si="54"/>
        <v>358765.42999999999</v>
      </c>
      <c r="M45" s="144">
        <f t="shared" si="65"/>
        <v>-0.14844905764749969</v>
      </c>
      <c r="O45" s="145">
        <f>SUMIF('2024 AC'!$B$3:$B$250,"*"&amp;$D45&amp;"*",'2024 AC'!C$3:C$250)</f>
        <v>71987.210000000006</v>
      </c>
      <c r="P45" s="146">
        <f>SUMIF('2024 AC'!$B$3:$B$250,"*"&amp;$D45&amp;"*",'2024 AC'!D$3:D$250)</f>
        <v>87343.130000000005</v>
      </c>
      <c r="Q45" s="146">
        <f>SUMIF('2024 AC'!$B$3:$B$250,"*"&amp;$D45&amp;"*",'2024 AC'!E$3:E$250)</f>
        <v>32957.639999999999</v>
      </c>
      <c r="R45" s="146">
        <f>SUMIF('2024 AC'!$B$3:$B$250,"*"&amp;$D45&amp;"*",'2024 AC'!F$3:F$250)</f>
        <v>55593.209999999999</v>
      </c>
      <c r="S45" s="146">
        <f>SUMIF('2024 AC'!$B$3:$B$250,"*"&amp;$D45&amp;"*",'2024 AC'!G$3:G$250)</f>
        <v>119618.67999999999</v>
      </c>
      <c r="T45" s="146">
        <f>SUMIF('2024 AC'!$B$3:$B$250,"*"&amp;$D45&amp;"*",'2024 AC'!H$3:H$250)</f>
        <v>78987.380000000005</v>
      </c>
      <c r="U45" s="146">
        <f>SUMIF('2024 AC'!$B$3:$B$250,"*"&amp;$D45&amp;"*",'2024 AC'!I$3:I$250)</f>
        <v>48453.389999999999</v>
      </c>
      <c r="V45" s="146">
        <f>SUMIF('2024 AC'!$B$3:$B$250,"*"&amp;$D45&amp;"*",'2024 AC'!J$3:J$250)</f>
        <v>157775.54000000001</v>
      </c>
      <c r="W45" s="146">
        <f>SUMIF('2024 AC'!$B$3:$B$250,"*"&amp;$D45&amp;"*",'2024 AC'!K$3:K$250)</f>
        <v>57856.010000000002</v>
      </c>
      <c r="X45" s="146">
        <f>SUMIF('2024 AC'!$B$3:$B$250,"*"&amp;$D45&amp;"*",'2024 AC'!L$3:L$250)</f>
        <v>73360.169999999998</v>
      </c>
      <c r="Y45" s="146">
        <f>SUMIF('2024 AC'!$B$3:$B$250,"*"&amp;$D45&amp;"*",'2024 AC'!M$3:M$250)</f>
        <v>119923.88</v>
      </c>
      <c r="Z45" s="147">
        <f>SUMIF('2024 AC'!$B$3:$B$250,"*"&amp;$D45&amp;"*",'2024 AC'!N$3:N$250)</f>
        <v>45184.379999999997</v>
      </c>
      <c r="AA45" s="148">
        <f t="shared" si="9"/>
        <v>949040.62000000011</v>
      </c>
      <c r="AB45" s="147">
        <f t="shared" si="10"/>
        <v>192287.98000000004</v>
      </c>
      <c r="AC45" s="147">
        <f t="shared" si="11"/>
        <v>254199.26999999999</v>
      </c>
      <c r="AD45" s="147">
        <f t="shared" si="12"/>
        <v>264084.94</v>
      </c>
      <c r="AE45" s="147">
        <f t="shared" si="13"/>
        <v>238468.42999999999</v>
      </c>
      <c r="AF45" s="148">
        <f t="shared" si="14"/>
        <v>949040.61999999988</v>
      </c>
      <c r="AH45" s="145">
        <f>SUMIF('2025 AC'!$B$3:$B$250,"*"&amp;$D45&amp;"*",'2025 AC'!C$3:C$250)</f>
        <v>64669.559999999998</v>
      </c>
      <c r="AI45" s="146">
        <f>SUMIF('2025 AC'!$B$3:$B$250,"*"&amp;$D45&amp;"*",'2025 AC'!D$3:D$250)</f>
        <v>44771.239999999998</v>
      </c>
      <c r="AJ45" s="146">
        <f>SUMIF('2025 AC'!$B$3:$B$250,"*"&amp;$D45&amp;"*",'2025 AC'!E$3:E$250)</f>
        <v>6822.04</v>
      </c>
      <c r="AK45" s="146">
        <f>SUMIF('2025 AC'!$B$3:$B$250,"*"&amp;$D45&amp;"*",'2025 AC'!F$3:F$250)</f>
        <v>51250.080000000002</v>
      </c>
      <c r="AL45" s="146">
        <f>SUMIF('2025 AC'!$B$3:$B$250,"*"&amp;$D45&amp;"*",'2025 AC'!G$3:G$250)</f>
        <v>118050.13</v>
      </c>
      <c r="AM45" s="146">
        <f>SUMIF('2025 AC'!$B$3:$B$250,"*"&amp;$D45&amp;"*",'2025 AC'!H$3:H$250)</f>
        <v>73202.380000000005</v>
      </c>
      <c r="AN45" s="146">
        <f>SUMIF('2025 AC'!$B$3:$B$250,"*"&amp;$D45&amp;"*",'2025 AC'!I$3:I$250)</f>
        <v>86079.940000000002</v>
      </c>
      <c r="AO45" s="146">
        <f>SUMIF('2025 AC'!$B$3:$B$250,"*"&amp;$D45&amp;"*",'2025 AC'!J$3:J$250)</f>
        <v>92604.25</v>
      </c>
      <c r="AP45" s="146">
        <f>SUMIF('2025 AC'!$B$3:$B$250,"*"&amp;$D45&amp;"*",'2025 AC'!K$3:K$250)</f>
        <v>126330.64999999999</v>
      </c>
      <c r="AQ45" s="146">
        <f>SUMIF('2025 AC'!$B$3:$B$250,"*"&amp;$D45&amp;"*",'2025 AC'!L$3:L$250)</f>
        <v>52014.419999999998</v>
      </c>
      <c r="AR45" s="146">
        <f>SUMIF('2025 AC'!$B$3:$B$250,"*"&amp;$D45&amp;"*",'2025 AC'!M$3:M$250)</f>
        <v>120492.47</v>
      </c>
      <c r="AS45" s="146">
        <f>SUMIF('2025 AC'!$B$3:$B$250,"*"&amp;$D45&amp;"*",'2025 AC'!N$3:N$250)</f>
        <v>67672.139999999999</v>
      </c>
      <c r="AT45" s="149">
        <f t="shared" si="15"/>
        <v>903959.30000000005</v>
      </c>
      <c r="AU45" s="147">
        <f t="shared" si="16"/>
        <v>116262.83999999998</v>
      </c>
      <c r="AV45" s="147">
        <f t="shared" si="17"/>
        <v>242502.59000000003</v>
      </c>
      <c r="AW45" s="147">
        <f t="shared" si="18"/>
        <v>305014.83999999997</v>
      </c>
      <c r="AX45" s="147">
        <f t="shared" si="19"/>
        <v>240179.03000000003</v>
      </c>
      <c r="AY45" s="148">
        <f t="shared" si="20"/>
        <v>903959.30000000005</v>
      </c>
      <c r="BA45" s="145">
        <f>SUMIF('2026 AC'!$B$3:$B$254,"*"&amp;$D45&amp;"*",'2026 AC'!C$3:C$254)</f>
        <v>45334.790000000001</v>
      </c>
      <c r="BB45" s="146">
        <f>SUMIF('2026 AC'!$B$3:$B$254,"*"&amp;$D45&amp;"*",'2026 AC'!D$3:D$254)</f>
        <v>43000.029999999999</v>
      </c>
      <c r="BC45" s="146">
        <f>SUMIF('2026 AC'!$B$3:$B$254,"*"&amp;$D45&amp;"*",'2026 AC'!E$3:E$254)</f>
        <v>47369.480000000003</v>
      </c>
      <c r="BD45" s="146">
        <f>SUMIF('2026 AC'!$B$3:$B$254,"*"&amp;$D45&amp;"*",'2026 AC'!F$3:F$254)</f>
        <v>79461.970000000001</v>
      </c>
      <c r="BE45" s="146">
        <f>SUMIF('2026 AC'!$B$3:$B$254,"*"&amp;$D45&amp;"*",'2026 AC'!G$3:G$254)</f>
        <v>32711.919999999998</v>
      </c>
      <c r="BF45" s="146">
        <f>SUMIF('2026 AC'!$B$3:$B$254,"*"&amp;$D45&amp;"*",'2026 AC'!H$3:H$254)</f>
        <v>57628.849999999999</v>
      </c>
      <c r="BG45" s="146">
        <f>SUMIF('2026 AC'!$B$3:$B$254,"*"&amp;$D45&amp;"*",'2026 AC'!I$3:I$254)</f>
        <v>0</v>
      </c>
      <c r="BH45" s="146">
        <f>SUMIF('2026 AC'!$B$3:$B$254,"*"&amp;$D45&amp;"*",'2026 AC'!J$3:J$254)</f>
        <v>0</v>
      </c>
      <c r="BI45" s="146">
        <f>SUMIF('2026 AC'!$B$3:$B$254,"*"&amp;$D45&amp;"*",'2026 AC'!K$3:K$254)</f>
        <v>0</v>
      </c>
      <c r="BJ45" s="146">
        <f>SUMIF('2026 AC'!$B$3:$B$254,"*"&amp;$D45&amp;"*",'2026 AC'!L$3:L$254)</f>
        <v>0</v>
      </c>
      <c r="BK45" s="146">
        <f>SUMIF('2026 AC'!$B$3:$B$254,"*"&amp;$D45&amp;"*",'2026 AC'!M$3:M$254)</f>
        <v>0</v>
      </c>
      <c r="BL45" s="147">
        <f>SUMIF('2026 AC'!$B$3:$B$254,"*"&amp;$D45&amp;"*",'2026 AC'!N$3:N$254)</f>
        <v>0</v>
      </c>
      <c r="BM45" s="148">
        <f t="shared" si="21"/>
        <v>305507.03999999998</v>
      </c>
      <c r="BN45" s="147">
        <f t="shared" si="22"/>
        <v>135704.30000000002</v>
      </c>
      <c r="BO45" s="147">
        <f t="shared" si="23"/>
        <v>169802.73999999999</v>
      </c>
      <c r="BP45" s="147">
        <f t="shared" si="24"/>
        <v>0</v>
      </c>
      <c r="BQ45" s="147">
        <f t="shared" si="25"/>
        <v>0</v>
      </c>
      <c r="BR45" s="148">
        <f t="shared" si="26"/>
        <v>305507.04000000004</v>
      </c>
    </row>
    <row r="46" outlineLevel="1">
      <c r="A46" t="s">
        <v>93</v>
      </c>
      <c r="B46" t="s">
        <v>94</v>
      </c>
      <c r="C46" s="52" t="s">
        <v>92</v>
      </c>
      <c r="D46" s="35" t="s">
        <v>94</v>
      </c>
      <c r="E46" s="151">
        <f t="shared" si="49"/>
        <v>0</v>
      </c>
      <c r="F46" s="152">
        <f t="shared" si="50"/>
        <v>73202.380000000005</v>
      </c>
      <c r="G46" s="54">
        <f t="shared" si="63"/>
        <v>-1</v>
      </c>
      <c r="H46" s="153">
        <f t="shared" si="51"/>
        <v>0</v>
      </c>
      <c r="I46" s="153">
        <f t="shared" si="52"/>
        <v>242502.59000000003</v>
      </c>
      <c r="J46" s="54">
        <f t="shared" si="64"/>
        <v>-1</v>
      </c>
      <c r="K46" s="153">
        <f t="shared" si="53"/>
        <v>0</v>
      </c>
      <c r="L46" s="153">
        <f t="shared" si="54"/>
        <v>358765.42999999999</v>
      </c>
      <c r="M46" s="55">
        <f t="shared" si="65"/>
        <v>-1</v>
      </c>
      <c r="O46" s="63">
        <f>SUMIF('2024 AC'!$B$3:$B$250,"*"&amp;$D46&amp;"*",'2024 AC'!C$3:C$250)</f>
        <v>71987.210000000006</v>
      </c>
      <c r="P46" s="53">
        <f>SUMIF('2024 AC'!$B$3:$B$250,"*"&amp;$D46&amp;"*",'2024 AC'!D$3:D$250)</f>
        <v>87343.130000000005</v>
      </c>
      <c r="Q46" s="53">
        <f>SUMIF('2024 AC'!$B$3:$B$250,"*"&amp;$D46&amp;"*",'2024 AC'!E$3:E$250)</f>
        <v>32957.639999999999</v>
      </c>
      <c r="R46" s="53">
        <f>SUMIF('2024 AC'!$B$3:$B$250,"*"&amp;$D46&amp;"*",'2024 AC'!F$3:F$250)</f>
        <v>55593.209999999999</v>
      </c>
      <c r="S46" s="53">
        <f>SUMIF('2024 AC'!$B$3:$B$250,"*"&amp;$D46&amp;"*",'2024 AC'!G$3:G$250)</f>
        <v>119618.67999999999</v>
      </c>
      <c r="T46" s="53">
        <f>SUMIF('2024 AC'!$B$3:$B$250,"*"&amp;$D46&amp;"*",'2024 AC'!H$3:H$250)</f>
        <v>78987.380000000005</v>
      </c>
      <c r="U46" s="53">
        <f>SUMIF('2024 AC'!$B$3:$B$250,"*"&amp;$D46&amp;"*",'2024 AC'!I$3:I$250)</f>
        <v>48453.389999999999</v>
      </c>
      <c r="V46" s="53">
        <f>SUMIF('2024 AC'!$B$3:$B$250,"*"&amp;$D46&amp;"*",'2024 AC'!J$3:J$250)</f>
        <v>157775.54000000001</v>
      </c>
      <c r="W46" s="53">
        <f>SUMIF('2024 AC'!$B$3:$B$250,"*"&amp;$D46&amp;"*",'2024 AC'!K$3:K$250)</f>
        <v>57856.010000000002</v>
      </c>
      <c r="X46" s="53">
        <f>SUMIF('2024 AC'!$B$3:$B$250,"*"&amp;$D46&amp;"*",'2024 AC'!L$3:L$250)</f>
        <v>73360.169999999998</v>
      </c>
      <c r="Y46" s="53">
        <f>SUMIF('2024 AC'!$B$3:$B$250,"*"&amp;$D46&amp;"*",'2024 AC'!M$3:M$250)</f>
        <v>119923.88</v>
      </c>
      <c r="Z46" s="93">
        <f>SUMIF('2024 AC'!$B$3:$B$250,"*"&amp;$D46&amp;"*",'2024 AC'!N$3:N$250)</f>
        <v>45184.379999999997</v>
      </c>
      <c r="AA46" s="92">
        <f t="shared" si="9"/>
        <v>949040.62000000011</v>
      </c>
      <c r="AB46" s="93">
        <f t="shared" si="10"/>
        <v>192287.98000000004</v>
      </c>
      <c r="AC46" s="93">
        <f t="shared" si="11"/>
        <v>254199.26999999999</v>
      </c>
      <c r="AD46" s="93">
        <f t="shared" si="12"/>
        <v>264084.94</v>
      </c>
      <c r="AE46" s="93">
        <f t="shared" si="13"/>
        <v>238468.42999999999</v>
      </c>
      <c r="AF46" s="92">
        <f t="shared" si="14"/>
        <v>949040.61999999988</v>
      </c>
      <c r="AH46" s="63">
        <f>SUMIF('2025 AC'!$B$3:$B$250,"*"&amp;$D46&amp;"*",'2025 AC'!C$3:C$250)</f>
        <v>64669.559999999998</v>
      </c>
      <c r="AI46" s="53">
        <f>SUMIF('2025 AC'!$B$3:$B$250,"*"&amp;$D46&amp;"*",'2025 AC'!D$3:D$250)</f>
        <v>44771.239999999998</v>
      </c>
      <c r="AJ46" s="53">
        <f>SUMIF('2025 AC'!$B$3:$B$250,"*"&amp;$D46&amp;"*",'2025 AC'!E$3:E$250)</f>
        <v>6822.04</v>
      </c>
      <c r="AK46" s="53">
        <f>SUMIF('2025 AC'!$B$3:$B$250,"*"&amp;$D46&amp;"*",'2025 AC'!F$3:F$250)</f>
        <v>51250.080000000002</v>
      </c>
      <c r="AL46" s="53">
        <f>SUMIF('2025 AC'!$B$3:$B$250,"*"&amp;$D46&amp;"*",'2025 AC'!G$3:G$250)</f>
        <v>118050.13</v>
      </c>
      <c r="AM46" s="53">
        <f>SUMIF('2025 AC'!$B$3:$B$250,"*"&amp;$D46&amp;"*",'2025 AC'!H$3:H$250)</f>
        <v>73202.380000000005</v>
      </c>
      <c r="AN46" s="53">
        <f>SUMIF('2025 AC'!$B$3:$B$250,"*"&amp;$D46&amp;"*",'2025 AC'!I$3:I$250)</f>
        <v>86079.940000000002</v>
      </c>
      <c r="AO46" s="53">
        <f>SUMIF('2025 AC'!$B$3:$B$250,"*"&amp;$D46&amp;"*",'2025 AC'!J$3:J$250)</f>
        <v>92604.25</v>
      </c>
      <c r="AP46" s="53">
        <f>SUMIF('2025 AC'!$B$3:$B$250,"*"&amp;$D46&amp;"*",'2025 AC'!K$3:K$250)</f>
        <v>126330.64999999999</v>
      </c>
      <c r="AQ46" s="53">
        <f>SUMIF('2025 AC'!$B$3:$B$250,"*"&amp;$D46&amp;"*",'2025 AC'!L$3:L$250)</f>
        <v>52014.419999999998</v>
      </c>
      <c r="AR46" s="53">
        <f>SUMIF('2025 AC'!$B$3:$B$250,"*"&amp;$D46&amp;"*",'2025 AC'!M$3:M$250)</f>
        <v>120492.47</v>
      </c>
      <c r="AS46" s="53">
        <f>SUMIF('2025 AC'!$B$3:$B$250,"*"&amp;$D46&amp;"*",'2025 AC'!N$3:N$250)</f>
        <v>67672.139999999999</v>
      </c>
      <c r="AT46" s="94">
        <f t="shared" si="15"/>
        <v>903959.30000000005</v>
      </c>
      <c r="AU46" s="93">
        <f t="shared" si="16"/>
        <v>116262.83999999998</v>
      </c>
      <c r="AV46" s="93">
        <f t="shared" si="17"/>
        <v>242502.59000000003</v>
      </c>
      <c r="AW46" s="93">
        <f t="shared" si="18"/>
        <v>305014.83999999997</v>
      </c>
      <c r="AX46" s="93">
        <f t="shared" si="19"/>
        <v>240179.03000000003</v>
      </c>
      <c r="AY46" s="92">
        <f t="shared" si="20"/>
        <v>903959.30000000005</v>
      </c>
      <c r="BA46" s="63">
        <f>SUMIF('2026 AC'!$B$3:$B$254,"*"&amp;$D46&amp;"*",'2026 AC'!C$3:C$254)</f>
        <v>0</v>
      </c>
      <c r="BB46" s="53">
        <f>SUMIF('2026 AC'!$B$3:$B$254,"*"&amp;$D46&amp;"*",'2026 AC'!D$3:D$254)</f>
        <v>0</v>
      </c>
      <c r="BC46" s="53">
        <f>SUMIF('2026 AC'!$B$3:$B$254,"*"&amp;$D46&amp;"*",'2026 AC'!E$3:E$254)</f>
        <v>0</v>
      </c>
      <c r="BD46" s="53">
        <f>SUMIF('2026 AC'!$B$3:$B$254,"*"&amp;$D46&amp;"*",'2026 AC'!F$3:F$254)</f>
        <v>0</v>
      </c>
      <c r="BE46" s="53">
        <f>SUMIF('2026 AC'!$B$3:$B$254,"*"&amp;$D46&amp;"*",'2026 AC'!G$3:G$254)</f>
        <v>0</v>
      </c>
      <c r="BF46" s="53">
        <f>SUMIF('2026 AC'!$B$3:$B$254,"*"&amp;$D46&amp;"*",'2026 AC'!H$3:H$254)</f>
        <v>0</v>
      </c>
      <c r="BG46" s="53">
        <f>SUMIF('2026 AC'!$B$3:$B$254,"*"&amp;$D46&amp;"*",'2026 AC'!I$3:I$254)</f>
        <v>0</v>
      </c>
      <c r="BH46" s="53">
        <f>SUMIF('2026 AC'!$B$3:$B$254,"*"&amp;$D46&amp;"*",'2026 AC'!J$3:J$254)</f>
        <v>0</v>
      </c>
      <c r="BI46" s="53">
        <f>SUMIF('2026 AC'!$B$3:$B$254,"*"&amp;$D46&amp;"*",'2026 AC'!K$3:K$254)</f>
        <v>0</v>
      </c>
      <c r="BJ46" s="53">
        <f>SUMIF('2026 AC'!$B$3:$B$254,"*"&amp;$D46&amp;"*",'2026 AC'!L$3:L$254)</f>
        <v>0</v>
      </c>
      <c r="BK46" s="53">
        <f>SUMIF('2026 AC'!$B$3:$B$254,"*"&amp;$D46&amp;"*",'2026 AC'!M$3:M$254)</f>
        <v>0</v>
      </c>
      <c r="BL46" s="93">
        <f>SUMIF('2026 AC'!$B$3:$B$254,"*"&amp;$D46&amp;"*",'2026 AC'!N$3:N$254)</f>
        <v>0</v>
      </c>
      <c r="BM46" s="92">
        <f t="shared" si="21"/>
        <v>0</v>
      </c>
      <c r="BN46" s="93">
        <f t="shared" si="22"/>
        <v>0</v>
      </c>
      <c r="BO46" s="93">
        <f t="shared" si="23"/>
        <v>0</v>
      </c>
      <c r="BP46" s="93">
        <f t="shared" si="24"/>
        <v>0</v>
      </c>
      <c r="BQ46" s="93">
        <f t="shared" si="25"/>
        <v>0</v>
      </c>
      <c r="BR46" s="92">
        <f t="shared" si="26"/>
        <v>0</v>
      </c>
    </row>
    <row r="47" ht="15" customHeight="1" outlineLevel="1">
      <c r="A47" t="s">
        <v>95</v>
      </c>
      <c r="B47" t="s">
        <v>96</v>
      </c>
      <c r="C47" s="52" t="s">
        <v>97</v>
      </c>
      <c r="D47" s="35" t="s">
        <v>98</v>
      </c>
      <c r="E47" s="151">
        <f t="shared" si="49"/>
        <v>29211.869999999999</v>
      </c>
      <c r="F47" s="152">
        <f t="shared" si="50"/>
        <v>0</v>
      </c>
      <c r="G47" s="154">
        <f t="shared" ref="G47:G51" si="66">IFERROR((E47-F47)/F47,0)</f>
        <v>0</v>
      </c>
      <c r="H47" s="153">
        <f t="shared" si="51"/>
        <v>86580.550000000003</v>
      </c>
      <c r="I47" s="153">
        <f t="shared" si="52"/>
        <v>0</v>
      </c>
      <c r="J47" s="154">
        <f t="shared" ref="J47:J51" si="67">IFERROR((H47-I47)/I47,0)</f>
        <v>0</v>
      </c>
      <c r="K47" s="153">
        <f t="shared" si="53"/>
        <v>167517.84</v>
      </c>
      <c r="L47" s="153">
        <f t="shared" si="54"/>
        <v>0</v>
      </c>
      <c r="M47" s="155">
        <f t="shared" ref="M47:M51" si="68">IFERROR((K47-L47)/L47,0)</f>
        <v>0</v>
      </c>
      <c r="O47" s="63">
        <f>SUMIF('2024 AC'!$B$3:$B$250,"*"&amp;$D47&amp;"*",'2024 AC'!C$3:C$250)</f>
        <v>0</v>
      </c>
      <c r="P47" s="53">
        <f>SUMIF('2024 AC'!$B$3:$B$250,"*"&amp;$D47&amp;"*",'2024 AC'!D$3:D$250)</f>
        <v>0</v>
      </c>
      <c r="Q47" s="53">
        <f>SUMIF('2024 AC'!$B$3:$B$250,"*"&amp;$D47&amp;"*",'2024 AC'!E$3:E$250)</f>
        <v>0</v>
      </c>
      <c r="R47" s="53">
        <f>SUMIF('2024 AC'!$B$3:$B$250,"*"&amp;$D47&amp;"*",'2024 AC'!F$3:F$250)</f>
        <v>0</v>
      </c>
      <c r="S47" s="53">
        <f>SUMIF('2024 AC'!$B$3:$B$250,"*"&amp;$D47&amp;"*",'2024 AC'!G$3:G$250)</f>
        <v>0</v>
      </c>
      <c r="T47" s="53">
        <f>SUMIF('2024 AC'!$B$3:$B$250,"*"&amp;$D47&amp;"*",'2024 AC'!H$3:H$250)</f>
        <v>0</v>
      </c>
      <c r="U47" s="53">
        <f>SUMIF('2024 AC'!$B$3:$B$250,"*"&amp;$D47&amp;"*",'2024 AC'!I$3:I$250)</f>
        <v>0</v>
      </c>
      <c r="V47" s="53">
        <f>SUMIF('2024 AC'!$B$3:$B$250,"*"&amp;$D47&amp;"*",'2024 AC'!J$3:J$250)</f>
        <v>0</v>
      </c>
      <c r="W47" s="53">
        <f>SUMIF('2024 AC'!$B$3:$B$250,"*"&amp;$D47&amp;"*",'2024 AC'!K$3:K$250)</f>
        <v>0</v>
      </c>
      <c r="X47" s="53">
        <f>SUMIF('2024 AC'!$B$3:$B$250,"*"&amp;$D47&amp;"*",'2024 AC'!L$3:L$250)</f>
        <v>0</v>
      </c>
      <c r="Y47" s="53">
        <f>SUMIF('2024 AC'!$B$3:$B$250,"*"&amp;$D47&amp;"*",'2024 AC'!M$3:M$250)</f>
        <v>0</v>
      </c>
      <c r="Z47" s="93">
        <f>SUMIF('2024 AC'!$B$3:$B$250,"*"&amp;$D47&amp;"*",'2024 AC'!N$3:N$250)</f>
        <v>0</v>
      </c>
      <c r="AA47" s="92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13"/>
        <v>0</v>
      </c>
      <c r="AF47" s="92">
        <f t="shared" si="14"/>
        <v>0</v>
      </c>
      <c r="AH47" s="63">
        <f>SUMIF('2025 AC'!$B$3:$B$250,"*"&amp;$D47&amp;"*",'2025 AC'!C$3:C$250)</f>
        <v>0</v>
      </c>
      <c r="AI47" s="53">
        <f>SUMIF('2025 AC'!$B$3:$B$250,"*"&amp;$D47&amp;"*",'2025 AC'!D$3:D$250)</f>
        <v>0</v>
      </c>
      <c r="AJ47" s="53">
        <f>SUMIF('2025 AC'!$B$3:$B$250,"*"&amp;$D47&amp;"*",'2025 AC'!E$3:E$250)</f>
        <v>0</v>
      </c>
      <c r="AK47" s="53">
        <f>SUMIF('2025 AC'!$B$3:$B$250,"*"&amp;$D47&amp;"*",'2025 AC'!F$3:F$250)</f>
        <v>0</v>
      </c>
      <c r="AL47" s="53">
        <f>SUMIF('2025 AC'!$B$3:$B$250,"*"&amp;$D47&amp;"*",'2025 AC'!G$3:G$250)</f>
        <v>0</v>
      </c>
      <c r="AM47" s="53">
        <f>SUMIF('2025 AC'!$B$3:$B$250,"*"&amp;$D47&amp;"*",'2025 AC'!H$3:H$250)</f>
        <v>0</v>
      </c>
      <c r="AN47" s="53">
        <f>SUMIF('2025 AC'!$B$3:$B$250,"*"&amp;$D47&amp;"*",'2025 AC'!I$3:I$250)</f>
        <v>0</v>
      </c>
      <c r="AO47" s="53">
        <f>SUMIF('2025 AC'!$B$3:$B$250,"*"&amp;$D47&amp;"*",'2025 AC'!J$3:J$250)</f>
        <v>0</v>
      </c>
      <c r="AP47" s="53">
        <f>SUMIF('2025 AC'!$B$3:$B$250,"*"&amp;$D47&amp;"*",'2025 AC'!K$3:K$250)</f>
        <v>0</v>
      </c>
      <c r="AQ47" s="53">
        <f>SUMIF('2025 AC'!$B$3:$B$250,"*"&amp;$D47&amp;"*",'2025 AC'!L$3:L$250)</f>
        <v>0</v>
      </c>
      <c r="AR47" s="53">
        <f>SUMIF('2025 AC'!$B$3:$B$250,"*"&amp;$D47&amp;"*",'2025 AC'!M$3:M$250)</f>
        <v>0</v>
      </c>
      <c r="AS47" s="53">
        <f>SUMIF('2025 AC'!$B$3:$B$250,"*"&amp;$D47&amp;"*",'2025 AC'!N$3:N$250)</f>
        <v>0</v>
      </c>
      <c r="AT47" s="94">
        <f t="shared" si="15"/>
        <v>0</v>
      </c>
      <c r="AU47" s="93">
        <f t="shared" si="16"/>
        <v>0</v>
      </c>
      <c r="AV47" s="93">
        <f t="shared" si="17"/>
        <v>0</v>
      </c>
      <c r="AW47" s="93">
        <f t="shared" si="18"/>
        <v>0</v>
      </c>
      <c r="AX47" s="93">
        <f t="shared" si="19"/>
        <v>0</v>
      </c>
      <c r="AY47" s="92">
        <f t="shared" si="20"/>
        <v>0</v>
      </c>
      <c r="BA47" s="63">
        <f>SUMIF('2026 AC'!$B$3:$B$254,"*"&amp;$D47&amp;"*",'2026 AC'!C$3:C$254)</f>
        <v>24135.599999999999</v>
      </c>
      <c r="BB47" s="53">
        <f>SUMIF('2026 AC'!$B$3:$B$254,"*"&amp;$D47&amp;"*",'2026 AC'!D$3:D$254)</f>
        <v>21631.360000000001</v>
      </c>
      <c r="BC47" s="53">
        <f>SUMIF('2026 AC'!$B$3:$B$254,"*"&amp;$D47&amp;"*",'2026 AC'!E$3:E$254)</f>
        <v>35170.330000000002</v>
      </c>
      <c r="BD47" s="53">
        <f>SUMIF('2026 AC'!$B$3:$B$254,"*"&amp;$D47&amp;"*",'2026 AC'!F$3:F$254)</f>
        <v>34766.970000000001</v>
      </c>
      <c r="BE47" s="53">
        <f>SUMIF('2026 AC'!$B$3:$B$254,"*"&amp;$D47&amp;"*",'2026 AC'!G$3:G$254)</f>
        <v>22601.709999999999</v>
      </c>
      <c r="BF47" s="53">
        <f>SUMIF('2026 AC'!$B$3:$B$254,"*"&amp;$D47&amp;"*",'2026 AC'!H$3:H$254)</f>
        <v>29211.869999999999</v>
      </c>
      <c r="BG47" s="53">
        <f>SUMIF('2026 AC'!$B$3:$B$254,"*"&amp;$D47&amp;"*",'2026 AC'!I$3:I$254)</f>
        <v>0</v>
      </c>
      <c r="BH47" s="53">
        <f>SUMIF('2026 AC'!$B$3:$B$254,"*"&amp;$D47&amp;"*",'2026 AC'!J$3:J$254)</f>
        <v>0</v>
      </c>
      <c r="BI47" s="53">
        <f>SUMIF('2026 AC'!$B$3:$B$254,"*"&amp;$D47&amp;"*",'2026 AC'!K$3:K$254)</f>
        <v>0</v>
      </c>
      <c r="BJ47" s="53">
        <f>SUMIF('2026 AC'!$B$3:$B$254,"*"&amp;$D47&amp;"*",'2026 AC'!L$3:L$254)</f>
        <v>0</v>
      </c>
      <c r="BK47" s="53">
        <f>SUMIF('2026 AC'!$B$3:$B$254,"*"&amp;$D47&amp;"*",'2026 AC'!M$3:M$254)</f>
        <v>0</v>
      </c>
      <c r="BL47" s="93">
        <f>SUMIF('2026 AC'!$B$3:$B$254,"*"&amp;$D47&amp;"*",'2026 AC'!N$3:N$254)</f>
        <v>0</v>
      </c>
      <c r="BM47" s="92">
        <f t="shared" si="21"/>
        <v>167517.84</v>
      </c>
      <c r="BN47" s="93">
        <f t="shared" si="22"/>
        <v>80937.290000000008</v>
      </c>
      <c r="BO47" s="93">
        <f t="shared" si="23"/>
        <v>86580.550000000003</v>
      </c>
      <c r="BP47" s="93">
        <f t="shared" si="24"/>
        <v>0</v>
      </c>
      <c r="BQ47" s="93">
        <f t="shared" si="25"/>
        <v>0</v>
      </c>
      <c r="BR47" s="92">
        <f t="shared" si="26"/>
        <v>167517.84000000003</v>
      </c>
    </row>
    <row r="48" ht="15" customHeight="1" outlineLevel="1">
      <c r="A48" t="s">
        <v>95</v>
      </c>
      <c r="B48" t="s">
        <v>96</v>
      </c>
      <c r="C48" s="52" t="s">
        <v>99</v>
      </c>
      <c r="D48" s="35" t="s">
        <v>100</v>
      </c>
      <c r="E48" s="151">
        <f t="shared" si="49"/>
        <v>1271.23</v>
      </c>
      <c r="F48" s="152">
        <f t="shared" si="50"/>
        <v>0</v>
      </c>
      <c r="G48" s="154">
        <f t="shared" si="66"/>
        <v>0</v>
      </c>
      <c r="H48" s="153">
        <f t="shared" si="51"/>
        <v>3856.0900000000001</v>
      </c>
      <c r="I48" s="153">
        <f t="shared" si="52"/>
        <v>0</v>
      </c>
      <c r="J48" s="154">
        <f t="shared" si="67"/>
        <v>0</v>
      </c>
      <c r="K48" s="153">
        <f t="shared" si="53"/>
        <v>6101.9400000000005</v>
      </c>
      <c r="L48" s="153">
        <f t="shared" si="54"/>
        <v>0</v>
      </c>
      <c r="M48" s="155">
        <f t="shared" si="68"/>
        <v>0</v>
      </c>
      <c r="O48" s="63">
        <f>SUMIF('2024 AC'!$B$3:$B$250,"*"&amp;$D48&amp;"*",'2024 AC'!C$3:C$250)</f>
        <v>0</v>
      </c>
      <c r="P48" s="53">
        <f>SUMIF('2024 AC'!$B$3:$B$250,"*"&amp;$D48&amp;"*",'2024 AC'!D$3:D$250)</f>
        <v>0</v>
      </c>
      <c r="Q48" s="53">
        <f>SUMIF('2024 AC'!$B$3:$B$250,"*"&amp;$D48&amp;"*",'2024 AC'!E$3:E$250)</f>
        <v>0</v>
      </c>
      <c r="R48" s="53">
        <f>SUMIF('2024 AC'!$B$3:$B$250,"*"&amp;$D48&amp;"*",'2024 AC'!F$3:F$250)</f>
        <v>0</v>
      </c>
      <c r="S48" s="53">
        <f>SUMIF('2024 AC'!$B$3:$B$250,"*"&amp;$D48&amp;"*",'2024 AC'!G$3:G$250)</f>
        <v>0</v>
      </c>
      <c r="T48" s="53">
        <f>SUMIF('2024 AC'!$B$3:$B$250,"*"&amp;$D48&amp;"*",'2024 AC'!H$3:H$250)</f>
        <v>0</v>
      </c>
      <c r="U48" s="53">
        <f>SUMIF('2024 AC'!$B$3:$B$250,"*"&amp;$D48&amp;"*",'2024 AC'!I$3:I$250)</f>
        <v>0</v>
      </c>
      <c r="V48" s="53">
        <f>SUMIF('2024 AC'!$B$3:$B$250,"*"&amp;$D48&amp;"*",'2024 AC'!J$3:J$250)</f>
        <v>0</v>
      </c>
      <c r="W48" s="53">
        <f>SUMIF('2024 AC'!$B$3:$B$250,"*"&amp;$D48&amp;"*",'2024 AC'!K$3:K$250)</f>
        <v>0</v>
      </c>
      <c r="X48" s="53">
        <f>SUMIF('2024 AC'!$B$3:$B$250,"*"&amp;$D48&amp;"*",'2024 AC'!L$3:L$250)</f>
        <v>0</v>
      </c>
      <c r="Y48" s="53">
        <f>SUMIF('2024 AC'!$B$3:$B$250,"*"&amp;$D48&amp;"*",'2024 AC'!M$3:M$250)</f>
        <v>0</v>
      </c>
      <c r="Z48" s="93">
        <f>SUMIF('2024 AC'!$B$3:$B$250,"*"&amp;$D48&amp;"*",'2024 AC'!N$3:N$250)</f>
        <v>0</v>
      </c>
      <c r="AA48" s="92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13"/>
        <v>0</v>
      </c>
      <c r="AF48" s="92">
        <f t="shared" si="14"/>
        <v>0</v>
      </c>
      <c r="AH48" s="63">
        <f>SUMIF('2025 AC'!$B$3:$B$250,"*"&amp;$D48&amp;"*",'2025 AC'!C$3:C$250)</f>
        <v>0</v>
      </c>
      <c r="AI48" s="53">
        <f>SUMIF('2025 AC'!$B$3:$B$250,"*"&amp;$D48&amp;"*",'2025 AC'!D$3:D$250)</f>
        <v>0</v>
      </c>
      <c r="AJ48" s="53">
        <f>SUMIF('2025 AC'!$B$3:$B$250,"*"&amp;$D48&amp;"*",'2025 AC'!E$3:E$250)</f>
        <v>0</v>
      </c>
      <c r="AK48" s="53">
        <f>SUMIF('2025 AC'!$B$3:$B$250,"*"&amp;$D48&amp;"*",'2025 AC'!F$3:F$250)</f>
        <v>0</v>
      </c>
      <c r="AL48" s="53">
        <f>SUMIF('2025 AC'!$B$3:$B$250,"*"&amp;$D48&amp;"*",'2025 AC'!G$3:G$250)</f>
        <v>0</v>
      </c>
      <c r="AM48" s="53">
        <f>SUMIF('2025 AC'!$B$3:$B$250,"*"&amp;$D48&amp;"*",'2025 AC'!H$3:H$250)</f>
        <v>0</v>
      </c>
      <c r="AN48" s="53">
        <f>SUMIF('2025 AC'!$B$3:$B$250,"*"&amp;$D48&amp;"*",'2025 AC'!I$3:I$250)</f>
        <v>0</v>
      </c>
      <c r="AO48" s="53">
        <f>SUMIF('2025 AC'!$B$3:$B$250,"*"&amp;$D48&amp;"*",'2025 AC'!J$3:J$250)</f>
        <v>0</v>
      </c>
      <c r="AP48" s="53">
        <f>SUMIF('2025 AC'!$B$3:$B$250,"*"&amp;$D48&amp;"*",'2025 AC'!K$3:K$250)</f>
        <v>0</v>
      </c>
      <c r="AQ48" s="53">
        <f>SUMIF('2025 AC'!$B$3:$B$250,"*"&amp;$D48&amp;"*",'2025 AC'!L$3:L$250)</f>
        <v>0</v>
      </c>
      <c r="AR48" s="53">
        <f>SUMIF('2025 AC'!$B$3:$B$250,"*"&amp;$D48&amp;"*",'2025 AC'!M$3:M$250)</f>
        <v>0</v>
      </c>
      <c r="AS48" s="53">
        <f>SUMIF('2025 AC'!$B$3:$B$250,"*"&amp;$D48&amp;"*",'2025 AC'!N$3:N$250)</f>
        <v>0</v>
      </c>
      <c r="AT48" s="94">
        <f t="shared" si="15"/>
        <v>0</v>
      </c>
      <c r="AU48" s="93">
        <f t="shared" si="16"/>
        <v>0</v>
      </c>
      <c r="AV48" s="93">
        <f t="shared" si="17"/>
        <v>0</v>
      </c>
      <c r="AW48" s="93">
        <f t="shared" si="18"/>
        <v>0</v>
      </c>
      <c r="AX48" s="93">
        <f t="shared" si="19"/>
        <v>0</v>
      </c>
      <c r="AY48" s="92">
        <f t="shared" si="20"/>
        <v>0</v>
      </c>
      <c r="BA48" s="63">
        <f>SUMIF('2026 AC'!$B$3:$B$254,"*"&amp;$D48&amp;"*",'2026 AC'!C$3:C$254)</f>
        <v>1059.3599999999999</v>
      </c>
      <c r="BB48" s="53">
        <f>SUMIF('2026 AC'!$B$3:$B$254,"*"&amp;$D48&amp;"*",'2026 AC'!D$3:D$254)</f>
        <v>635.62</v>
      </c>
      <c r="BC48" s="53">
        <f>SUMIF('2026 AC'!$B$3:$B$254,"*"&amp;$D48&amp;"*",'2026 AC'!E$3:E$254)</f>
        <v>550.87</v>
      </c>
      <c r="BD48" s="53">
        <f>SUMIF('2026 AC'!$B$3:$B$254,"*"&amp;$D48&amp;"*",'2026 AC'!F$3:F$254)</f>
        <v>1864.49</v>
      </c>
      <c r="BE48" s="53">
        <f>SUMIF('2026 AC'!$B$3:$B$254,"*"&amp;$D48&amp;"*",'2026 AC'!G$3:G$254)</f>
        <v>720.37</v>
      </c>
      <c r="BF48" s="53">
        <f>SUMIF('2026 AC'!$B$3:$B$254,"*"&amp;$D48&amp;"*",'2026 AC'!H$3:H$254)</f>
        <v>1271.23</v>
      </c>
      <c r="BG48" s="53">
        <f>SUMIF('2026 AC'!$B$3:$B$254,"*"&amp;$D48&amp;"*",'2026 AC'!I$3:I$254)</f>
        <v>0</v>
      </c>
      <c r="BH48" s="53">
        <f>SUMIF('2026 AC'!$B$3:$B$254,"*"&amp;$D48&amp;"*",'2026 AC'!J$3:J$254)</f>
        <v>0</v>
      </c>
      <c r="BI48" s="53">
        <f>SUMIF('2026 AC'!$B$3:$B$254,"*"&amp;$D48&amp;"*",'2026 AC'!K$3:K$254)</f>
        <v>0</v>
      </c>
      <c r="BJ48" s="53">
        <f>SUMIF('2026 AC'!$B$3:$B$254,"*"&amp;$D48&amp;"*",'2026 AC'!L$3:L$254)</f>
        <v>0</v>
      </c>
      <c r="BK48" s="53">
        <f>SUMIF('2026 AC'!$B$3:$B$254,"*"&amp;$D48&amp;"*",'2026 AC'!M$3:M$254)</f>
        <v>0</v>
      </c>
      <c r="BL48" s="93">
        <f>SUMIF('2026 AC'!$B$3:$B$254,"*"&amp;$D48&amp;"*",'2026 AC'!N$3:N$254)</f>
        <v>0</v>
      </c>
      <c r="BM48" s="92">
        <f t="shared" si="21"/>
        <v>6101.9400000000005</v>
      </c>
      <c r="BN48" s="93">
        <f t="shared" si="22"/>
        <v>2245.8499999999999</v>
      </c>
      <c r="BO48" s="93">
        <f t="shared" si="23"/>
        <v>3856.0900000000001</v>
      </c>
      <c r="BP48" s="93">
        <f t="shared" si="24"/>
        <v>0</v>
      </c>
      <c r="BQ48" s="93">
        <f t="shared" si="25"/>
        <v>0</v>
      </c>
      <c r="BR48" s="92">
        <f t="shared" si="26"/>
        <v>6101.9400000000005</v>
      </c>
    </row>
    <row r="49" ht="15" customHeight="1" outlineLevel="1">
      <c r="A49" t="s">
        <v>95</v>
      </c>
      <c r="B49" t="s">
        <v>96</v>
      </c>
      <c r="C49" s="52" t="s">
        <v>101</v>
      </c>
      <c r="D49" s="35" t="s">
        <v>102</v>
      </c>
      <c r="E49" s="151">
        <f t="shared" si="49"/>
        <v>27145.75</v>
      </c>
      <c r="F49" s="152">
        <f t="shared" si="50"/>
        <v>0</v>
      </c>
      <c r="G49" s="154">
        <f t="shared" si="66"/>
        <v>0</v>
      </c>
      <c r="H49" s="153">
        <f t="shared" si="51"/>
        <v>79366.100000000006</v>
      </c>
      <c r="I49" s="153">
        <f t="shared" si="52"/>
        <v>0</v>
      </c>
      <c r="J49" s="154">
        <f t="shared" si="67"/>
        <v>0</v>
      </c>
      <c r="K49" s="153">
        <f t="shared" si="53"/>
        <v>131442.34</v>
      </c>
      <c r="L49" s="153">
        <f t="shared" si="54"/>
        <v>0</v>
      </c>
      <c r="M49" s="155">
        <f t="shared" si="68"/>
        <v>0</v>
      </c>
      <c r="O49" s="63">
        <f>SUMIF('2024 AC'!$B$3:$B$250,"*"&amp;$D49&amp;"*",'2024 AC'!C$3:C$250)</f>
        <v>0</v>
      </c>
      <c r="P49" s="53">
        <f>SUMIF('2024 AC'!$B$3:$B$250,"*"&amp;$D49&amp;"*",'2024 AC'!D$3:D$250)</f>
        <v>0</v>
      </c>
      <c r="Q49" s="53">
        <f>SUMIF('2024 AC'!$B$3:$B$250,"*"&amp;$D49&amp;"*",'2024 AC'!E$3:E$250)</f>
        <v>0</v>
      </c>
      <c r="R49" s="53">
        <f>SUMIF('2024 AC'!$B$3:$B$250,"*"&amp;$D49&amp;"*",'2024 AC'!F$3:F$250)</f>
        <v>0</v>
      </c>
      <c r="S49" s="53">
        <f>SUMIF('2024 AC'!$B$3:$B$250,"*"&amp;$D49&amp;"*",'2024 AC'!G$3:G$250)</f>
        <v>0</v>
      </c>
      <c r="T49" s="53">
        <f>SUMIF('2024 AC'!$B$3:$B$250,"*"&amp;$D49&amp;"*",'2024 AC'!H$3:H$250)</f>
        <v>0</v>
      </c>
      <c r="U49" s="53">
        <f>SUMIF('2024 AC'!$B$3:$B$250,"*"&amp;$D49&amp;"*",'2024 AC'!I$3:I$250)</f>
        <v>0</v>
      </c>
      <c r="V49" s="53">
        <f>SUMIF('2024 AC'!$B$3:$B$250,"*"&amp;$D49&amp;"*",'2024 AC'!J$3:J$250)</f>
        <v>0</v>
      </c>
      <c r="W49" s="53">
        <f>SUMIF('2024 AC'!$B$3:$B$250,"*"&amp;$D49&amp;"*",'2024 AC'!K$3:K$250)</f>
        <v>0</v>
      </c>
      <c r="X49" s="53">
        <f>SUMIF('2024 AC'!$B$3:$B$250,"*"&amp;$D49&amp;"*",'2024 AC'!L$3:L$250)</f>
        <v>0</v>
      </c>
      <c r="Y49" s="53">
        <f>SUMIF('2024 AC'!$B$3:$B$250,"*"&amp;$D49&amp;"*",'2024 AC'!M$3:M$250)</f>
        <v>0</v>
      </c>
      <c r="Z49" s="93">
        <f>SUMIF('2024 AC'!$B$3:$B$250,"*"&amp;$D49&amp;"*",'2024 AC'!N$3:N$250)</f>
        <v>0</v>
      </c>
      <c r="AA49" s="92">
        <f t="shared" si="9"/>
        <v>0</v>
      </c>
      <c r="AB49" s="93">
        <f t="shared" si="10"/>
        <v>0</v>
      </c>
      <c r="AC49" s="93">
        <f t="shared" si="11"/>
        <v>0</v>
      </c>
      <c r="AD49" s="93">
        <f t="shared" si="12"/>
        <v>0</v>
      </c>
      <c r="AE49" s="93">
        <f t="shared" si="13"/>
        <v>0</v>
      </c>
      <c r="AF49" s="92">
        <f t="shared" si="14"/>
        <v>0</v>
      </c>
      <c r="AH49" s="63">
        <f>SUMIF('2025 AC'!$B$3:$B$250,"*"&amp;$D49&amp;"*",'2025 AC'!C$3:C$250)</f>
        <v>0</v>
      </c>
      <c r="AI49" s="53">
        <f>SUMIF('2025 AC'!$B$3:$B$250,"*"&amp;$D49&amp;"*",'2025 AC'!D$3:D$250)</f>
        <v>0</v>
      </c>
      <c r="AJ49" s="53">
        <f>SUMIF('2025 AC'!$B$3:$B$250,"*"&amp;$D49&amp;"*",'2025 AC'!E$3:E$250)</f>
        <v>0</v>
      </c>
      <c r="AK49" s="53">
        <f>SUMIF('2025 AC'!$B$3:$B$250,"*"&amp;$D49&amp;"*",'2025 AC'!F$3:F$250)</f>
        <v>0</v>
      </c>
      <c r="AL49" s="53">
        <f>SUMIF('2025 AC'!$B$3:$B$250,"*"&amp;$D49&amp;"*",'2025 AC'!G$3:G$250)</f>
        <v>0</v>
      </c>
      <c r="AM49" s="53">
        <f>SUMIF('2025 AC'!$B$3:$B$250,"*"&amp;$D49&amp;"*",'2025 AC'!H$3:H$250)</f>
        <v>0</v>
      </c>
      <c r="AN49" s="53">
        <f>SUMIF('2025 AC'!$B$3:$B$250,"*"&amp;$D49&amp;"*",'2025 AC'!I$3:I$250)</f>
        <v>0</v>
      </c>
      <c r="AO49" s="53">
        <f>SUMIF('2025 AC'!$B$3:$B$250,"*"&amp;$D49&amp;"*",'2025 AC'!J$3:J$250)</f>
        <v>0</v>
      </c>
      <c r="AP49" s="53">
        <f>SUMIF('2025 AC'!$B$3:$B$250,"*"&amp;$D49&amp;"*",'2025 AC'!K$3:K$250)</f>
        <v>0</v>
      </c>
      <c r="AQ49" s="53">
        <f>SUMIF('2025 AC'!$B$3:$B$250,"*"&amp;$D49&amp;"*",'2025 AC'!L$3:L$250)</f>
        <v>0</v>
      </c>
      <c r="AR49" s="53">
        <f>SUMIF('2025 AC'!$B$3:$B$250,"*"&amp;$D49&amp;"*",'2025 AC'!M$3:M$250)</f>
        <v>0</v>
      </c>
      <c r="AS49" s="53">
        <f>SUMIF('2025 AC'!$B$3:$B$250,"*"&amp;$D49&amp;"*",'2025 AC'!N$3:N$250)</f>
        <v>0</v>
      </c>
      <c r="AT49" s="94">
        <f t="shared" si="15"/>
        <v>0</v>
      </c>
      <c r="AU49" s="93">
        <f t="shared" si="16"/>
        <v>0</v>
      </c>
      <c r="AV49" s="93">
        <f t="shared" si="17"/>
        <v>0</v>
      </c>
      <c r="AW49" s="93">
        <f t="shared" si="18"/>
        <v>0</v>
      </c>
      <c r="AX49" s="93">
        <f t="shared" si="19"/>
        <v>0</v>
      </c>
      <c r="AY49" s="92">
        <f t="shared" si="20"/>
        <v>0</v>
      </c>
      <c r="BA49" s="63">
        <f>SUMIF('2026 AC'!$B$3:$B$254,"*"&amp;$D49&amp;"*",'2026 AC'!C$3:C$254)</f>
        <v>20139.830000000002</v>
      </c>
      <c r="BB49" s="53">
        <f>SUMIF('2026 AC'!$B$3:$B$254,"*"&amp;$D49&amp;"*",'2026 AC'!D$3:D$254)</f>
        <v>20733.049999999999</v>
      </c>
      <c r="BC49" s="53">
        <f>SUMIF('2026 AC'!$B$3:$B$254,"*"&amp;$D49&amp;"*",'2026 AC'!E$3:E$254)</f>
        <v>11203.360000000001</v>
      </c>
      <c r="BD49" s="53">
        <f>SUMIF('2026 AC'!$B$3:$B$254,"*"&amp;$D49&amp;"*",'2026 AC'!F$3:F$254)</f>
        <v>42830.510000000002</v>
      </c>
      <c r="BE49" s="53">
        <f>SUMIF('2026 AC'!$B$3:$B$254,"*"&amp;$D49&amp;"*",'2026 AC'!G$3:G$254)</f>
        <v>9389.8400000000001</v>
      </c>
      <c r="BF49" s="53">
        <f>SUMIF('2026 AC'!$B$3:$B$254,"*"&amp;$D49&amp;"*",'2026 AC'!H$3:H$254)</f>
        <v>27145.75</v>
      </c>
      <c r="BG49" s="53">
        <f>SUMIF('2026 AC'!$B$3:$B$254,"*"&amp;$D49&amp;"*",'2026 AC'!I$3:I$254)</f>
        <v>0</v>
      </c>
      <c r="BH49" s="53">
        <f>SUMIF('2026 AC'!$B$3:$B$254,"*"&amp;$D49&amp;"*",'2026 AC'!J$3:J$254)</f>
        <v>0</v>
      </c>
      <c r="BI49" s="53">
        <f>SUMIF('2026 AC'!$B$3:$B$254,"*"&amp;$D49&amp;"*",'2026 AC'!K$3:K$254)</f>
        <v>0</v>
      </c>
      <c r="BJ49" s="53">
        <f>SUMIF('2026 AC'!$B$3:$B$254,"*"&amp;$D49&amp;"*",'2026 AC'!L$3:L$254)</f>
        <v>0</v>
      </c>
      <c r="BK49" s="53">
        <f>SUMIF('2026 AC'!$B$3:$B$254,"*"&amp;$D49&amp;"*",'2026 AC'!M$3:M$254)</f>
        <v>0</v>
      </c>
      <c r="BL49" s="93">
        <f>SUMIF('2026 AC'!$B$3:$B$254,"*"&amp;$D49&amp;"*",'2026 AC'!N$3:N$254)</f>
        <v>0</v>
      </c>
      <c r="BM49" s="92">
        <f t="shared" si="21"/>
        <v>131442.34</v>
      </c>
      <c r="BN49" s="93">
        <f t="shared" si="22"/>
        <v>52076.240000000005</v>
      </c>
      <c r="BO49" s="93">
        <f t="shared" si="23"/>
        <v>79366.100000000006</v>
      </c>
      <c r="BP49" s="93">
        <f t="shared" si="24"/>
        <v>0</v>
      </c>
      <c r="BQ49" s="93">
        <f t="shared" si="25"/>
        <v>0</v>
      </c>
      <c r="BR49" s="92">
        <f t="shared" si="26"/>
        <v>131442.34000000003</v>
      </c>
    </row>
    <row r="50" ht="15" customHeight="1" outlineLevel="1">
      <c r="A50" t="s">
        <v>95</v>
      </c>
      <c r="B50" t="s">
        <v>96</v>
      </c>
      <c r="C50" s="52" t="s">
        <v>103</v>
      </c>
      <c r="D50" s="35" t="s">
        <v>104</v>
      </c>
      <c r="E50" s="151">
        <f t="shared" si="49"/>
        <v>0</v>
      </c>
      <c r="F50" s="152">
        <f t="shared" si="50"/>
        <v>0</v>
      </c>
      <c r="G50" s="154">
        <f t="shared" si="66"/>
        <v>0</v>
      </c>
      <c r="H50" s="153">
        <f t="shared" si="51"/>
        <v>0</v>
      </c>
      <c r="I50" s="153">
        <f t="shared" si="52"/>
        <v>0</v>
      </c>
      <c r="J50" s="154">
        <f t="shared" si="67"/>
        <v>0</v>
      </c>
      <c r="K50" s="153">
        <f t="shared" si="53"/>
        <v>444.92000000000002</v>
      </c>
      <c r="L50" s="153">
        <f t="shared" si="54"/>
        <v>0</v>
      </c>
      <c r="M50" s="155">
        <f t="shared" si="68"/>
        <v>0</v>
      </c>
      <c r="O50" s="63">
        <f>SUMIF('2024 AC'!$B$3:$B$250,"*"&amp;$D50&amp;"*",'2024 AC'!C$3:C$250)</f>
        <v>0</v>
      </c>
      <c r="P50" s="53">
        <f>SUMIF('2024 AC'!$B$3:$B$250,"*"&amp;$D50&amp;"*",'2024 AC'!D$3:D$250)</f>
        <v>0</v>
      </c>
      <c r="Q50" s="53">
        <f>SUMIF('2024 AC'!$B$3:$B$250,"*"&amp;$D50&amp;"*",'2024 AC'!E$3:E$250)</f>
        <v>0</v>
      </c>
      <c r="R50" s="53">
        <f>SUMIF('2024 AC'!$B$3:$B$250,"*"&amp;$D50&amp;"*",'2024 AC'!F$3:F$250)</f>
        <v>0</v>
      </c>
      <c r="S50" s="53">
        <f>SUMIF('2024 AC'!$B$3:$B$250,"*"&amp;$D50&amp;"*",'2024 AC'!G$3:G$250)</f>
        <v>0</v>
      </c>
      <c r="T50" s="53">
        <f>SUMIF('2024 AC'!$B$3:$B$250,"*"&amp;$D50&amp;"*",'2024 AC'!H$3:H$250)</f>
        <v>0</v>
      </c>
      <c r="U50" s="53">
        <f>SUMIF('2024 AC'!$B$3:$B$250,"*"&amp;$D50&amp;"*",'2024 AC'!I$3:I$250)</f>
        <v>0</v>
      </c>
      <c r="V50" s="53">
        <f>SUMIF('2024 AC'!$B$3:$B$250,"*"&amp;$D50&amp;"*",'2024 AC'!J$3:J$250)</f>
        <v>0</v>
      </c>
      <c r="W50" s="53">
        <f>SUMIF('2024 AC'!$B$3:$B$250,"*"&amp;$D50&amp;"*",'2024 AC'!K$3:K$250)</f>
        <v>0</v>
      </c>
      <c r="X50" s="53">
        <f>SUMIF('2024 AC'!$B$3:$B$250,"*"&amp;$D50&amp;"*",'2024 AC'!L$3:L$250)</f>
        <v>0</v>
      </c>
      <c r="Y50" s="53">
        <f>SUMIF('2024 AC'!$B$3:$B$250,"*"&amp;$D50&amp;"*",'2024 AC'!M$3:M$250)</f>
        <v>0</v>
      </c>
      <c r="Z50" s="93">
        <f>SUMIF('2024 AC'!$B$3:$B$250,"*"&amp;$D50&amp;"*",'2024 AC'!N$3:N$250)</f>
        <v>0</v>
      </c>
      <c r="AA50" s="92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13"/>
        <v>0</v>
      </c>
      <c r="AF50" s="92">
        <f t="shared" si="14"/>
        <v>0</v>
      </c>
      <c r="AH50" s="63">
        <f>SUMIF('2025 AC'!$B$3:$B$250,"*"&amp;$D50&amp;"*",'2025 AC'!C$3:C$250)</f>
        <v>0</v>
      </c>
      <c r="AI50" s="53">
        <f>SUMIF('2025 AC'!$B$3:$B$250,"*"&amp;$D50&amp;"*",'2025 AC'!D$3:D$250)</f>
        <v>0</v>
      </c>
      <c r="AJ50" s="53">
        <f>SUMIF('2025 AC'!$B$3:$B$250,"*"&amp;$D50&amp;"*",'2025 AC'!E$3:E$250)</f>
        <v>0</v>
      </c>
      <c r="AK50" s="53">
        <f>SUMIF('2025 AC'!$B$3:$B$250,"*"&amp;$D50&amp;"*",'2025 AC'!F$3:F$250)</f>
        <v>0</v>
      </c>
      <c r="AL50" s="53">
        <f>SUMIF('2025 AC'!$B$3:$B$250,"*"&amp;$D50&amp;"*",'2025 AC'!G$3:G$250)</f>
        <v>0</v>
      </c>
      <c r="AM50" s="53">
        <f>SUMIF('2025 AC'!$B$3:$B$250,"*"&amp;$D50&amp;"*",'2025 AC'!H$3:H$250)</f>
        <v>0</v>
      </c>
      <c r="AN50" s="53">
        <f>SUMIF('2025 AC'!$B$3:$B$250,"*"&amp;$D50&amp;"*",'2025 AC'!I$3:I$250)</f>
        <v>0</v>
      </c>
      <c r="AO50" s="53">
        <f>SUMIF('2025 AC'!$B$3:$B$250,"*"&amp;$D50&amp;"*",'2025 AC'!J$3:J$250)</f>
        <v>0</v>
      </c>
      <c r="AP50" s="53">
        <f>SUMIF('2025 AC'!$B$3:$B$250,"*"&amp;$D50&amp;"*",'2025 AC'!K$3:K$250)</f>
        <v>0</v>
      </c>
      <c r="AQ50" s="53">
        <f>SUMIF('2025 AC'!$B$3:$B$250,"*"&amp;$D50&amp;"*",'2025 AC'!L$3:L$250)</f>
        <v>0</v>
      </c>
      <c r="AR50" s="53">
        <f>SUMIF('2025 AC'!$B$3:$B$250,"*"&amp;$D50&amp;"*",'2025 AC'!M$3:M$250)</f>
        <v>0</v>
      </c>
      <c r="AS50" s="53">
        <f>SUMIF('2025 AC'!$B$3:$B$250,"*"&amp;$D50&amp;"*",'2025 AC'!N$3:N$250)</f>
        <v>0</v>
      </c>
      <c r="AT50" s="94">
        <f t="shared" si="15"/>
        <v>0</v>
      </c>
      <c r="AU50" s="93">
        <f t="shared" si="16"/>
        <v>0</v>
      </c>
      <c r="AV50" s="93">
        <f t="shared" si="17"/>
        <v>0</v>
      </c>
      <c r="AW50" s="93">
        <f t="shared" si="18"/>
        <v>0</v>
      </c>
      <c r="AX50" s="93">
        <f t="shared" si="19"/>
        <v>0</v>
      </c>
      <c r="AY50" s="92">
        <f t="shared" si="20"/>
        <v>0</v>
      </c>
      <c r="BA50" s="63">
        <f>SUMIF('2026 AC'!$B$3:$B$254,"*"&amp;$D50&amp;"*",'2026 AC'!C$3:C$254)</f>
        <v>0</v>
      </c>
      <c r="BB50" s="53">
        <f>SUMIF('2026 AC'!$B$3:$B$254,"*"&amp;$D50&amp;"*",'2026 AC'!D$3:D$254)</f>
        <v>0</v>
      </c>
      <c r="BC50" s="53">
        <f>SUMIF('2026 AC'!$B$3:$B$254,"*"&amp;$D50&amp;"*",'2026 AC'!E$3:E$254)</f>
        <v>444.92000000000002</v>
      </c>
      <c r="BD50" s="53">
        <f>SUMIF('2026 AC'!$B$3:$B$254,"*"&amp;$D50&amp;"*",'2026 AC'!F$3:F$254)</f>
        <v>0</v>
      </c>
      <c r="BE50" s="53">
        <f>SUMIF('2026 AC'!$B$3:$B$254,"*"&amp;$D50&amp;"*",'2026 AC'!G$3:G$254)</f>
        <v>0</v>
      </c>
      <c r="BF50" s="53">
        <f>SUMIF('2026 AC'!$B$3:$B$254,"*"&amp;$D50&amp;"*",'2026 AC'!H$3:H$254)</f>
        <v>0</v>
      </c>
      <c r="BG50" s="53">
        <f>SUMIF('2026 AC'!$B$3:$B$254,"*"&amp;$D50&amp;"*",'2026 AC'!I$3:I$254)</f>
        <v>0</v>
      </c>
      <c r="BH50" s="53">
        <f>SUMIF('2026 AC'!$B$3:$B$254,"*"&amp;$D50&amp;"*",'2026 AC'!J$3:J$254)</f>
        <v>0</v>
      </c>
      <c r="BI50" s="53">
        <f>SUMIF('2026 AC'!$B$3:$B$254,"*"&amp;$D50&amp;"*",'2026 AC'!K$3:K$254)</f>
        <v>0</v>
      </c>
      <c r="BJ50" s="53">
        <f>SUMIF('2026 AC'!$B$3:$B$254,"*"&amp;$D50&amp;"*",'2026 AC'!L$3:L$254)</f>
        <v>0</v>
      </c>
      <c r="BK50" s="53">
        <f>SUMIF('2026 AC'!$B$3:$B$254,"*"&amp;$D50&amp;"*",'2026 AC'!M$3:M$254)</f>
        <v>0</v>
      </c>
      <c r="BL50" s="93">
        <f>SUMIF('2026 AC'!$B$3:$B$254,"*"&amp;$D50&amp;"*",'2026 AC'!N$3:N$254)</f>
        <v>0</v>
      </c>
      <c r="BM50" s="92">
        <f t="shared" si="21"/>
        <v>444.92000000000002</v>
      </c>
      <c r="BN50" s="93">
        <f t="shared" si="22"/>
        <v>444.92000000000002</v>
      </c>
      <c r="BO50" s="93">
        <f t="shared" si="23"/>
        <v>0</v>
      </c>
      <c r="BP50" s="93">
        <f t="shared" si="24"/>
        <v>0</v>
      </c>
      <c r="BQ50" s="93">
        <f t="shared" si="25"/>
        <v>0</v>
      </c>
      <c r="BR50" s="92">
        <f t="shared" si="26"/>
        <v>444.92000000000002</v>
      </c>
    </row>
    <row r="51" ht="15" customHeight="1" outlineLevel="1">
      <c r="A51" t="s">
        <v>95</v>
      </c>
      <c r="B51" t="s">
        <v>96</v>
      </c>
      <c r="C51" s="52" t="s">
        <v>105</v>
      </c>
      <c r="D51" s="35" t="s">
        <v>96</v>
      </c>
      <c r="E51" s="151">
        <f t="shared" si="49"/>
        <v>0</v>
      </c>
      <c r="F51" s="152">
        <f t="shared" si="50"/>
        <v>0</v>
      </c>
      <c r="G51" s="154">
        <f t="shared" si="66"/>
        <v>0</v>
      </c>
      <c r="H51" s="153">
        <f t="shared" si="51"/>
        <v>0</v>
      </c>
      <c r="I51" s="153">
        <f t="shared" si="52"/>
        <v>0</v>
      </c>
      <c r="J51" s="154">
        <f t="shared" si="67"/>
        <v>0</v>
      </c>
      <c r="K51" s="153">
        <f t="shared" si="53"/>
        <v>0</v>
      </c>
      <c r="L51" s="153">
        <f t="shared" si="54"/>
        <v>0</v>
      </c>
      <c r="M51" s="155">
        <f t="shared" si="68"/>
        <v>0</v>
      </c>
      <c r="O51" s="63">
        <f>SUMIF('2024 AC'!$B$3:$B$250,"*"&amp;$D51&amp;"*",'2024 AC'!C$3:C$250)</f>
        <v>0</v>
      </c>
      <c r="P51" s="53">
        <f>SUMIF('2024 AC'!$B$3:$B$250,"*"&amp;$D51&amp;"*",'2024 AC'!D$3:D$250)</f>
        <v>0</v>
      </c>
      <c r="Q51" s="53">
        <f>SUMIF('2024 AC'!$B$3:$B$250,"*"&amp;$D51&amp;"*",'2024 AC'!E$3:E$250)</f>
        <v>0</v>
      </c>
      <c r="R51" s="53">
        <f>SUMIF('2024 AC'!$B$3:$B$250,"*"&amp;$D51&amp;"*",'2024 AC'!F$3:F$250)</f>
        <v>0</v>
      </c>
      <c r="S51" s="53">
        <f>SUMIF('2024 AC'!$B$3:$B$250,"*"&amp;$D51&amp;"*",'2024 AC'!G$3:G$250)</f>
        <v>0</v>
      </c>
      <c r="T51" s="53">
        <f>SUMIF('2024 AC'!$B$3:$B$250,"*"&amp;$D51&amp;"*",'2024 AC'!H$3:H$250)</f>
        <v>0</v>
      </c>
      <c r="U51" s="53">
        <f>SUMIF('2024 AC'!$B$3:$B$250,"*"&amp;$D51&amp;"*",'2024 AC'!I$3:I$250)</f>
        <v>0</v>
      </c>
      <c r="V51" s="53">
        <f>SUMIF('2024 AC'!$B$3:$B$250,"*"&amp;$D51&amp;"*",'2024 AC'!J$3:J$250)</f>
        <v>0</v>
      </c>
      <c r="W51" s="53">
        <f>SUMIF('2024 AC'!$B$3:$B$250,"*"&amp;$D51&amp;"*",'2024 AC'!K$3:K$250)</f>
        <v>0</v>
      </c>
      <c r="X51" s="53">
        <f>SUMIF('2024 AC'!$B$3:$B$250,"*"&amp;$D51&amp;"*",'2024 AC'!L$3:L$250)</f>
        <v>0</v>
      </c>
      <c r="Y51" s="53">
        <f>SUMIF('2024 AC'!$B$3:$B$250,"*"&amp;$D51&amp;"*",'2024 AC'!M$3:M$250)</f>
        <v>0</v>
      </c>
      <c r="Z51" s="93">
        <f>SUMIF('2024 AC'!$B$3:$B$250,"*"&amp;$D51&amp;"*",'2024 AC'!N$3:N$250)</f>
        <v>0</v>
      </c>
      <c r="AA51" s="92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13"/>
        <v>0</v>
      </c>
      <c r="AF51" s="92">
        <f t="shared" si="14"/>
        <v>0</v>
      </c>
      <c r="AH51" s="63">
        <f>SUMIF('2025 AC'!$B$3:$B$250,"*"&amp;$D51&amp;"*",'2025 AC'!C$3:C$250)</f>
        <v>0</v>
      </c>
      <c r="AI51" s="53">
        <f>SUMIF('2025 AC'!$B$3:$B$250,"*"&amp;$D51&amp;"*",'2025 AC'!D$3:D$250)</f>
        <v>0</v>
      </c>
      <c r="AJ51" s="53">
        <f>SUMIF('2025 AC'!$B$3:$B$250,"*"&amp;$D51&amp;"*",'2025 AC'!E$3:E$250)</f>
        <v>0</v>
      </c>
      <c r="AK51" s="53">
        <f>SUMIF('2025 AC'!$B$3:$B$250,"*"&amp;$D51&amp;"*",'2025 AC'!F$3:F$250)</f>
        <v>0</v>
      </c>
      <c r="AL51" s="53">
        <f>SUMIF('2025 AC'!$B$3:$B$250,"*"&amp;$D51&amp;"*",'2025 AC'!G$3:G$250)</f>
        <v>0</v>
      </c>
      <c r="AM51" s="53">
        <f>SUMIF('2025 AC'!$B$3:$B$250,"*"&amp;$D51&amp;"*",'2025 AC'!H$3:H$250)</f>
        <v>0</v>
      </c>
      <c r="AN51" s="53">
        <f>SUMIF('2025 AC'!$B$3:$B$250,"*"&amp;$D51&amp;"*",'2025 AC'!I$3:I$250)</f>
        <v>0</v>
      </c>
      <c r="AO51" s="53">
        <f>SUMIF('2025 AC'!$B$3:$B$250,"*"&amp;$D51&amp;"*",'2025 AC'!J$3:J$250)</f>
        <v>0</v>
      </c>
      <c r="AP51" s="53">
        <f>SUMIF('2025 AC'!$B$3:$B$250,"*"&amp;$D51&amp;"*",'2025 AC'!K$3:K$250)</f>
        <v>0</v>
      </c>
      <c r="AQ51" s="53">
        <f>SUMIF('2025 AC'!$B$3:$B$250,"*"&amp;$D51&amp;"*",'2025 AC'!L$3:L$250)</f>
        <v>0</v>
      </c>
      <c r="AR51" s="53">
        <f>SUMIF('2025 AC'!$B$3:$B$250,"*"&amp;$D51&amp;"*",'2025 AC'!M$3:M$250)</f>
        <v>0</v>
      </c>
      <c r="AS51" s="53">
        <f>SUMIF('2025 AC'!$B$3:$B$250,"*"&amp;$D51&amp;"*",'2025 AC'!N$3:N$250)</f>
        <v>0</v>
      </c>
      <c r="AT51" s="94">
        <f t="shared" si="15"/>
        <v>0</v>
      </c>
      <c r="AU51" s="93">
        <f t="shared" si="16"/>
        <v>0</v>
      </c>
      <c r="AV51" s="93">
        <f t="shared" si="17"/>
        <v>0</v>
      </c>
      <c r="AW51" s="93">
        <f t="shared" si="18"/>
        <v>0</v>
      </c>
      <c r="AX51" s="93">
        <f t="shared" si="19"/>
        <v>0</v>
      </c>
      <c r="AY51" s="92">
        <f t="shared" si="20"/>
        <v>0</v>
      </c>
      <c r="BA51" s="63">
        <f>SUMIF('2026 AC'!$B$3:$B$254,"*"&amp;$D51&amp;"*",'2026 AC'!C$3:C$254)</f>
        <v>0</v>
      </c>
      <c r="BB51" s="53">
        <f>SUMIF('2026 AC'!$B$3:$B$254,"*"&amp;$D51&amp;"*",'2026 AC'!D$3:D$254)</f>
        <v>0</v>
      </c>
      <c r="BC51" s="53">
        <f>SUMIF('2026 AC'!$B$3:$B$254,"*"&amp;$D51&amp;"*",'2026 AC'!E$3:E$254)</f>
        <v>0</v>
      </c>
      <c r="BD51" s="53">
        <f>SUMIF('2026 AC'!$B$3:$B$254,"*"&amp;$D51&amp;"*",'2026 AC'!F$3:F$254)</f>
        <v>0</v>
      </c>
      <c r="BE51" s="53">
        <f>SUMIF('2026 AC'!$B$3:$B$254,"*"&amp;$D51&amp;"*",'2026 AC'!G$3:G$254)</f>
        <v>0</v>
      </c>
      <c r="BF51" s="53">
        <f>SUMIF('2026 AC'!$B$3:$B$254,"*"&amp;$D51&amp;"*",'2026 AC'!H$3:H$254)</f>
        <v>0</v>
      </c>
      <c r="BG51" s="53">
        <f>SUMIF('2026 AC'!$B$3:$B$254,"*"&amp;$D51&amp;"*",'2026 AC'!I$3:I$254)</f>
        <v>0</v>
      </c>
      <c r="BH51" s="53">
        <f>SUMIF('2026 AC'!$B$3:$B$254,"*"&amp;$D51&amp;"*",'2026 AC'!J$3:J$254)</f>
        <v>0</v>
      </c>
      <c r="BI51" s="53">
        <f>SUMIF('2026 AC'!$B$3:$B$254,"*"&amp;$D51&amp;"*",'2026 AC'!K$3:K$254)</f>
        <v>0</v>
      </c>
      <c r="BJ51" s="53">
        <f>SUMIF('2026 AC'!$B$3:$B$254,"*"&amp;$D51&amp;"*",'2026 AC'!L$3:L$254)</f>
        <v>0</v>
      </c>
      <c r="BK51" s="53">
        <f>SUMIF('2026 AC'!$B$3:$B$254,"*"&amp;$D51&amp;"*",'2026 AC'!M$3:M$254)</f>
        <v>0</v>
      </c>
      <c r="BL51" s="93">
        <f>SUMIF('2026 AC'!$B$3:$B$254,"*"&amp;$D51&amp;"*",'2026 AC'!N$3:N$254)</f>
        <v>0</v>
      </c>
      <c r="BM51" s="92">
        <f t="shared" si="21"/>
        <v>0</v>
      </c>
      <c r="BN51" s="93">
        <f t="shared" si="22"/>
        <v>0</v>
      </c>
      <c r="BO51" s="93">
        <f t="shared" si="23"/>
        <v>0</v>
      </c>
      <c r="BP51" s="93">
        <f t="shared" si="24"/>
        <v>0</v>
      </c>
      <c r="BQ51" s="93">
        <f t="shared" si="25"/>
        <v>0</v>
      </c>
      <c r="BR51" s="92">
        <f t="shared" si="26"/>
        <v>0</v>
      </c>
    </row>
    <row r="52" s="137" customFormat="1">
      <c r="A52" s="137" t="s">
        <v>106</v>
      </c>
      <c r="B52" s="137" t="s">
        <v>107</v>
      </c>
      <c r="C52" s="138" t="s">
        <v>108</v>
      </c>
      <c r="D52" s="139" t="s">
        <v>107</v>
      </c>
      <c r="E52" s="159">
        <f t="shared" si="49"/>
        <v>3860.3699999999999</v>
      </c>
      <c r="F52" s="141">
        <f t="shared" si="50"/>
        <v>5330.1999999999998</v>
      </c>
      <c r="G52" s="142">
        <f t="shared" ref="G52:G53" si="69">(E52-F52)/F52</f>
        <v>-0.27575513113954447</v>
      </c>
      <c r="H52" s="143">
        <f t="shared" si="51"/>
        <v>18484.889999999999</v>
      </c>
      <c r="I52" s="143">
        <f t="shared" si="52"/>
        <v>21460.009999999998</v>
      </c>
      <c r="J52" s="142">
        <f t="shared" si="64"/>
        <v>-0.13863553651652535</v>
      </c>
      <c r="K52" s="143">
        <f t="shared" si="53"/>
        <v>36421.660000000003</v>
      </c>
      <c r="L52" s="143">
        <f t="shared" si="54"/>
        <v>39577.949999999997</v>
      </c>
      <c r="M52" s="144">
        <f t="shared" ref="M52:M56" si="70">(K52-L52)/L52</f>
        <v>-7.9748698454568612e-02</v>
      </c>
      <c r="O52" s="145">
        <f>SUMIF('2024 AC'!$B$3:$B$250,"*"&amp;$D52&amp;"*",'2024 AC'!C$3:C$250)</f>
        <v>6601.8800000000001</v>
      </c>
      <c r="P52" s="146">
        <f>SUMIF('2024 AC'!$B$3:$B$250,"*"&amp;$D52&amp;"*",'2024 AC'!D$3:D$250)</f>
        <v>5480.1999999999998</v>
      </c>
      <c r="Q52" s="146">
        <f>SUMIF('2024 AC'!$B$3:$B$250,"*"&amp;$D52&amp;"*",'2024 AC'!E$3:E$250)</f>
        <v>5224.5299999999997</v>
      </c>
      <c r="R52" s="146">
        <f>SUMIF('2024 AC'!$B$3:$B$250,"*"&amp;$D52&amp;"*",'2024 AC'!F$3:F$250)</f>
        <v>5225.4700000000003</v>
      </c>
      <c r="S52" s="146">
        <f>SUMIF('2024 AC'!$B$3:$B$250,"*"&amp;$D52&amp;"*",'2024 AC'!G$3:G$250)</f>
        <v>10327.370000000001</v>
      </c>
      <c r="T52" s="146">
        <f>SUMIF('2024 AC'!$B$3:$B$250,"*"&amp;$D52&amp;"*",'2024 AC'!H$3:H$250)</f>
        <v>4571.6999999999998</v>
      </c>
      <c r="U52" s="146">
        <f>SUMIF('2024 AC'!$B$3:$B$250,"*"&amp;$D52&amp;"*",'2024 AC'!I$3:I$250)</f>
        <v>5440.5799999999999</v>
      </c>
      <c r="V52" s="146">
        <f>SUMIF('2024 AC'!$B$3:$B$250,"*"&amp;$D52&amp;"*",'2024 AC'!J$3:J$250)</f>
        <v>4824.5299999999997</v>
      </c>
      <c r="W52" s="146">
        <f>SUMIF('2024 AC'!$B$3:$B$250,"*"&amp;$D52&amp;"*",'2024 AC'!K$3:K$250)</f>
        <v>5854.7200000000003</v>
      </c>
      <c r="X52" s="146">
        <f>SUMIF('2024 AC'!$B$3:$B$250,"*"&amp;$D52&amp;"*",'2024 AC'!L$3:L$250)</f>
        <v>3661.3200000000002</v>
      </c>
      <c r="Y52" s="146">
        <f>SUMIF('2024 AC'!$B$3:$B$250,"*"&amp;$D52&amp;"*",'2024 AC'!M$3:M$250)</f>
        <v>5448.1099999999997</v>
      </c>
      <c r="Z52" s="147">
        <f>SUMIF('2024 AC'!$B$3:$B$250,"*"&amp;$D52&amp;"*",'2024 AC'!N$3:N$250)</f>
        <v>9457.5599999999995</v>
      </c>
      <c r="AA52" s="148">
        <f t="shared" si="9"/>
        <v>72117.970000000001</v>
      </c>
      <c r="AB52" s="147">
        <f t="shared" si="10"/>
        <v>17306.610000000001</v>
      </c>
      <c r="AC52" s="147">
        <f t="shared" si="11"/>
        <v>20124.540000000001</v>
      </c>
      <c r="AD52" s="147">
        <f t="shared" si="12"/>
        <v>16119.830000000002</v>
      </c>
      <c r="AE52" s="147">
        <f t="shared" si="13"/>
        <v>18566.989999999998</v>
      </c>
      <c r="AF52" s="148">
        <f t="shared" si="14"/>
        <v>72117.970000000001</v>
      </c>
      <c r="AH52" s="145">
        <f>SUMIF('2025 AC'!$B$3:$B$250,"*"&amp;$D52&amp;"*",'2025 AC'!C$3:C$250)</f>
        <v>7011.3299999999999</v>
      </c>
      <c r="AI52" s="146">
        <f>SUMIF('2025 AC'!$B$3:$B$250,"*"&amp;$D52&amp;"*",'2025 AC'!D$3:D$250)</f>
        <v>6865.1000000000004</v>
      </c>
      <c r="AJ52" s="146">
        <f>SUMIF('2025 AC'!$B$3:$B$250,"*"&amp;$D52&amp;"*",'2025 AC'!E$3:E$250)</f>
        <v>4241.5100000000002</v>
      </c>
      <c r="AK52" s="146">
        <f>SUMIF('2025 AC'!$B$3:$B$250,"*"&amp;$D52&amp;"*",'2025 AC'!F$3:F$250)</f>
        <v>6443</v>
      </c>
      <c r="AL52" s="146">
        <f>SUMIF('2025 AC'!$B$3:$B$250,"*"&amp;$D52&amp;"*",'2025 AC'!G$3:G$250)</f>
        <v>9686.8099999999995</v>
      </c>
      <c r="AM52" s="146">
        <f>SUMIF('2025 AC'!$B$3:$B$250,"*"&amp;$D52&amp;"*",'2025 AC'!H$3:H$250)</f>
        <v>5330.1999999999998</v>
      </c>
      <c r="AN52" s="146">
        <f>SUMIF('2025 AC'!$B$3:$B$250,"*"&amp;$D52&amp;"*",'2025 AC'!I$3:I$250)</f>
        <v>4754.6700000000001</v>
      </c>
      <c r="AO52" s="146">
        <f>SUMIF('2025 AC'!$B$3:$B$250,"*"&amp;$D52&amp;"*",'2025 AC'!J$3:J$250)</f>
        <v>4735.2299999999996</v>
      </c>
      <c r="AP52" s="146">
        <f>SUMIF('2025 AC'!$B$3:$B$250,"*"&amp;$D52&amp;"*",'2025 AC'!K$3:K$250)</f>
        <v>4395.4200000000001</v>
      </c>
      <c r="AQ52" s="146">
        <f>SUMIF('2025 AC'!$B$3:$B$250,"*"&amp;$D52&amp;"*",'2025 AC'!L$3:L$250)</f>
        <v>6295.2700000000004</v>
      </c>
      <c r="AR52" s="146">
        <f>SUMIF('2025 AC'!$B$3:$B$250,"*"&amp;$D52&amp;"*",'2025 AC'!M$3:M$250)</f>
        <v>4213.1999999999998</v>
      </c>
      <c r="AS52" s="146">
        <f>SUMIF('2025 AC'!$B$3:$B$250,"*"&amp;$D52&amp;"*",'2025 AC'!N$3:N$250)</f>
        <v>4830.1800000000003</v>
      </c>
      <c r="AT52" s="149">
        <f t="shared" si="15"/>
        <v>68801.919999999984</v>
      </c>
      <c r="AU52" s="147">
        <f t="shared" si="16"/>
        <v>18117.940000000002</v>
      </c>
      <c r="AV52" s="147">
        <f t="shared" si="17"/>
        <v>21460.009999999998</v>
      </c>
      <c r="AW52" s="147">
        <f t="shared" si="18"/>
        <v>13885.32</v>
      </c>
      <c r="AX52" s="147">
        <f t="shared" si="19"/>
        <v>15338.650000000001</v>
      </c>
      <c r="AY52" s="148">
        <f t="shared" si="20"/>
        <v>68801.919999999998</v>
      </c>
      <c r="BA52" s="145">
        <f>SUMIF('2026 AC'!$B$3:$B$254,"*"&amp;$D52&amp;"*",'2026 AC'!C$3:C$254)</f>
        <v>8556.6000000000004</v>
      </c>
      <c r="BB52" s="146">
        <f>SUMIF('2026 AC'!$B$3:$B$254,"*"&amp;$D52&amp;"*",'2026 AC'!D$3:D$254)</f>
        <v>4878.29</v>
      </c>
      <c r="BC52" s="146">
        <f>SUMIF('2026 AC'!$B$3:$B$254,"*"&amp;$D52&amp;"*",'2026 AC'!E$3:E$254)</f>
        <v>4501.8800000000001</v>
      </c>
      <c r="BD52" s="146">
        <f>SUMIF('2026 AC'!$B$3:$B$254,"*"&amp;$D52&amp;"*",'2026 AC'!F$3:F$254)</f>
        <v>8695.2800000000007</v>
      </c>
      <c r="BE52" s="146">
        <f>SUMIF('2026 AC'!$B$3:$B$254,"*"&amp;$D52&amp;"*",'2026 AC'!G$3:G$254)</f>
        <v>5929.2399999999998</v>
      </c>
      <c r="BF52" s="146">
        <f>SUMIF('2026 AC'!$B$3:$B$254,"*"&amp;$D52&amp;"*",'2026 AC'!H$3:H$254)</f>
        <v>3860.3699999999999</v>
      </c>
      <c r="BG52" s="146">
        <f>SUMIF('2026 AC'!$B$3:$B$254,"*"&amp;$D52&amp;"*",'2026 AC'!I$3:I$254)</f>
        <v>0</v>
      </c>
      <c r="BH52" s="146">
        <f>SUMIF('2026 AC'!$B$3:$B$254,"*"&amp;$D52&amp;"*",'2026 AC'!J$3:J$254)</f>
        <v>0</v>
      </c>
      <c r="BI52" s="146">
        <f>SUMIF('2026 AC'!$B$3:$B$254,"*"&amp;$D52&amp;"*",'2026 AC'!K$3:K$254)</f>
        <v>0</v>
      </c>
      <c r="BJ52" s="146">
        <f>SUMIF('2026 AC'!$B$3:$B$254,"*"&amp;$D52&amp;"*",'2026 AC'!L$3:L$254)</f>
        <v>0</v>
      </c>
      <c r="BK52" s="146">
        <f>SUMIF('2026 AC'!$B$3:$B$254,"*"&amp;$D52&amp;"*",'2026 AC'!M$3:M$254)</f>
        <v>0</v>
      </c>
      <c r="BL52" s="147">
        <f>SUMIF('2026 AC'!$B$3:$B$254,"*"&amp;$D52&amp;"*",'2026 AC'!N$3:N$254)</f>
        <v>0</v>
      </c>
      <c r="BM52" s="148">
        <f t="shared" si="21"/>
        <v>36421.660000000003</v>
      </c>
      <c r="BN52" s="147">
        <f t="shared" si="22"/>
        <v>17936.77</v>
      </c>
      <c r="BO52" s="147">
        <f t="shared" si="23"/>
        <v>18484.889999999999</v>
      </c>
      <c r="BP52" s="147">
        <f t="shared" si="24"/>
        <v>0</v>
      </c>
      <c r="BQ52" s="147">
        <f t="shared" si="25"/>
        <v>0</v>
      </c>
      <c r="BR52" s="148">
        <f t="shared" si="26"/>
        <v>36421.660000000003</v>
      </c>
    </row>
    <row r="53" outlineLevel="1">
      <c r="A53" t="s">
        <v>106</v>
      </c>
      <c r="B53" t="s">
        <v>107</v>
      </c>
      <c r="C53" s="160" t="s">
        <v>109</v>
      </c>
      <c r="D53" s="35" t="s">
        <v>110</v>
      </c>
      <c r="E53" s="151">
        <f t="shared" si="49"/>
        <v>3860.3699999999999</v>
      </c>
      <c r="F53" s="152">
        <f t="shared" si="50"/>
        <v>5330.1999999999998</v>
      </c>
      <c r="G53" s="54">
        <f t="shared" si="69"/>
        <v>-0.27575513113954447</v>
      </c>
      <c r="H53" s="153">
        <f t="shared" si="51"/>
        <v>18484.889999999999</v>
      </c>
      <c r="I53" s="153">
        <f t="shared" si="52"/>
        <v>21460.009999999998</v>
      </c>
      <c r="J53" s="54">
        <f t="shared" si="64"/>
        <v>-0.13863553651652535</v>
      </c>
      <c r="K53" s="153">
        <f t="shared" si="53"/>
        <v>36421.660000000003</v>
      </c>
      <c r="L53" s="153">
        <f t="shared" si="54"/>
        <v>39577.949999999997</v>
      </c>
      <c r="M53" s="55">
        <f t="shared" si="70"/>
        <v>-7.9748698454568612e-02</v>
      </c>
      <c r="O53" s="63">
        <f>SUMIF('2024 AC'!$B$3:$B$250,"*"&amp;$D53&amp;"*",'2024 AC'!C$3:C$250)</f>
        <v>6601.8800000000001</v>
      </c>
      <c r="P53" s="53">
        <f>SUMIF('2024 AC'!$B$3:$B$250,"*"&amp;$D53&amp;"*",'2024 AC'!D$3:D$250)</f>
        <v>5480.1999999999998</v>
      </c>
      <c r="Q53" s="53">
        <f>SUMIF('2024 AC'!$B$3:$B$250,"*"&amp;$D53&amp;"*",'2024 AC'!E$3:E$250)</f>
        <v>5224.5299999999997</v>
      </c>
      <c r="R53" s="53">
        <f>SUMIF('2024 AC'!$B$3:$B$250,"*"&amp;$D53&amp;"*",'2024 AC'!F$3:F$250)</f>
        <v>5225.4700000000003</v>
      </c>
      <c r="S53" s="53">
        <f>SUMIF('2024 AC'!$B$3:$B$250,"*"&amp;$D53&amp;"*",'2024 AC'!G$3:G$250)</f>
        <v>10327.370000000001</v>
      </c>
      <c r="T53" s="53">
        <f>SUMIF('2024 AC'!$B$3:$B$250,"*"&amp;$D53&amp;"*",'2024 AC'!H$3:H$250)</f>
        <v>4571.6999999999998</v>
      </c>
      <c r="U53" s="53">
        <f>SUMIF('2024 AC'!$B$3:$B$250,"*"&amp;$D53&amp;"*",'2024 AC'!I$3:I$250)</f>
        <v>5440.5799999999999</v>
      </c>
      <c r="V53" s="53">
        <f>SUMIF('2024 AC'!$B$3:$B$250,"*"&amp;$D53&amp;"*",'2024 AC'!J$3:J$250)</f>
        <v>4824.5299999999997</v>
      </c>
      <c r="W53" s="53">
        <f>SUMIF('2024 AC'!$B$3:$B$250,"*"&amp;$D53&amp;"*",'2024 AC'!K$3:K$250)</f>
        <v>5854.7200000000003</v>
      </c>
      <c r="X53" s="53">
        <f>SUMIF('2024 AC'!$B$3:$B$250,"*"&amp;$D53&amp;"*",'2024 AC'!L$3:L$250)</f>
        <v>3661.3200000000002</v>
      </c>
      <c r="Y53" s="53">
        <f>SUMIF('2024 AC'!$B$3:$B$250,"*"&amp;$D53&amp;"*",'2024 AC'!M$3:M$250)</f>
        <v>5448.1099999999997</v>
      </c>
      <c r="Z53" s="93">
        <f>SUMIF('2024 AC'!$B$3:$B$250,"*"&amp;$D53&amp;"*",'2024 AC'!N$3:N$250)</f>
        <v>9457.5599999999995</v>
      </c>
      <c r="AA53" s="92">
        <f t="shared" si="9"/>
        <v>72117.970000000001</v>
      </c>
      <c r="AB53" s="93">
        <f t="shared" si="10"/>
        <v>17306.610000000001</v>
      </c>
      <c r="AC53" s="93">
        <f t="shared" si="11"/>
        <v>20124.540000000001</v>
      </c>
      <c r="AD53" s="93">
        <f t="shared" si="12"/>
        <v>16119.830000000002</v>
      </c>
      <c r="AE53" s="93">
        <f t="shared" si="13"/>
        <v>18566.989999999998</v>
      </c>
      <c r="AF53" s="92">
        <f t="shared" si="14"/>
        <v>72117.970000000001</v>
      </c>
      <c r="AH53" s="63">
        <f>SUMIF('2025 AC'!$B$3:$B$250,"*"&amp;$D53&amp;"*",'2025 AC'!C$3:C$250)</f>
        <v>7011.3299999999999</v>
      </c>
      <c r="AI53" s="53">
        <f>SUMIF('2025 AC'!$B$3:$B$250,"*"&amp;$D53&amp;"*",'2025 AC'!D$3:D$250)</f>
        <v>6865.1000000000004</v>
      </c>
      <c r="AJ53" s="53">
        <f>SUMIF('2025 AC'!$B$3:$B$250,"*"&amp;$D53&amp;"*",'2025 AC'!E$3:E$250)</f>
        <v>4241.5100000000002</v>
      </c>
      <c r="AK53" s="53">
        <f>SUMIF('2025 AC'!$B$3:$B$250,"*"&amp;$D53&amp;"*",'2025 AC'!F$3:F$250)</f>
        <v>6443</v>
      </c>
      <c r="AL53" s="53">
        <f>SUMIF('2025 AC'!$B$3:$B$250,"*"&amp;$D53&amp;"*",'2025 AC'!G$3:G$250)</f>
        <v>9686.8099999999995</v>
      </c>
      <c r="AM53" s="53">
        <f>SUMIF('2025 AC'!$B$3:$B$250,"*"&amp;$D53&amp;"*",'2025 AC'!H$3:H$250)</f>
        <v>5330.1999999999998</v>
      </c>
      <c r="AN53" s="53">
        <f>SUMIF('2025 AC'!$B$3:$B$250,"*"&amp;$D53&amp;"*",'2025 AC'!I$3:I$250)</f>
        <v>4754.6700000000001</v>
      </c>
      <c r="AO53" s="53">
        <f>SUMIF('2025 AC'!$B$3:$B$250,"*"&amp;$D53&amp;"*",'2025 AC'!J$3:J$250)</f>
        <v>4735.2299999999996</v>
      </c>
      <c r="AP53" s="53">
        <f>SUMIF('2025 AC'!$B$3:$B$250,"*"&amp;$D53&amp;"*",'2025 AC'!K$3:K$250)</f>
        <v>4395.4200000000001</v>
      </c>
      <c r="AQ53" s="53">
        <f>SUMIF('2025 AC'!$B$3:$B$250,"*"&amp;$D53&amp;"*",'2025 AC'!L$3:L$250)</f>
        <v>6295.2700000000004</v>
      </c>
      <c r="AR53" s="53">
        <f>SUMIF('2025 AC'!$B$3:$B$250,"*"&amp;$D53&amp;"*",'2025 AC'!M$3:M$250)</f>
        <v>4213.1999999999998</v>
      </c>
      <c r="AS53" s="53">
        <f>SUMIF('2025 AC'!$B$3:$B$250,"*"&amp;$D53&amp;"*",'2025 AC'!N$3:N$250)</f>
        <v>4830.1800000000003</v>
      </c>
      <c r="AT53" s="94">
        <f t="shared" si="15"/>
        <v>68801.919999999984</v>
      </c>
      <c r="AU53" s="93">
        <f t="shared" si="16"/>
        <v>18117.940000000002</v>
      </c>
      <c r="AV53" s="93">
        <f t="shared" si="17"/>
        <v>21460.009999999998</v>
      </c>
      <c r="AW53" s="93">
        <f t="shared" si="18"/>
        <v>13885.32</v>
      </c>
      <c r="AX53" s="93">
        <f t="shared" si="19"/>
        <v>15338.650000000001</v>
      </c>
      <c r="AY53" s="92">
        <f t="shared" si="20"/>
        <v>68801.919999999998</v>
      </c>
      <c r="BA53" s="63">
        <f>SUMIF('2026 AC'!$B$3:$B$254,"*"&amp;$D53&amp;"*",'2026 AC'!C$3:C$254)</f>
        <v>8556.6000000000004</v>
      </c>
      <c r="BB53" s="53">
        <f>SUMIF('2026 AC'!$B$3:$B$254,"*"&amp;$D53&amp;"*",'2026 AC'!D$3:D$254)</f>
        <v>4878.29</v>
      </c>
      <c r="BC53" s="53">
        <f>SUMIF('2026 AC'!$B$3:$B$254,"*"&amp;$D53&amp;"*",'2026 AC'!E$3:E$254)</f>
        <v>4501.8800000000001</v>
      </c>
      <c r="BD53" s="53">
        <f>SUMIF('2026 AC'!$B$3:$B$254,"*"&amp;$D53&amp;"*",'2026 AC'!F$3:F$254)</f>
        <v>8695.2800000000007</v>
      </c>
      <c r="BE53" s="53">
        <f>SUMIF('2026 AC'!$B$3:$B$254,"*"&amp;$D53&amp;"*",'2026 AC'!G$3:G$254)</f>
        <v>5929.2399999999998</v>
      </c>
      <c r="BF53" s="53">
        <f>SUMIF('2026 AC'!$B$3:$B$254,"*"&amp;$D53&amp;"*",'2026 AC'!H$3:H$254)</f>
        <v>3860.3699999999999</v>
      </c>
      <c r="BG53" s="53">
        <f>SUMIF('2026 AC'!$B$3:$B$254,"*"&amp;$D53&amp;"*",'2026 AC'!I$3:I$254)</f>
        <v>0</v>
      </c>
      <c r="BH53" s="53">
        <f>SUMIF('2026 AC'!$B$3:$B$254,"*"&amp;$D53&amp;"*",'2026 AC'!J$3:J$254)</f>
        <v>0</v>
      </c>
      <c r="BI53" s="53">
        <f>SUMIF('2026 AC'!$B$3:$B$254,"*"&amp;$D53&amp;"*",'2026 AC'!K$3:K$254)</f>
        <v>0</v>
      </c>
      <c r="BJ53" s="53">
        <f>SUMIF('2026 AC'!$B$3:$B$254,"*"&amp;$D53&amp;"*",'2026 AC'!L$3:L$254)</f>
        <v>0</v>
      </c>
      <c r="BK53" s="53">
        <f>SUMIF('2026 AC'!$B$3:$B$254,"*"&amp;$D53&amp;"*",'2026 AC'!M$3:M$254)</f>
        <v>0</v>
      </c>
      <c r="BL53" s="93">
        <f>SUMIF('2026 AC'!$B$3:$B$254,"*"&amp;$D53&amp;"*",'2026 AC'!N$3:N$254)</f>
        <v>0</v>
      </c>
      <c r="BM53" s="92">
        <f t="shared" si="21"/>
        <v>36421.660000000003</v>
      </c>
      <c r="BN53" s="93">
        <f t="shared" si="22"/>
        <v>17936.77</v>
      </c>
      <c r="BO53" s="93">
        <f t="shared" si="23"/>
        <v>18484.889999999999</v>
      </c>
      <c r="BP53" s="93">
        <f t="shared" si="24"/>
        <v>0</v>
      </c>
      <c r="BQ53" s="93">
        <f t="shared" si="25"/>
        <v>0</v>
      </c>
      <c r="BR53" s="92">
        <f t="shared" si="26"/>
        <v>36421.660000000003</v>
      </c>
    </row>
    <row r="54" outlineLevel="1">
      <c r="A54" t="s">
        <v>106</v>
      </c>
      <c r="B54" t="s">
        <v>107</v>
      </c>
      <c r="C54" s="160" t="s">
        <v>111</v>
      </c>
      <c r="D54" s="35" t="s">
        <v>112</v>
      </c>
      <c r="E54" s="151">
        <f t="shared" si="49"/>
        <v>0</v>
      </c>
      <c r="F54" s="152">
        <f t="shared" si="50"/>
        <v>0</v>
      </c>
      <c r="G54" s="154">
        <f>IFERROR((E54-F54)/F54,0)</f>
        <v>0</v>
      </c>
      <c r="H54" s="153">
        <f t="shared" si="51"/>
        <v>0</v>
      </c>
      <c r="I54" s="153">
        <f t="shared" si="52"/>
        <v>0</v>
      </c>
      <c r="J54" s="154">
        <f>IFERROR((H54-I54)/I54,0)</f>
        <v>0</v>
      </c>
      <c r="K54" s="153">
        <f t="shared" si="53"/>
        <v>0</v>
      </c>
      <c r="L54" s="153">
        <f t="shared" si="54"/>
        <v>0</v>
      </c>
      <c r="M54" s="155">
        <f>IFERROR((K54-L54)/L54,0)</f>
        <v>0</v>
      </c>
      <c r="O54" s="63">
        <f>SUMIF('2024 AC'!$B$3:$B$250,"*"&amp;$D54&amp;"*",'2024 AC'!C$3:C$250)</f>
        <v>0</v>
      </c>
      <c r="P54" s="53">
        <f>SUMIF('2024 AC'!$B$3:$B$250,"*"&amp;$D54&amp;"*",'2024 AC'!D$3:D$250)</f>
        <v>0</v>
      </c>
      <c r="Q54" s="53">
        <f>SUMIF('2024 AC'!$B$3:$B$250,"*"&amp;$D54&amp;"*",'2024 AC'!E$3:E$250)</f>
        <v>0</v>
      </c>
      <c r="R54" s="53">
        <f>SUMIF('2024 AC'!$B$3:$B$250,"*"&amp;$D54&amp;"*",'2024 AC'!F$3:F$250)</f>
        <v>0</v>
      </c>
      <c r="S54" s="53">
        <f>SUMIF('2024 AC'!$B$3:$B$250,"*"&amp;$D54&amp;"*",'2024 AC'!G$3:G$250)</f>
        <v>0</v>
      </c>
      <c r="T54" s="53">
        <f>SUMIF('2024 AC'!$B$3:$B$250,"*"&amp;$D54&amp;"*",'2024 AC'!H$3:H$250)</f>
        <v>0</v>
      </c>
      <c r="U54" s="53">
        <f>SUMIF('2024 AC'!$B$3:$B$250,"*"&amp;$D54&amp;"*",'2024 AC'!I$3:I$250)</f>
        <v>0</v>
      </c>
      <c r="V54" s="53">
        <f>SUMIF('2024 AC'!$B$3:$B$250,"*"&amp;$D54&amp;"*",'2024 AC'!J$3:J$250)</f>
        <v>0</v>
      </c>
      <c r="W54" s="53">
        <f>SUMIF('2024 AC'!$B$3:$B$250,"*"&amp;$D54&amp;"*",'2024 AC'!K$3:K$250)</f>
        <v>0</v>
      </c>
      <c r="X54" s="53">
        <f>SUMIF('2024 AC'!$B$3:$B$250,"*"&amp;$D54&amp;"*",'2024 AC'!L$3:L$250)</f>
        <v>0</v>
      </c>
      <c r="Y54" s="53">
        <f>SUMIF('2024 AC'!$B$3:$B$250,"*"&amp;$D54&amp;"*",'2024 AC'!M$3:M$250)</f>
        <v>0</v>
      </c>
      <c r="Z54" s="93">
        <f>SUMIF('2024 AC'!$B$3:$B$250,"*"&amp;$D54&amp;"*",'2024 AC'!N$3:N$250)</f>
        <v>0</v>
      </c>
      <c r="AA54" s="92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13"/>
        <v>0</v>
      </c>
      <c r="AF54" s="92">
        <f t="shared" si="14"/>
        <v>0</v>
      </c>
      <c r="AH54" s="63">
        <f>SUMIF('2025 AC'!$B$3:$B$250,"*"&amp;$D54&amp;"*",'2025 AC'!C$3:C$250)</f>
        <v>0</v>
      </c>
      <c r="AI54" s="53">
        <f>SUMIF('2025 AC'!$B$3:$B$250,"*"&amp;$D54&amp;"*",'2025 AC'!D$3:D$250)</f>
        <v>0</v>
      </c>
      <c r="AJ54" s="53">
        <f>SUMIF('2025 AC'!$B$3:$B$250,"*"&amp;$D54&amp;"*",'2025 AC'!E$3:E$250)</f>
        <v>0</v>
      </c>
      <c r="AK54" s="53">
        <f>SUMIF('2025 AC'!$B$3:$B$250,"*"&amp;$D54&amp;"*",'2025 AC'!F$3:F$250)</f>
        <v>0</v>
      </c>
      <c r="AL54" s="53">
        <f>SUMIF('2025 AC'!$B$3:$B$250,"*"&amp;$D54&amp;"*",'2025 AC'!G$3:G$250)</f>
        <v>0</v>
      </c>
      <c r="AM54" s="53">
        <f>SUMIF('2025 AC'!$B$3:$B$250,"*"&amp;$D54&amp;"*",'2025 AC'!H$3:H$250)</f>
        <v>0</v>
      </c>
      <c r="AN54" s="53">
        <f>SUMIF('2025 AC'!$B$3:$B$250,"*"&amp;$D54&amp;"*",'2025 AC'!I$3:I$250)</f>
        <v>0</v>
      </c>
      <c r="AO54" s="53">
        <f>SUMIF('2025 AC'!$B$3:$B$250,"*"&amp;$D54&amp;"*",'2025 AC'!J$3:J$250)</f>
        <v>0</v>
      </c>
      <c r="AP54" s="53">
        <f>SUMIF('2025 AC'!$B$3:$B$250,"*"&amp;$D54&amp;"*",'2025 AC'!K$3:K$250)</f>
        <v>0</v>
      </c>
      <c r="AQ54" s="53">
        <f>SUMIF('2025 AC'!$B$3:$B$250,"*"&amp;$D54&amp;"*",'2025 AC'!L$3:L$250)</f>
        <v>0</v>
      </c>
      <c r="AR54" s="53">
        <f>SUMIF('2025 AC'!$B$3:$B$250,"*"&amp;$D54&amp;"*",'2025 AC'!M$3:M$250)</f>
        <v>0</v>
      </c>
      <c r="AS54" s="53">
        <f>SUMIF('2025 AC'!$B$3:$B$250,"*"&amp;$D54&amp;"*",'2025 AC'!N$3:N$250)</f>
        <v>0</v>
      </c>
      <c r="AT54" s="94">
        <f t="shared" si="15"/>
        <v>0</v>
      </c>
      <c r="AU54" s="93">
        <f t="shared" si="16"/>
        <v>0</v>
      </c>
      <c r="AV54" s="93">
        <f t="shared" si="17"/>
        <v>0</v>
      </c>
      <c r="AW54" s="93">
        <f t="shared" si="18"/>
        <v>0</v>
      </c>
      <c r="AX54" s="93">
        <f t="shared" si="19"/>
        <v>0</v>
      </c>
      <c r="AY54" s="92">
        <f t="shared" si="20"/>
        <v>0</v>
      </c>
      <c r="BA54" s="63">
        <f>SUMIF('2026 AC'!$B$3:$B$254,"*"&amp;$D54&amp;"*",'2026 AC'!C$3:C$254)</f>
        <v>0</v>
      </c>
      <c r="BB54" s="53">
        <f>SUMIF('2026 AC'!$B$3:$B$254,"*"&amp;$D54&amp;"*",'2026 AC'!D$3:D$254)</f>
        <v>0</v>
      </c>
      <c r="BC54" s="53">
        <f>SUMIF('2026 AC'!$B$3:$B$254,"*"&amp;$D54&amp;"*",'2026 AC'!E$3:E$254)</f>
        <v>0</v>
      </c>
      <c r="BD54" s="53">
        <f>SUMIF('2026 AC'!$B$3:$B$254,"*"&amp;$D54&amp;"*",'2026 AC'!F$3:F$254)</f>
        <v>0</v>
      </c>
      <c r="BE54" s="53">
        <f>SUMIF('2026 AC'!$B$3:$B$254,"*"&amp;$D54&amp;"*",'2026 AC'!G$3:G$254)</f>
        <v>0</v>
      </c>
      <c r="BF54" s="53">
        <f>SUMIF('2026 AC'!$B$3:$B$254,"*"&amp;$D54&amp;"*",'2026 AC'!H$3:H$254)</f>
        <v>0</v>
      </c>
      <c r="BG54" s="53">
        <f>SUMIF('2026 AC'!$B$3:$B$254,"*"&amp;$D54&amp;"*",'2026 AC'!I$3:I$254)</f>
        <v>0</v>
      </c>
      <c r="BH54" s="53">
        <f>SUMIF('2026 AC'!$B$3:$B$254,"*"&amp;$D54&amp;"*",'2026 AC'!J$3:J$254)</f>
        <v>0</v>
      </c>
      <c r="BI54" s="53">
        <f>SUMIF('2026 AC'!$B$3:$B$254,"*"&amp;$D54&amp;"*",'2026 AC'!K$3:K$254)</f>
        <v>0</v>
      </c>
      <c r="BJ54" s="53">
        <f>SUMIF('2026 AC'!$B$3:$B$254,"*"&amp;$D54&amp;"*",'2026 AC'!L$3:L$254)</f>
        <v>0</v>
      </c>
      <c r="BK54" s="53">
        <f>SUMIF('2026 AC'!$B$3:$B$254,"*"&amp;$D54&amp;"*",'2026 AC'!M$3:M$254)</f>
        <v>0</v>
      </c>
      <c r="BL54" s="93">
        <f>SUMIF('2026 AC'!$B$3:$B$254,"*"&amp;$D54&amp;"*",'2026 AC'!N$3:N$254)</f>
        <v>0</v>
      </c>
      <c r="BM54" s="92">
        <f t="shared" si="21"/>
        <v>0</v>
      </c>
      <c r="BN54" s="93">
        <f t="shared" si="22"/>
        <v>0</v>
      </c>
      <c r="BO54" s="93">
        <f t="shared" si="23"/>
        <v>0</v>
      </c>
      <c r="BP54" s="93">
        <f t="shared" si="24"/>
        <v>0</v>
      </c>
      <c r="BQ54" s="93">
        <f t="shared" si="25"/>
        <v>0</v>
      </c>
      <c r="BR54" s="92">
        <f t="shared" si="26"/>
        <v>0</v>
      </c>
    </row>
    <row r="55" s="137" customFormat="1">
      <c r="A55" s="137" t="s">
        <v>113</v>
      </c>
      <c r="B55" s="137" t="s">
        <v>110</v>
      </c>
      <c r="C55" s="158" t="s">
        <v>114</v>
      </c>
      <c r="D55" s="139" t="s">
        <v>115</v>
      </c>
      <c r="E55" s="143">
        <f t="shared" si="49"/>
        <v>1000</v>
      </c>
      <c r="F55" s="143">
        <f t="shared" si="50"/>
        <v>0</v>
      </c>
      <c r="G55" s="161">
        <f t="shared" ref="G55:G61" si="71">IFERROR((E55-F55)/F55,1)</f>
        <v>1</v>
      </c>
      <c r="H55" s="143">
        <f t="shared" si="51"/>
        <v>3000</v>
      </c>
      <c r="I55" s="143">
        <f t="shared" si="52"/>
        <v>0</v>
      </c>
      <c r="J55" s="142" t="e">
        <f t="shared" ref="J55:J56" si="72">(H55-I55)/I55</f>
        <v>#DIV/0!</v>
      </c>
      <c r="K55" s="143">
        <f t="shared" si="53"/>
        <v>6000</v>
      </c>
      <c r="L55" s="143">
        <f t="shared" si="54"/>
        <v>259.25999999999999</v>
      </c>
      <c r="M55" s="144">
        <f t="shared" si="70"/>
        <v>22.142791020597084</v>
      </c>
      <c r="O55" s="145">
        <f>SUMIF('2024 AC'!$B$3:$B$250,"*"&amp;$D55&amp;"*",'2024 AC'!C$3:C$250)</f>
        <v>2599.0599999999999</v>
      </c>
      <c r="P55" s="146">
        <f>SUMIF('2024 AC'!$B$3:$B$250,"*"&amp;$D55&amp;"*",'2024 AC'!D$3:D$250)</f>
        <v>715.80999999999995</v>
      </c>
      <c r="Q55" s="146">
        <f>SUMIF('2024 AC'!$B$3:$B$250,"*"&amp;$D55&amp;"*",'2024 AC'!E$3:E$250)</f>
        <v>129.63</v>
      </c>
      <c r="R55" s="146">
        <f>SUMIF('2024 AC'!$B$3:$B$250,"*"&amp;$D55&amp;"*",'2024 AC'!F$3:F$250)</f>
        <v>0</v>
      </c>
      <c r="S55" s="146">
        <f>SUMIF('2024 AC'!$B$3:$B$250,"*"&amp;$D55&amp;"*",'2024 AC'!G$3:G$250)</f>
        <v>0</v>
      </c>
      <c r="T55" s="146">
        <f>SUMIF('2024 AC'!$B$3:$B$250,"*"&amp;$D55&amp;"*",'2024 AC'!H$3:H$250)</f>
        <v>0</v>
      </c>
      <c r="U55" s="146">
        <f>SUMIF('2024 AC'!$B$3:$B$250,"*"&amp;$D55&amp;"*",'2024 AC'!I$3:I$250)</f>
        <v>0</v>
      </c>
      <c r="V55" s="146">
        <f>SUMIF('2024 AC'!$B$3:$B$250,"*"&amp;$D55&amp;"*",'2024 AC'!J$3:J$250)</f>
        <v>0</v>
      </c>
      <c r="W55" s="146">
        <f>SUMIF('2024 AC'!$B$3:$B$250,"*"&amp;$D55&amp;"*",'2024 AC'!K$3:K$250)</f>
        <v>259.25999999999999</v>
      </c>
      <c r="X55" s="146">
        <f>SUMIF('2024 AC'!$B$3:$B$250,"*"&amp;$D55&amp;"*",'2024 AC'!L$3:L$250)</f>
        <v>0</v>
      </c>
      <c r="Y55" s="146">
        <f>SUMIF('2024 AC'!$B$3:$B$250,"*"&amp;$D55&amp;"*",'2024 AC'!M$3:M$250)</f>
        <v>0</v>
      </c>
      <c r="Z55" s="147">
        <f>SUMIF('2024 AC'!$B$3:$B$250,"*"&amp;$D55&amp;"*",'2024 AC'!N$3:N$250)</f>
        <v>0</v>
      </c>
      <c r="AA55" s="148">
        <f t="shared" si="9"/>
        <v>3703.7600000000002</v>
      </c>
      <c r="AB55" s="147">
        <f t="shared" si="10"/>
        <v>3444.5</v>
      </c>
      <c r="AC55" s="147">
        <f t="shared" si="11"/>
        <v>0</v>
      </c>
      <c r="AD55" s="147">
        <f t="shared" si="12"/>
        <v>259.25999999999999</v>
      </c>
      <c r="AE55" s="147">
        <f t="shared" si="13"/>
        <v>0</v>
      </c>
      <c r="AF55" s="148">
        <f t="shared" si="14"/>
        <v>3703.7600000000002</v>
      </c>
      <c r="AH55" s="145">
        <f>SUMIF('2025 AC'!$B$3:$B$250,"*"&amp;$D55&amp;"*",'2025 AC'!C$3:C$250)</f>
        <v>259.25999999999999</v>
      </c>
      <c r="AI55" s="146">
        <f>SUMIF('2025 AC'!$B$3:$B$250,"*"&amp;$D55&amp;"*",'2025 AC'!D$3:D$250)</f>
        <v>0</v>
      </c>
      <c r="AJ55" s="146">
        <f>SUMIF('2025 AC'!$B$3:$B$250,"*"&amp;$D55&amp;"*",'2025 AC'!E$3:E$250)</f>
        <v>0</v>
      </c>
      <c r="AK55" s="146">
        <f>SUMIF('2025 AC'!$B$3:$B$250,"*"&amp;$D55&amp;"*",'2025 AC'!F$3:F$250)</f>
        <v>0</v>
      </c>
      <c r="AL55" s="146">
        <f>SUMIF('2025 AC'!$B$3:$B$250,"*"&amp;$D55&amp;"*",'2025 AC'!G$3:G$250)</f>
        <v>0</v>
      </c>
      <c r="AM55" s="146">
        <f>SUMIF('2025 AC'!$B$3:$B$250,"*"&amp;$D55&amp;"*",'2025 AC'!H$3:H$250)</f>
        <v>0</v>
      </c>
      <c r="AN55" s="146">
        <f>SUMIF('2025 AC'!$B$3:$B$250,"*"&amp;$D55&amp;"*",'2025 AC'!I$3:I$250)</f>
        <v>259.25999999999999</v>
      </c>
      <c r="AO55" s="146">
        <f>SUMIF('2025 AC'!$B$3:$B$250,"*"&amp;$D55&amp;"*",'2025 AC'!J$3:J$250)</f>
        <v>0</v>
      </c>
      <c r="AP55" s="146">
        <f>SUMIF('2025 AC'!$B$3:$B$250,"*"&amp;$D55&amp;"*",'2025 AC'!K$3:K$250)</f>
        <v>0</v>
      </c>
      <c r="AQ55" s="146">
        <f>SUMIF('2025 AC'!$B$3:$B$250,"*"&amp;$D55&amp;"*",'2025 AC'!L$3:L$250)</f>
        <v>0</v>
      </c>
      <c r="AR55" s="146">
        <f>SUMIF('2025 AC'!$B$3:$B$250,"*"&amp;$D55&amp;"*",'2025 AC'!M$3:M$250)</f>
        <v>0</v>
      </c>
      <c r="AS55" s="146">
        <f>SUMIF('2025 AC'!$B$3:$B$250,"*"&amp;$D55&amp;"*",'2025 AC'!N$3:N$250)</f>
        <v>45270</v>
      </c>
      <c r="AT55" s="149">
        <f t="shared" si="15"/>
        <v>45788.519999999997</v>
      </c>
      <c r="AU55" s="147">
        <f t="shared" si="16"/>
        <v>259.25999999999999</v>
      </c>
      <c r="AV55" s="147">
        <f t="shared" si="17"/>
        <v>0</v>
      </c>
      <c r="AW55" s="147">
        <f t="shared" si="18"/>
        <v>259.25999999999999</v>
      </c>
      <c r="AX55" s="147">
        <f t="shared" si="19"/>
        <v>45270</v>
      </c>
      <c r="AY55" s="148">
        <f t="shared" si="20"/>
        <v>45788.519999999997</v>
      </c>
      <c r="BA55" s="145">
        <f>SUMIF('2026 AC'!$B$3:$B$254,"*"&amp;$D55&amp;"*",'2026 AC'!C$3:C$254)</f>
        <v>1000</v>
      </c>
      <c r="BB55" s="146">
        <f>SUMIF('2026 AC'!$B$3:$B$254,"*"&amp;$D55&amp;"*",'2026 AC'!D$3:D$254)</f>
        <v>1000</v>
      </c>
      <c r="BC55" s="146">
        <f>SUMIF('2026 AC'!$B$3:$B$254,"*"&amp;$D55&amp;"*",'2026 AC'!E$3:E$254)</f>
        <v>1000</v>
      </c>
      <c r="BD55" s="146">
        <f>SUMIF('2026 AC'!$B$3:$B$254,"*"&amp;$D55&amp;"*",'2026 AC'!F$3:F$254)</f>
        <v>1000</v>
      </c>
      <c r="BE55" s="146">
        <f>SUMIF('2026 AC'!$B$3:$B$254,"*"&amp;$D55&amp;"*",'2026 AC'!G$3:G$254)</f>
        <v>1000</v>
      </c>
      <c r="BF55" s="146">
        <f>SUMIF('2026 AC'!$B$3:$B$254,"*"&amp;$D55&amp;"*",'2026 AC'!H$3:H$254)</f>
        <v>1000</v>
      </c>
      <c r="BG55" s="146">
        <f>SUMIF('2026 AC'!$B$3:$B$254,"*"&amp;$D55&amp;"*",'2026 AC'!I$3:I$254)</f>
        <v>0</v>
      </c>
      <c r="BH55" s="146">
        <f>SUMIF('2026 AC'!$B$3:$B$254,"*"&amp;$D55&amp;"*",'2026 AC'!J$3:J$254)</f>
        <v>0</v>
      </c>
      <c r="BI55" s="146">
        <f>SUMIF('2026 AC'!$B$3:$B$254,"*"&amp;$D55&amp;"*",'2026 AC'!K$3:K$254)</f>
        <v>0</v>
      </c>
      <c r="BJ55" s="146">
        <f>SUMIF('2026 AC'!$B$3:$B$254,"*"&amp;$D55&amp;"*",'2026 AC'!L$3:L$254)</f>
        <v>0</v>
      </c>
      <c r="BK55" s="146">
        <f>SUMIF('2026 AC'!$B$3:$B$254,"*"&amp;$D55&amp;"*",'2026 AC'!M$3:M$254)</f>
        <v>0</v>
      </c>
      <c r="BL55" s="147">
        <f>SUMIF('2026 AC'!$B$3:$B$254,"*"&amp;$D55&amp;"*",'2026 AC'!N$3:N$254)</f>
        <v>0</v>
      </c>
      <c r="BM55" s="148">
        <f t="shared" si="21"/>
        <v>6000</v>
      </c>
      <c r="BN55" s="147">
        <f t="shared" si="22"/>
        <v>3000</v>
      </c>
      <c r="BO55" s="147">
        <f t="shared" si="23"/>
        <v>3000</v>
      </c>
      <c r="BP55" s="147">
        <f t="shared" si="24"/>
        <v>0</v>
      </c>
      <c r="BQ55" s="147">
        <f t="shared" si="25"/>
        <v>0</v>
      </c>
      <c r="BR55" s="148">
        <f t="shared" si="26"/>
        <v>6000</v>
      </c>
    </row>
    <row r="56" ht="15" customHeight="1" outlineLevel="1">
      <c r="A56" t="s">
        <v>116</v>
      </c>
      <c r="B56" t="s">
        <v>117</v>
      </c>
      <c r="C56" s="150" t="s">
        <v>114</v>
      </c>
      <c r="D56" s="35" t="s">
        <v>117</v>
      </c>
      <c r="E56" s="153">
        <f t="shared" si="49"/>
        <v>1000</v>
      </c>
      <c r="F56" s="152">
        <f t="shared" si="50"/>
        <v>0</v>
      </c>
      <c r="G56" s="154">
        <f t="shared" si="71"/>
        <v>1</v>
      </c>
      <c r="H56" s="153">
        <f t="shared" si="51"/>
        <v>3000</v>
      </c>
      <c r="I56" s="153">
        <f t="shared" si="52"/>
        <v>0</v>
      </c>
      <c r="J56" s="54" t="e">
        <f t="shared" si="72"/>
        <v>#DIV/0!</v>
      </c>
      <c r="K56" s="153">
        <f t="shared" si="53"/>
        <v>6000</v>
      </c>
      <c r="L56" s="153">
        <f t="shared" si="54"/>
        <v>259.25999999999999</v>
      </c>
      <c r="M56" s="55">
        <f t="shared" si="70"/>
        <v>22.142791020597084</v>
      </c>
      <c r="O56" s="63">
        <f>SUMIF('2024 AC'!$B$3:$B$250,"*"&amp;$D56&amp;"*",'2024 AC'!C$3:C$250)</f>
        <v>2599.0599999999999</v>
      </c>
      <c r="P56" s="53">
        <f>SUMIF('2024 AC'!$B$3:$B$250,"*"&amp;$D56&amp;"*",'2024 AC'!D$3:D$250)</f>
        <v>715.80999999999995</v>
      </c>
      <c r="Q56" s="53">
        <f>SUMIF('2024 AC'!$B$3:$B$250,"*"&amp;$D56&amp;"*",'2024 AC'!E$3:E$250)</f>
        <v>129.63</v>
      </c>
      <c r="R56" s="53">
        <f>SUMIF('2024 AC'!$B$3:$B$250,"*"&amp;$D56&amp;"*",'2024 AC'!F$3:F$250)</f>
        <v>0</v>
      </c>
      <c r="S56" s="53">
        <f>SUMIF('2024 AC'!$B$3:$B$250,"*"&amp;$D56&amp;"*",'2024 AC'!G$3:G$250)</f>
        <v>0</v>
      </c>
      <c r="T56" s="53">
        <f>SUMIF('2024 AC'!$B$3:$B$250,"*"&amp;$D56&amp;"*",'2024 AC'!H$3:H$250)</f>
        <v>0</v>
      </c>
      <c r="U56" s="53">
        <f>SUMIF('2024 AC'!$B$3:$B$250,"*"&amp;$D56&amp;"*",'2024 AC'!I$3:I$250)</f>
        <v>0</v>
      </c>
      <c r="V56" s="53">
        <f>SUMIF('2024 AC'!$B$3:$B$250,"*"&amp;$D56&amp;"*",'2024 AC'!J$3:J$250)</f>
        <v>0</v>
      </c>
      <c r="W56" s="53">
        <f>SUMIF('2024 AC'!$B$3:$B$250,"*"&amp;$D56&amp;"*",'2024 AC'!K$3:K$250)</f>
        <v>259.25999999999999</v>
      </c>
      <c r="X56" s="53">
        <f>SUMIF('2024 AC'!$B$3:$B$250,"*"&amp;$D56&amp;"*",'2024 AC'!L$3:L$250)</f>
        <v>0</v>
      </c>
      <c r="Y56" s="53">
        <f>SUMIF('2024 AC'!$B$3:$B$250,"*"&amp;$D56&amp;"*",'2024 AC'!M$3:M$250)</f>
        <v>0</v>
      </c>
      <c r="Z56" s="93">
        <f>SUMIF('2024 AC'!$B$3:$B$250,"*"&amp;$D56&amp;"*",'2024 AC'!N$3:N$250)</f>
        <v>0</v>
      </c>
      <c r="AA56" s="92">
        <f t="shared" si="9"/>
        <v>3703.7600000000002</v>
      </c>
      <c r="AB56" s="93">
        <f t="shared" si="10"/>
        <v>3444.5</v>
      </c>
      <c r="AC56" s="93">
        <f t="shared" si="11"/>
        <v>0</v>
      </c>
      <c r="AD56" s="93">
        <f t="shared" si="12"/>
        <v>259.25999999999999</v>
      </c>
      <c r="AE56" s="93">
        <f t="shared" si="13"/>
        <v>0</v>
      </c>
      <c r="AF56" s="92">
        <f t="shared" si="14"/>
        <v>3703.7600000000002</v>
      </c>
      <c r="AH56" s="63">
        <f>SUMIF('2025 AC'!$B$3:$B$250,"*"&amp;$D56&amp;"*",'2025 AC'!C$3:C$250)</f>
        <v>259.25999999999999</v>
      </c>
      <c r="AI56" s="53">
        <f>SUMIF('2025 AC'!$B$3:$B$250,"*"&amp;$D56&amp;"*",'2025 AC'!D$3:D$250)</f>
        <v>0</v>
      </c>
      <c r="AJ56" s="53">
        <f>SUMIF('2025 AC'!$B$3:$B$250,"*"&amp;$D56&amp;"*",'2025 AC'!E$3:E$250)</f>
        <v>0</v>
      </c>
      <c r="AK56" s="53">
        <f>SUMIF('2025 AC'!$B$3:$B$250,"*"&amp;$D56&amp;"*",'2025 AC'!F$3:F$250)</f>
        <v>0</v>
      </c>
      <c r="AL56" s="53">
        <f>SUMIF('2025 AC'!$B$3:$B$250,"*"&amp;$D56&amp;"*",'2025 AC'!G$3:G$250)</f>
        <v>0</v>
      </c>
      <c r="AM56" s="53">
        <f>SUMIF('2025 AC'!$B$3:$B$250,"*"&amp;$D56&amp;"*",'2025 AC'!H$3:H$250)</f>
        <v>0</v>
      </c>
      <c r="AN56" s="53">
        <f>SUMIF('2025 AC'!$B$3:$B$250,"*"&amp;$D56&amp;"*",'2025 AC'!I$3:I$250)</f>
        <v>259.25999999999999</v>
      </c>
      <c r="AO56" s="53">
        <f>SUMIF('2025 AC'!$B$3:$B$250,"*"&amp;$D56&amp;"*",'2025 AC'!J$3:J$250)</f>
        <v>0</v>
      </c>
      <c r="AP56" s="53">
        <f>SUMIF('2025 AC'!$B$3:$B$250,"*"&amp;$D56&amp;"*",'2025 AC'!K$3:K$250)</f>
        <v>0</v>
      </c>
      <c r="AQ56" s="53">
        <f>SUMIF('2025 AC'!$B$3:$B$250,"*"&amp;$D56&amp;"*",'2025 AC'!L$3:L$250)</f>
        <v>0</v>
      </c>
      <c r="AR56" s="53">
        <f>SUMIF('2025 AC'!$B$3:$B$250,"*"&amp;$D56&amp;"*",'2025 AC'!M$3:M$250)</f>
        <v>0</v>
      </c>
      <c r="AS56" s="53">
        <f>SUMIF('2025 AC'!$B$3:$B$250,"*"&amp;$D56&amp;"*",'2025 AC'!N$3:N$250)</f>
        <v>45270</v>
      </c>
      <c r="AT56" s="94">
        <f t="shared" si="15"/>
        <v>45788.519999999997</v>
      </c>
      <c r="AU56" s="93">
        <f t="shared" si="16"/>
        <v>259.25999999999999</v>
      </c>
      <c r="AV56" s="93">
        <f t="shared" si="17"/>
        <v>0</v>
      </c>
      <c r="AW56" s="93">
        <f t="shared" si="18"/>
        <v>259.25999999999999</v>
      </c>
      <c r="AX56" s="93">
        <f t="shared" si="19"/>
        <v>45270</v>
      </c>
      <c r="AY56" s="92">
        <f t="shared" si="20"/>
        <v>45788.519999999997</v>
      </c>
      <c r="BA56" s="63">
        <f>SUMIF('2026 AC'!$B$3:$B$254,"*"&amp;$D56&amp;"*",'2026 AC'!C$3:C$254)</f>
        <v>1000</v>
      </c>
      <c r="BB56" s="53">
        <f>SUMIF('2026 AC'!$B$3:$B$254,"*"&amp;$D56&amp;"*",'2026 AC'!D$3:D$254)</f>
        <v>1000</v>
      </c>
      <c r="BC56" s="53">
        <f>SUMIF('2026 AC'!$B$3:$B$254,"*"&amp;$D56&amp;"*",'2026 AC'!E$3:E$254)</f>
        <v>1000</v>
      </c>
      <c r="BD56" s="53">
        <f>SUMIF('2026 AC'!$B$3:$B$254,"*"&amp;$D56&amp;"*",'2026 AC'!F$3:F$254)</f>
        <v>1000</v>
      </c>
      <c r="BE56" s="53">
        <f>SUMIF('2026 AC'!$B$3:$B$254,"*"&amp;$D56&amp;"*",'2026 AC'!G$3:G$254)</f>
        <v>1000</v>
      </c>
      <c r="BF56" s="53">
        <f>SUMIF('2026 AC'!$B$3:$B$254,"*"&amp;$D56&amp;"*",'2026 AC'!H$3:H$254)</f>
        <v>1000</v>
      </c>
      <c r="BG56" s="53">
        <f>SUMIF('2026 AC'!$B$3:$B$254,"*"&amp;$D56&amp;"*",'2026 AC'!I$3:I$254)</f>
        <v>0</v>
      </c>
      <c r="BH56" s="53">
        <f>SUMIF('2026 AC'!$B$3:$B$254,"*"&amp;$D56&amp;"*",'2026 AC'!J$3:J$254)</f>
        <v>0</v>
      </c>
      <c r="BI56" s="53">
        <f>SUMIF('2026 AC'!$B$3:$B$254,"*"&amp;$D56&amp;"*",'2026 AC'!K$3:K$254)</f>
        <v>0</v>
      </c>
      <c r="BJ56" s="53">
        <f>SUMIF('2026 AC'!$B$3:$B$254,"*"&amp;$D56&amp;"*",'2026 AC'!L$3:L$254)</f>
        <v>0</v>
      </c>
      <c r="BK56" s="53">
        <f>SUMIF('2026 AC'!$B$3:$B$254,"*"&amp;$D56&amp;"*",'2026 AC'!M$3:M$254)</f>
        <v>0</v>
      </c>
      <c r="BL56" s="93">
        <f>SUMIF('2026 AC'!$B$3:$B$254,"*"&amp;$D56&amp;"*",'2026 AC'!N$3:N$254)</f>
        <v>0</v>
      </c>
      <c r="BM56" s="92">
        <f t="shared" si="21"/>
        <v>6000</v>
      </c>
      <c r="BN56" s="93">
        <f t="shared" si="22"/>
        <v>3000</v>
      </c>
      <c r="BO56" s="93">
        <f t="shared" si="23"/>
        <v>3000</v>
      </c>
      <c r="BP56" s="93">
        <f t="shared" si="24"/>
        <v>0</v>
      </c>
      <c r="BQ56" s="93">
        <f t="shared" si="25"/>
        <v>0</v>
      </c>
      <c r="BR56" s="92">
        <f t="shared" si="26"/>
        <v>6000</v>
      </c>
    </row>
    <row r="57" s="137" customFormat="1" ht="15" customHeight="1">
      <c r="A57" s="137" t="s">
        <v>118</v>
      </c>
      <c r="B57" s="137" t="s">
        <v>115</v>
      </c>
      <c r="C57" s="138" t="s">
        <v>119</v>
      </c>
      <c r="D57" s="139" t="s">
        <v>120</v>
      </c>
      <c r="E57" s="159">
        <f t="shared" si="49"/>
        <v>0</v>
      </c>
      <c r="F57" s="141">
        <f t="shared" si="50"/>
        <v>0</v>
      </c>
      <c r="G57" s="143">
        <f>E57-F57</f>
        <v>0</v>
      </c>
      <c r="H57" s="143">
        <f t="shared" si="51"/>
        <v>0</v>
      </c>
      <c r="I57" s="143">
        <f t="shared" si="52"/>
        <v>150</v>
      </c>
      <c r="J57" s="159">
        <f>H57-I57</f>
        <v>-150</v>
      </c>
      <c r="K57" s="143">
        <f t="shared" si="53"/>
        <v>45</v>
      </c>
      <c r="L57" s="143">
        <f t="shared" si="54"/>
        <v>150</v>
      </c>
      <c r="M57" s="162">
        <f>K57-L57</f>
        <v>-105</v>
      </c>
      <c r="O57" s="145">
        <f>SUMIF('2024 AC'!$B$3:$B$250,"*"&amp;$D57&amp;"*",'2024 AC'!C$3:C$250)</f>
        <v>1335.5999999999999</v>
      </c>
      <c r="P57" s="146">
        <f>SUMIF('2024 AC'!$B$3:$B$250,"*"&amp;$D57&amp;"*",'2024 AC'!D$3:D$250)</f>
        <v>349.06</v>
      </c>
      <c r="Q57" s="146">
        <f>SUMIF('2024 AC'!$B$3:$B$250,"*"&amp;$D57&amp;"*",'2024 AC'!E$3:E$250)</f>
        <v>381.36000000000001</v>
      </c>
      <c r="R57" s="146">
        <f>SUMIF('2024 AC'!$B$3:$B$250,"*"&amp;$D57&amp;"*",'2024 AC'!F$3:F$250)</f>
        <v>0</v>
      </c>
      <c r="S57" s="146">
        <f>SUMIF('2024 AC'!$B$3:$B$250,"*"&amp;$D57&amp;"*",'2024 AC'!G$3:G$250)</f>
        <v>0</v>
      </c>
      <c r="T57" s="146">
        <f>SUMIF('2024 AC'!$B$3:$B$250,"*"&amp;$D57&amp;"*",'2024 AC'!H$3:H$250)</f>
        <v>0</v>
      </c>
      <c r="U57" s="146">
        <f>SUMIF('2024 AC'!$B$3:$B$250,"*"&amp;$D57&amp;"*",'2024 AC'!I$3:I$250)</f>
        <v>0</v>
      </c>
      <c r="V57" s="146">
        <f>SUMIF('2024 AC'!$B$3:$B$250,"*"&amp;$D57&amp;"*",'2024 AC'!J$3:J$250)</f>
        <v>0</v>
      </c>
      <c r="W57" s="146">
        <f>SUMIF('2024 AC'!$B$3:$B$250,"*"&amp;$D57&amp;"*",'2024 AC'!K$3:K$250)</f>
        <v>0</v>
      </c>
      <c r="X57" s="146">
        <f>SUMIF('2024 AC'!$B$3:$B$250,"*"&amp;$D57&amp;"*",'2024 AC'!L$3:L$250)</f>
        <v>0</v>
      </c>
      <c r="Y57" s="146">
        <f>SUMIF('2024 AC'!$B$3:$B$250,"*"&amp;$D57&amp;"*",'2024 AC'!M$3:M$250)</f>
        <v>360</v>
      </c>
      <c r="Z57" s="147">
        <f>SUMIF('2024 AC'!$B$3:$B$250,"*"&amp;$D57&amp;"*",'2024 AC'!N$3:N$250)</f>
        <v>30</v>
      </c>
      <c r="AA57" s="148">
        <f t="shared" si="9"/>
        <v>2456.02</v>
      </c>
      <c r="AB57" s="147">
        <f t="shared" si="10"/>
        <v>2066.02</v>
      </c>
      <c r="AC57" s="147">
        <f t="shared" si="11"/>
        <v>0</v>
      </c>
      <c r="AD57" s="147">
        <f t="shared" si="12"/>
        <v>0</v>
      </c>
      <c r="AE57" s="147">
        <f t="shared" si="13"/>
        <v>390</v>
      </c>
      <c r="AF57" s="148">
        <f t="shared" si="14"/>
        <v>2456.02</v>
      </c>
      <c r="AH57" s="145">
        <f>SUMIF('2025 AC'!$B$3:$B$250,"*"&amp;$D57&amp;"*",'2025 AC'!C$3:C$250)</f>
        <v>0</v>
      </c>
      <c r="AI57" s="146">
        <f>SUMIF('2025 AC'!$B$3:$B$250,"*"&amp;$D57&amp;"*",'2025 AC'!D$3:D$250)</f>
        <v>0</v>
      </c>
      <c r="AJ57" s="146">
        <f>SUMIF('2025 AC'!$B$3:$B$250,"*"&amp;$D57&amp;"*",'2025 AC'!E$3:E$250)</f>
        <v>0</v>
      </c>
      <c r="AK57" s="146">
        <f>SUMIF('2025 AC'!$B$3:$B$250,"*"&amp;$D57&amp;"*",'2025 AC'!F$3:F$250)</f>
        <v>120</v>
      </c>
      <c r="AL57" s="146">
        <f>SUMIF('2025 AC'!$B$3:$B$250,"*"&amp;$D57&amp;"*",'2025 AC'!G$3:G$250)</f>
        <v>30</v>
      </c>
      <c r="AM57" s="146">
        <f>SUMIF('2025 AC'!$B$3:$B$250,"*"&amp;$D57&amp;"*",'2025 AC'!H$3:H$250)</f>
        <v>0</v>
      </c>
      <c r="AN57" s="146">
        <f>SUMIF('2025 AC'!$B$3:$B$250,"*"&amp;$D57&amp;"*",'2025 AC'!I$3:I$250)</f>
        <v>30</v>
      </c>
      <c r="AO57" s="146">
        <f>SUMIF('2025 AC'!$B$3:$B$250,"*"&amp;$D57&amp;"*",'2025 AC'!J$3:J$250)</f>
        <v>0</v>
      </c>
      <c r="AP57" s="146">
        <f>SUMIF('2025 AC'!$B$3:$B$250,"*"&amp;$D57&amp;"*",'2025 AC'!K$3:K$250)</f>
        <v>0</v>
      </c>
      <c r="AQ57" s="146">
        <f>SUMIF('2025 AC'!$B$3:$B$250,"*"&amp;$D57&amp;"*",'2025 AC'!L$3:L$250)</f>
        <v>0</v>
      </c>
      <c r="AR57" s="146">
        <f>SUMIF('2025 AC'!$B$3:$B$250,"*"&amp;$D57&amp;"*",'2025 AC'!M$3:M$250)</f>
        <v>30</v>
      </c>
      <c r="AS57" s="146">
        <f>SUMIF('2025 AC'!$B$3:$B$250,"*"&amp;$D57&amp;"*",'2025 AC'!N$3:N$250)</f>
        <v>0</v>
      </c>
      <c r="AT57" s="149">
        <f t="shared" si="15"/>
        <v>210</v>
      </c>
      <c r="AU57" s="147">
        <f t="shared" si="16"/>
        <v>0</v>
      </c>
      <c r="AV57" s="147">
        <f t="shared" si="17"/>
        <v>150</v>
      </c>
      <c r="AW57" s="147">
        <f t="shared" si="18"/>
        <v>30</v>
      </c>
      <c r="AX57" s="147">
        <f t="shared" si="19"/>
        <v>30</v>
      </c>
      <c r="AY57" s="148">
        <f t="shared" si="20"/>
        <v>210</v>
      </c>
      <c r="BA57" s="145">
        <f>SUMIF('2026 AC'!$B$3:$B$254,"*"&amp;$D57&amp;"*",'2026 AC'!C$3:C$254)</f>
        <v>15</v>
      </c>
      <c r="BB57" s="146">
        <f>SUMIF('2026 AC'!$B$3:$B$254,"*"&amp;$D57&amp;"*",'2026 AC'!D$3:D$254)</f>
        <v>0</v>
      </c>
      <c r="BC57" s="146">
        <f>SUMIF('2026 AC'!$B$3:$B$254,"*"&amp;$D57&amp;"*",'2026 AC'!E$3:E$254)</f>
        <v>30</v>
      </c>
      <c r="BD57" s="146">
        <f>SUMIF('2026 AC'!$B$3:$B$254,"*"&amp;$D57&amp;"*",'2026 AC'!F$3:F$254)</f>
        <v>0</v>
      </c>
      <c r="BE57" s="146">
        <f>SUMIF('2026 AC'!$B$3:$B$254,"*"&amp;$D57&amp;"*",'2026 AC'!G$3:G$254)</f>
        <v>0</v>
      </c>
      <c r="BF57" s="146">
        <f>SUMIF('2026 AC'!$B$3:$B$254,"*"&amp;$D57&amp;"*",'2026 AC'!H$3:H$254)</f>
        <v>0</v>
      </c>
      <c r="BG57" s="146">
        <f>SUMIF('2026 AC'!$B$3:$B$254,"*"&amp;$D57&amp;"*",'2026 AC'!I$3:I$254)</f>
        <v>0</v>
      </c>
      <c r="BH57" s="146">
        <f>SUMIF('2026 AC'!$B$3:$B$254,"*"&amp;$D57&amp;"*",'2026 AC'!J$3:J$254)</f>
        <v>0</v>
      </c>
      <c r="BI57" s="146">
        <f>SUMIF('2026 AC'!$B$3:$B$254,"*"&amp;$D57&amp;"*",'2026 AC'!K$3:K$254)</f>
        <v>0</v>
      </c>
      <c r="BJ57" s="146">
        <f>SUMIF('2026 AC'!$B$3:$B$254,"*"&amp;$D57&amp;"*",'2026 AC'!L$3:L$254)</f>
        <v>0</v>
      </c>
      <c r="BK57" s="146">
        <f>SUMIF('2026 AC'!$B$3:$B$254,"*"&amp;$D57&amp;"*",'2026 AC'!M$3:M$254)</f>
        <v>0</v>
      </c>
      <c r="BL57" s="147">
        <f>SUMIF('2026 AC'!$B$3:$B$254,"*"&amp;$D57&amp;"*",'2026 AC'!N$3:N$254)</f>
        <v>0</v>
      </c>
      <c r="BM57" s="148">
        <f t="shared" si="21"/>
        <v>45</v>
      </c>
      <c r="BN57" s="147">
        <f t="shared" si="22"/>
        <v>45</v>
      </c>
      <c r="BO57" s="147">
        <f t="shared" si="23"/>
        <v>0</v>
      </c>
      <c r="BP57" s="147">
        <f t="shared" si="24"/>
        <v>0</v>
      </c>
      <c r="BQ57" s="147">
        <f t="shared" si="25"/>
        <v>0</v>
      </c>
      <c r="BR57" s="148">
        <f t="shared" si="26"/>
        <v>45</v>
      </c>
    </row>
    <row r="58" ht="15" customHeight="1" outlineLevel="1">
      <c r="A58" t="s">
        <v>121</v>
      </c>
      <c r="B58" t="s">
        <v>122</v>
      </c>
      <c r="C58" s="150" t="s">
        <v>123</v>
      </c>
      <c r="D58" s="35" t="s">
        <v>122</v>
      </c>
      <c r="E58" s="153">
        <f t="shared" si="49"/>
        <v>0</v>
      </c>
      <c r="F58" s="152">
        <f t="shared" si="50"/>
        <v>0</v>
      </c>
      <c r="G58" s="154">
        <f>IFERROR((E58-F58)/F58,0)</f>
        <v>0</v>
      </c>
      <c r="H58" s="153">
        <f t="shared" si="51"/>
        <v>0</v>
      </c>
      <c r="I58" s="153">
        <f t="shared" si="52"/>
        <v>0</v>
      </c>
      <c r="J58" s="154">
        <f>IFERROR((H58-I58)/I58,0)</f>
        <v>0</v>
      </c>
      <c r="K58" s="153">
        <f t="shared" si="53"/>
        <v>0</v>
      </c>
      <c r="L58" s="153">
        <f t="shared" si="54"/>
        <v>0</v>
      </c>
      <c r="M58" s="155">
        <f>IFERROR((K58-L58)/L58,0)</f>
        <v>0</v>
      </c>
      <c r="O58" s="63">
        <f>SUMIF('2024 AC'!$B$3:$B$250,"*"&amp;$D58&amp;"*",'2024 AC'!C$3:C$250)</f>
        <v>1335.5999999999999</v>
      </c>
      <c r="P58" s="53">
        <f>SUMIF('2024 AC'!$B$3:$B$250,"*"&amp;$D58&amp;"*",'2024 AC'!D$3:D$250)</f>
        <v>349.06</v>
      </c>
      <c r="Q58" s="53">
        <f>SUMIF('2024 AC'!$B$3:$B$250,"*"&amp;$D58&amp;"*",'2024 AC'!E$3:E$250)</f>
        <v>0</v>
      </c>
      <c r="R58" s="53">
        <f>SUMIF('2024 AC'!$B$3:$B$250,"*"&amp;$D58&amp;"*",'2024 AC'!F$3:F$250)</f>
        <v>0</v>
      </c>
      <c r="S58" s="53">
        <f>SUMIF('2024 AC'!$B$3:$B$250,"*"&amp;$D58&amp;"*",'2024 AC'!G$3:G$250)</f>
        <v>0</v>
      </c>
      <c r="T58" s="53">
        <f>SUMIF('2024 AC'!$B$3:$B$250,"*"&amp;$D58&amp;"*",'2024 AC'!H$3:H$250)</f>
        <v>0</v>
      </c>
      <c r="U58" s="53">
        <f>SUMIF('2024 AC'!$B$3:$B$250,"*"&amp;$D58&amp;"*",'2024 AC'!I$3:I$250)</f>
        <v>0</v>
      </c>
      <c r="V58" s="53">
        <f>SUMIF('2024 AC'!$B$3:$B$250,"*"&amp;$D58&amp;"*",'2024 AC'!J$3:J$250)</f>
        <v>0</v>
      </c>
      <c r="W58" s="53">
        <f>SUMIF('2024 AC'!$B$3:$B$250,"*"&amp;$D58&amp;"*",'2024 AC'!K$3:K$250)</f>
        <v>0</v>
      </c>
      <c r="X58" s="53">
        <f>SUMIF('2024 AC'!$B$3:$B$250,"*"&amp;$D58&amp;"*",'2024 AC'!L$3:L$250)</f>
        <v>0</v>
      </c>
      <c r="Y58" s="53">
        <f>SUMIF('2024 AC'!$B$3:$B$250,"*"&amp;$D58&amp;"*",'2024 AC'!M$3:M$250)</f>
        <v>0</v>
      </c>
      <c r="Z58" s="93">
        <f>SUMIF('2024 AC'!$B$3:$B$250,"*"&amp;$D58&amp;"*",'2024 AC'!N$3:N$250)</f>
        <v>0</v>
      </c>
      <c r="AA58" s="92">
        <f t="shared" si="9"/>
        <v>1684.6599999999999</v>
      </c>
      <c r="AB58" s="93">
        <f t="shared" si="10"/>
        <v>1684.6599999999999</v>
      </c>
      <c r="AC58" s="93">
        <f t="shared" si="11"/>
        <v>0</v>
      </c>
      <c r="AD58" s="93">
        <f t="shared" si="12"/>
        <v>0</v>
      </c>
      <c r="AE58" s="93">
        <f t="shared" si="13"/>
        <v>0</v>
      </c>
      <c r="AF58" s="92">
        <f t="shared" si="14"/>
        <v>1684.6599999999999</v>
      </c>
      <c r="AH58" s="63">
        <f>SUMIF('2025 AC'!$B$3:$B$250,"*"&amp;$D58&amp;"*",'2025 AC'!C$3:C$250)</f>
        <v>0</v>
      </c>
      <c r="AI58" s="53">
        <f>SUMIF('2025 AC'!$B$3:$B$250,"*"&amp;$D58&amp;"*",'2025 AC'!D$3:D$250)</f>
        <v>0</v>
      </c>
      <c r="AJ58" s="53">
        <f>SUMIF('2025 AC'!$B$3:$B$250,"*"&amp;$D58&amp;"*",'2025 AC'!E$3:E$250)</f>
        <v>0</v>
      </c>
      <c r="AK58" s="53">
        <f>SUMIF('2025 AC'!$B$3:$B$250,"*"&amp;$D58&amp;"*",'2025 AC'!F$3:F$250)</f>
        <v>0</v>
      </c>
      <c r="AL58" s="53">
        <f>SUMIF('2025 AC'!$B$3:$B$250,"*"&amp;$D58&amp;"*",'2025 AC'!G$3:G$250)</f>
        <v>0</v>
      </c>
      <c r="AM58" s="53">
        <f>SUMIF('2025 AC'!$B$3:$B$250,"*"&amp;$D58&amp;"*",'2025 AC'!H$3:H$250)</f>
        <v>0</v>
      </c>
      <c r="AN58" s="53">
        <f>SUMIF('2025 AC'!$B$3:$B$250,"*"&amp;$D58&amp;"*",'2025 AC'!I$3:I$250)</f>
        <v>0</v>
      </c>
      <c r="AO58" s="53">
        <f>SUMIF('2025 AC'!$B$3:$B$250,"*"&amp;$D58&amp;"*",'2025 AC'!J$3:J$250)</f>
        <v>0</v>
      </c>
      <c r="AP58" s="53">
        <f>SUMIF('2025 AC'!$B$3:$B$250,"*"&amp;$D58&amp;"*",'2025 AC'!K$3:K$250)</f>
        <v>0</v>
      </c>
      <c r="AQ58" s="53">
        <f>SUMIF('2025 AC'!$B$3:$B$250,"*"&amp;$D58&amp;"*",'2025 AC'!L$3:L$250)</f>
        <v>0</v>
      </c>
      <c r="AR58" s="53">
        <f>SUMIF('2025 AC'!$B$3:$B$250,"*"&amp;$D58&amp;"*",'2025 AC'!M$3:M$250)</f>
        <v>0</v>
      </c>
      <c r="AS58" s="53">
        <f>SUMIF('2025 AC'!$B$3:$B$250,"*"&amp;$D58&amp;"*",'2025 AC'!N$3:N$250)</f>
        <v>0</v>
      </c>
      <c r="AT58" s="94">
        <f t="shared" si="15"/>
        <v>0</v>
      </c>
      <c r="AU58" s="93">
        <f t="shared" si="16"/>
        <v>0</v>
      </c>
      <c r="AV58" s="93">
        <f t="shared" si="17"/>
        <v>0</v>
      </c>
      <c r="AW58" s="93">
        <f t="shared" si="18"/>
        <v>0</v>
      </c>
      <c r="AX58" s="93">
        <f t="shared" si="19"/>
        <v>0</v>
      </c>
      <c r="AY58" s="92">
        <f t="shared" si="20"/>
        <v>0</v>
      </c>
      <c r="BA58" s="63">
        <f>SUMIF('2026 AC'!$B$3:$B$254,"*"&amp;$D58&amp;"*",'2026 AC'!C$3:C$254)</f>
        <v>0</v>
      </c>
      <c r="BB58" s="53">
        <f>SUMIF('2026 AC'!$B$3:$B$254,"*"&amp;$D58&amp;"*",'2026 AC'!D$3:D$254)</f>
        <v>0</v>
      </c>
      <c r="BC58" s="53">
        <f>SUMIF('2026 AC'!$B$3:$B$254,"*"&amp;$D58&amp;"*",'2026 AC'!E$3:E$254)</f>
        <v>0</v>
      </c>
      <c r="BD58" s="53">
        <f>SUMIF('2026 AC'!$B$3:$B$254,"*"&amp;$D58&amp;"*",'2026 AC'!F$3:F$254)</f>
        <v>0</v>
      </c>
      <c r="BE58" s="53">
        <f>SUMIF('2026 AC'!$B$3:$B$254,"*"&amp;$D58&amp;"*",'2026 AC'!G$3:G$254)</f>
        <v>0</v>
      </c>
      <c r="BF58" s="53">
        <f>SUMIF('2026 AC'!$B$3:$B$254,"*"&amp;$D58&amp;"*",'2026 AC'!H$3:H$254)</f>
        <v>0</v>
      </c>
      <c r="BG58" s="53">
        <f>SUMIF('2026 AC'!$B$3:$B$254,"*"&amp;$D58&amp;"*",'2026 AC'!I$3:I$254)</f>
        <v>0</v>
      </c>
      <c r="BH58" s="53">
        <f>SUMIF('2026 AC'!$B$3:$B$254,"*"&amp;$D58&amp;"*",'2026 AC'!J$3:J$254)</f>
        <v>0</v>
      </c>
      <c r="BI58" s="53">
        <f>SUMIF('2026 AC'!$B$3:$B$254,"*"&amp;$D58&amp;"*",'2026 AC'!K$3:K$254)</f>
        <v>0</v>
      </c>
      <c r="BJ58" s="53">
        <f>SUMIF('2026 AC'!$B$3:$B$254,"*"&amp;$D58&amp;"*",'2026 AC'!L$3:L$254)</f>
        <v>0</v>
      </c>
      <c r="BK58" s="53">
        <f>SUMIF('2026 AC'!$B$3:$B$254,"*"&amp;$D58&amp;"*",'2026 AC'!M$3:M$254)</f>
        <v>0</v>
      </c>
      <c r="BL58" s="93">
        <f>SUMIF('2026 AC'!$B$3:$B$254,"*"&amp;$D58&amp;"*",'2026 AC'!N$3:N$254)</f>
        <v>0</v>
      </c>
      <c r="BM58" s="92">
        <f t="shared" si="21"/>
        <v>0</v>
      </c>
      <c r="BN58" s="93">
        <f t="shared" si="22"/>
        <v>0</v>
      </c>
      <c r="BO58" s="93">
        <f t="shared" si="23"/>
        <v>0</v>
      </c>
      <c r="BP58" s="93">
        <f t="shared" si="24"/>
        <v>0</v>
      </c>
      <c r="BQ58" s="93">
        <f t="shared" si="25"/>
        <v>0</v>
      </c>
      <c r="BR58" s="92">
        <f t="shared" si="26"/>
        <v>0</v>
      </c>
    </row>
    <row r="59" ht="15" customHeight="1" outlineLevel="1">
      <c r="A59" t="s">
        <v>124</v>
      </c>
      <c r="B59" t="s">
        <v>125</v>
      </c>
      <c r="C59" s="150" t="s">
        <v>126</v>
      </c>
      <c r="D59" s="35" t="s">
        <v>125</v>
      </c>
      <c r="E59" s="153">
        <f t="shared" si="49"/>
        <v>0</v>
      </c>
      <c r="F59" s="152">
        <f t="shared" si="50"/>
        <v>0</v>
      </c>
      <c r="G59" s="154">
        <f t="shared" si="71"/>
        <v>1</v>
      </c>
      <c r="H59" s="153">
        <f t="shared" si="51"/>
        <v>0</v>
      </c>
      <c r="I59" s="153">
        <f t="shared" si="52"/>
        <v>150</v>
      </c>
      <c r="J59" s="154">
        <f t="shared" ref="J59:J61" si="73">IFERROR((H59-I59)/I59,1)</f>
        <v>-1</v>
      </c>
      <c r="K59" s="153">
        <f t="shared" si="53"/>
        <v>45</v>
      </c>
      <c r="L59" s="153">
        <f t="shared" si="54"/>
        <v>150</v>
      </c>
      <c r="M59" s="155">
        <f t="shared" ref="M59:M61" si="74">IFERROR((K59-L59)/L59,1)</f>
        <v>-0.69999999999999996</v>
      </c>
      <c r="O59" s="63">
        <f>SUMIF('2024 AC'!$B$3:$B$250,"*"&amp;$D59&amp;"*",'2024 AC'!C$3:C$250)</f>
        <v>0</v>
      </c>
      <c r="P59" s="53">
        <f>SUMIF('2024 AC'!$B$3:$B$250,"*"&amp;$D59&amp;"*",'2024 AC'!D$3:D$250)</f>
        <v>0</v>
      </c>
      <c r="Q59" s="53">
        <f>SUMIF('2024 AC'!$B$3:$B$250,"*"&amp;$D59&amp;"*",'2024 AC'!E$3:E$250)</f>
        <v>381.36000000000001</v>
      </c>
      <c r="R59" s="53">
        <f>SUMIF('2024 AC'!$B$3:$B$250,"*"&amp;$D59&amp;"*",'2024 AC'!F$3:F$250)</f>
        <v>0</v>
      </c>
      <c r="S59" s="53">
        <f>SUMIF('2024 AC'!$B$3:$B$250,"*"&amp;$D59&amp;"*",'2024 AC'!G$3:G$250)</f>
        <v>0</v>
      </c>
      <c r="T59" s="53">
        <f>SUMIF('2024 AC'!$B$3:$B$250,"*"&amp;$D59&amp;"*",'2024 AC'!H$3:H$250)</f>
        <v>0</v>
      </c>
      <c r="U59" s="53">
        <f>SUMIF('2024 AC'!$B$3:$B$250,"*"&amp;$D59&amp;"*",'2024 AC'!I$3:I$250)</f>
        <v>0</v>
      </c>
      <c r="V59" s="53">
        <f>SUMIF('2024 AC'!$B$3:$B$250,"*"&amp;$D59&amp;"*",'2024 AC'!J$3:J$250)</f>
        <v>0</v>
      </c>
      <c r="W59" s="53">
        <f>SUMIF('2024 AC'!$B$3:$B$250,"*"&amp;$D59&amp;"*",'2024 AC'!K$3:K$250)</f>
        <v>0</v>
      </c>
      <c r="X59" s="53">
        <f>SUMIF('2024 AC'!$B$3:$B$250,"*"&amp;$D59&amp;"*",'2024 AC'!L$3:L$250)</f>
        <v>0</v>
      </c>
      <c r="Y59" s="53">
        <f>SUMIF('2024 AC'!$B$3:$B$250,"*"&amp;$D59&amp;"*",'2024 AC'!M$3:M$250)</f>
        <v>360</v>
      </c>
      <c r="Z59" s="93">
        <f>SUMIF('2024 AC'!$B$3:$B$250,"*"&amp;$D59&amp;"*",'2024 AC'!N$3:N$250)</f>
        <v>30</v>
      </c>
      <c r="AA59" s="92">
        <f t="shared" si="9"/>
        <v>771.36000000000001</v>
      </c>
      <c r="AB59" s="93">
        <f t="shared" si="10"/>
        <v>381.36000000000001</v>
      </c>
      <c r="AC59" s="93">
        <f t="shared" si="11"/>
        <v>0</v>
      </c>
      <c r="AD59" s="93">
        <f t="shared" si="12"/>
        <v>0</v>
      </c>
      <c r="AE59" s="93">
        <f t="shared" si="13"/>
        <v>390</v>
      </c>
      <c r="AF59" s="92">
        <f t="shared" si="14"/>
        <v>771.36000000000001</v>
      </c>
      <c r="AH59" s="63">
        <f>SUMIF('2025 AC'!$B$3:$B$250,"*"&amp;$D59&amp;"*",'2025 AC'!C$3:C$250)</f>
        <v>0</v>
      </c>
      <c r="AI59" s="53">
        <f>SUMIF('2025 AC'!$B$3:$B$250,"*"&amp;$D59&amp;"*",'2025 AC'!D$3:D$250)</f>
        <v>0</v>
      </c>
      <c r="AJ59" s="53">
        <f>SUMIF('2025 AC'!$B$3:$B$250,"*"&amp;$D59&amp;"*",'2025 AC'!E$3:E$250)</f>
        <v>0</v>
      </c>
      <c r="AK59" s="53">
        <f>SUMIF('2025 AC'!$B$3:$B$250,"*"&amp;$D59&amp;"*",'2025 AC'!F$3:F$250)</f>
        <v>120</v>
      </c>
      <c r="AL59" s="53">
        <f>SUMIF('2025 AC'!$B$3:$B$250,"*"&amp;$D59&amp;"*",'2025 AC'!G$3:G$250)</f>
        <v>30</v>
      </c>
      <c r="AM59" s="53">
        <f>SUMIF('2025 AC'!$B$3:$B$250,"*"&amp;$D59&amp;"*",'2025 AC'!H$3:H$250)</f>
        <v>0</v>
      </c>
      <c r="AN59" s="53">
        <f>SUMIF('2025 AC'!$B$3:$B$250,"*"&amp;$D59&amp;"*",'2025 AC'!I$3:I$250)</f>
        <v>30</v>
      </c>
      <c r="AO59" s="53">
        <f>SUMIF('2025 AC'!$B$3:$B$250,"*"&amp;$D59&amp;"*",'2025 AC'!J$3:J$250)</f>
        <v>0</v>
      </c>
      <c r="AP59" s="53">
        <f>SUMIF('2025 AC'!$B$3:$B$250,"*"&amp;$D59&amp;"*",'2025 AC'!K$3:K$250)</f>
        <v>0</v>
      </c>
      <c r="AQ59" s="53">
        <f>SUMIF('2025 AC'!$B$3:$B$250,"*"&amp;$D59&amp;"*",'2025 AC'!L$3:L$250)</f>
        <v>0</v>
      </c>
      <c r="AR59" s="53">
        <f>SUMIF('2025 AC'!$B$3:$B$250,"*"&amp;$D59&amp;"*",'2025 AC'!M$3:M$250)</f>
        <v>30</v>
      </c>
      <c r="AS59" s="53">
        <f>SUMIF('2025 AC'!$B$3:$B$250,"*"&amp;$D59&amp;"*",'2025 AC'!N$3:N$250)</f>
        <v>0</v>
      </c>
      <c r="AT59" s="94">
        <f t="shared" si="15"/>
        <v>210</v>
      </c>
      <c r="AU59" s="93">
        <f t="shared" si="16"/>
        <v>0</v>
      </c>
      <c r="AV59" s="93">
        <f t="shared" si="17"/>
        <v>150</v>
      </c>
      <c r="AW59" s="93">
        <f t="shared" si="18"/>
        <v>30</v>
      </c>
      <c r="AX59" s="93">
        <f t="shared" si="19"/>
        <v>30</v>
      </c>
      <c r="AY59" s="92">
        <f t="shared" si="20"/>
        <v>210</v>
      </c>
      <c r="BA59" s="63">
        <f>SUMIF('2026 AC'!$B$3:$B$254,"*"&amp;$D59&amp;"*",'2026 AC'!C$3:C$254)</f>
        <v>15</v>
      </c>
      <c r="BB59" s="53">
        <f>SUMIF('2026 AC'!$B$3:$B$254,"*"&amp;$D59&amp;"*",'2026 AC'!D$3:D$254)</f>
        <v>0</v>
      </c>
      <c r="BC59" s="53">
        <f>SUMIF('2026 AC'!$B$3:$B$254,"*"&amp;$D59&amp;"*",'2026 AC'!E$3:E$254)</f>
        <v>30</v>
      </c>
      <c r="BD59" s="53">
        <f>SUMIF('2026 AC'!$B$3:$B$254,"*"&amp;$D59&amp;"*",'2026 AC'!F$3:F$254)</f>
        <v>0</v>
      </c>
      <c r="BE59" s="53">
        <f>SUMIF('2026 AC'!$B$3:$B$254,"*"&amp;$D59&amp;"*",'2026 AC'!G$3:G$254)</f>
        <v>0</v>
      </c>
      <c r="BF59" s="53">
        <f>SUMIF('2026 AC'!$B$3:$B$254,"*"&amp;$D59&amp;"*",'2026 AC'!H$3:H$254)</f>
        <v>0</v>
      </c>
      <c r="BG59" s="53">
        <f>SUMIF('2026 AC'!$B$3:$B$254,"*"&amp;$D59&amp;"*",'2026 AC'!I$3:I$254)</f>
        <v>0</v>
      </c>
      <c r="BH59" s="53">
        <f>SUMIF('2026 AC'!$B$3:$B$254,"*"&amp;$D59&amp;"*",'2026 AC'!J$3:J$254)</f>
        <v>0</v>
      </c>
      <c r="BI59" s="53">
        <f>SUMIF('2026 AC'!$B$3:$B$254,"*"&amp;$D59&amp;"*",'2026 AC'!K$3:K$254)</f>
        <v>0</v>
      </c>
      <c r="BJ59" s="53">
        <f>SUMIF('2026 AC'!$B$3:$B$254,"*"&amp;$D59&amp;"*",'2026 AC'!L$3:L$254)</f>
        <v>0</v>
      </c>
      <c r="BK59" s="53">
        <f>SUMIF('2026 AC'!$B$3:$B$254,"*"&amp;$D59&amp;"*",'2026 AC'!M$3:M$254)</f>
        <v>0</v>
      </c>
      <c r="BL59" s="93">
        <f>SUMIF('2026 AC'!$B$3:$B$254,"*"&amp;$D59&amp;"*",'2026 AC'!N$3:N$254)</f>
        <v>0</v>
      </c>
      <c r="BM59" s="92">
        <f t="shared" si="21"/>
        <v>45</v>
      </c>
      <c r="BN59" s="93">
        <f t="shared" si="22"/>
        <v>45</v>
      </c>
      <c r="BO59" s="93">
        <f t="shared" si="23"/>
        <v>0</v>
      </c>
      <c r="BP59" s="93">
        <f t="shared" si="24"/>
        <v>0</v>
      </c>
      <c r="BQ59" s="93">
        <f t="shared" si="25"/>
        <v>0</v>
      </c>
      <c r="BR59" s="92">
        <f t="shared" si="26"/>
        <v>45</v>
      </c>
    </row>
    <row r="60" s="137" customFormat="1" ht="15" customHeight="1">
      <c r="A60" s="137" t="s">
        <v>118</v>
      </c>
      <c r="B60" s="137" t="s">
        <v>115</v>
      </c>
      <c r="C60" s="138" t="s">
        <v>127</v>
      </c>
      <c r="D60" s="139" t="s">
        <v>128</v>
      </c>
      <c r="E60" s="159">
        <f t="shared" si="49"/>
        <v>2500</v>
      </c>
      <c r="F60" s="141">
        <f t="shared" si="50"/>
        <v>0</v>
      </c>
      <c r="G60" s="161">
        <f t="shared" si="71"/>
        <v>1</v>
      </c>
      <c r="H60" s="143">
        <f t="shared" si="51"/>
        <v>7500</v>
      </c>
      <c r="I60" s="143">
        <f t="shared" si="52"/>
        <v>0</v>
      </c>
      <c r="J60" s="161">
        <f t="shared" si="73"/>
        <v>1</v>
      </c>
      <c r="K60" s="143">
        <f t="shared" si="53"/>
        <v>15000</v>
      </c>
      <c r="L60" s="143">
        <f t="shared" si="54"/>
        <v>0</v>
      </c>
      <c r="M60" s="163">
        <f t="shared" si="74"/>
        <v>1</v>
      </c>
      <c r="O60" s="145">
        <f>SUMIF('2024 AC'!$B$3:$B$250,"*"&amp;$D60&amp;"*",'2024 AC'!C$3:C$250)</f>
        <v>0</v>
      </c>
      <c r="P60" s="146">
        <f>SUMIF('2024 AC'!$B$3:$B$250,"*"&amp;$D60&amp;"*",'2024 AC'!D$3:D$250)</f>
        <v>0</v>
      </c>
      <c r="Q60" s="146">
        <f>SUMIF('2024 AC'!$B$3:$B$250,"*"&amp;$D60&amp;"*",'2024 AC'!E$3:E$250)</f>
        <v>0</v>
      </c>
      <c r="R60" s="146">
        <f>SUMIF('2024 AC'!$B$3:$B$250,"*"&amp;$D60&amp;"*",'2024 AC'!F$3:F$250)</f>
        <v>0</v>
      </c>
      <c r="S60" s="146">
        <f>SUMIF('2024 AC'!$B$3:$B$250,"*"&amp;$D60&amp;"*",'2024 AC'!G$3:G$250)</f>
        <v>0</v>
      </c>
      <c r="T60" s="146">
        <f>SUMIF('2024 AC'!$B$3:$B$250,"*"&amp;$D60&amp;"*",'2024 AC'!H$3:H$250)</f>
        <v>0</v>
      </c>
      <c r="U60" s="146">
        <f>SUMIF('2024 AC'!$B$3:$B$250,"*"&amp;$D60&amp;"*",'2024 AC'!I$3:I$250)</f>
        <v>0</v>
      </c>
      <c r="V60" s="146">
        <f>SUMIF('2024 AC'!$B$3:$B$250,"*"&amp;$D60&amp;"*",'2024 AC'!J$3:J$250)</f>
        <v>0</v>
      </c>
      <c r="W60" s="146">
        <f>SUMIF('2024 AC'!$B$3:$B$250,"*"&amp;$D60&amp;"*",'2024 AC'!K$3:K$250)</f>
        <v>0</v>
      </c>
      <c r="X60" s="146">
        <f>SUMIF('2024 AC'!$B$3:$B$250,"*"&amp;$D60&amp;"*",'2024 AC'!L$3:L$250)</f>
        <v>0</v>
      </c>
      <c r="Y60" s="146">
        <f>SUMIF('2024 AC'!$B$3:$B$250,"*"&amp;$D60&amp;"*",'2024 AC'!M$3:M$250)</f>
        <v>0</v>
      </c>
      <c r="Z60" s="147">
        <f>SUMIF('2024 AC'!$B$3:$B$250,"*"&amp;$D60&amp;"*",'2024 AC'!N$3:N$250)</f>
        <v>0</v>
      </c>
      <c r="AA60" s="148">
        <f t="shared" si="9"/>
        <v>0</v>
      </c>
      <c r="AB60" s="147">
        <f t="shared" si="10"/>
        <v>0</v>
      </c>
      <c r="AC60" s="147">
        <f t="shared" si="11"/>
        <v>0</v>
      </c>
      <c r="AD60" s="147">
        <f t="shared" si="12"/>
        <v>0</v>
      </c>
      <c r="AE60" s="147">
        <f t="shared" si="13"/>
        <v>0</v>
      </c>
      <c r="AF60" s="148">
        <f t="shared" si="14"/>
        <v>0</v>
      </c>
      <c r="AH60" s="145">
        <f>SUMIF('2025 AC'!$B$3:$B$250,"*"&amp;$D60&amp;"*",'2025 AC'!C$3:C$250)</f>
        <v>0</v>
      </c>
      <c r="AI60" s="146">
        <f>SUMIF('2025 AC'!$B$3:$B$250,"*"&amp;$D60&amp;"*",'2025 AC'!D$3:D$250)</f>
        <v>0</v>
      </c>
      <c r="AJ60" s="146">
        <f>SUMIF('2025 AC'!$B$3:$B$250,"*"&amp;$D60&amp;"*",'2025 AC'!E$3:E$250)</f>
        <v>0</v>
      </c>
      <c r="AK60" s="146">
        <f>SUMIF('2025 AC'!$B$3:$B$250,"*"&amp;$D60&amp;"*",'2025 AC'!F$3:F$250)</f>
        <v>0</v>
      </c>
      <c r="AL60" s="146">
        <f>SUMIF('2025 AC'!$B$3:$B$250,"*"&amp;$D60&amp;"*",'2025 AC'!G$3:G$250)</f>
        <v>0</v>
      </c>
      <c r="AM60" s="146">
        <f>SUMIF('2025 AC'!$B$3:$B$250,"*"&amp;$D60&amp;"*",'2025 AC'!H$3:H$250)</f>
        <v>0</v>
      </c>
      <c r="AN60" s="146">
        <f>SUMIF('2025 AC'!$B$3:$B$250,"*"&amp;$D60&amp;"*",'2025 AC'!I$3:I$250)</f>
        <v>0</v>
      </c>
      <c r="AO60" s="146">
        <f>SUMIF('2025 AC'!$B$3:$B$250,"*"&amp;$D60&amp;"*",'2025 AC'!J$3:J$250)</f>
        <v>0</v>
      </c>
      <c r="AP60" s="146">
        <f>SUMIF('2025 AC'!$B$3:$B$250,"*"&amp;$D60&amp;"*",'2025 AC'!K$3:K$250)</f>
        <v>0</v>
      </c>
      <c r="AQ60" s="146">
        <f>SUMIF('2025 AC'!$B$3:$B$250,"*"&amp;$D60&amp;"*",'2025 AC'!L$3:L$250)</f>
        <v>0</v>
      </c>
      <c r="AR60" s="146">
        <f>SUMIF('2025 AC'!$B$3:$B$250,"*"&amp;$D60&amp;"*",'2025 AC'!M$3:M$250)</f>
        <v>0</v>
      </c>
      <c r="AS60" s="146">
        <f>SUMIF('2025 AC'!$B$3:$B$250,"*"&amp;$D60&amp;"*",'2025 AC'!N$3:N$250)</f>
        <v>22500</v>
      </c>
      <c r="AT60" s="149">
        <f t="shared" si="15"/>
        <v>22500</v>
      </c>
      <c r="AU60" s="147">
        <f t="shared" si="16"/>
        <v>0</v>
      </c>
      <c r="AV60" s="147">
        <f t="shared" si="17"/>
        <v>0</v>
      </c>
      <c r="AW60" s="147">
        <f t="shared" si="18"/>
        <v>0</v>
      </c>
      <c r="AX60" s="147">
        <f t="shared" si="19"/>
        <v>22500</v>
      </c>
      <c r="AY60" s="148">
        <f t="shared" si="20"/>
        <v>22500</v>
      </c>
      <c r="BA60" s="145">
        <f>SUMIF('2026 AC'!$B$3:$B$254,"*"&amp;$D60&amp;"*",'2026 AC'!C$3:C$254)</f>
        <v>2500</v>
      </c>
      <c r="BB60" s="146">
        <f>SUMIF('2026 AC'!$B$3:$B$254,"*"&amp;$D60&amp;"*",'2026 AC'!D$3:D$254)</f>
        <v>2500</v>
      </c>
      <c r="BC60" s="146">
        <f>SUMIF('2026 AC'!$B$3:$B$254,"*"&amp;$D60&amp;"*",'2026 AC'!E$3:E$254)</f>
        <v>2500</v>
      </c>
      <c r="BD60" s="146">
        <f>SUMIF('2026 AC'!$B$3:$B$254,"*"&amp;$D60&amp;"*",'2026 AC'!F$3:F$254)</f>
        <v>2500</v>
      </c>
      <c r="BE60" s="146">
        <f>SUMIF('2026 AC'!$B$3:$B$254,"*"&amp;$D60&amp;"*",'2026 AC'!G$3:G$254)</f>
        <v>2500</v>
      </c>
      <c r="BF60" s="146">
        <f>SUMIF('2026 AC'!$B$3:$B$254,"*"&amp;$D60&amp;"*",'2026 AC'!H$3:H$254)</f>
        <v>2500</v>
      </c>
      <c r="BG60" s="146">
        <f>SUMIF('2026 AC'!$B$3:$B$254,"*"&amp;$D60&amp;"*",'2026 AC'!I$3:I$254)</f>
        <v>0</v>
      </c>
      <c r="BH60" s="146">
        <f>SUMIF('2026 AC'!$B$3:$B$254,"*"&amp;$D60&amp;"*",'2026 AC'!J$3:J$254)</f>
        <v>0</v>
      </c>
      <c r="BI60" s="146">
        <f>SUMIF('2026 AC'!$B$3:$B$254,"*"&amp;$D60&amp;"*",'2026 AC'!K$3:K$254)</f>
        <v>0</v>
      </c>
      <c r="BJ60" s="146">
        <f>SUMIF('2026 AC'!$B$3:$B$254,"*"&amp;$D60&amp;"*",'2026 AC'!L$3:L$254)</f>
        <v>0</v>
      </c>
      <c r="BK60" s="146">
        <f>SUMIF('2026 AC'!$B$3:$B$254,"*"&amp;$D60&amp;"*",'2026 AC'!M$3:M$254)</f>
        <v>0</v>
      </c>
      <c r="BL60" s="147">
        <f>SUMIF('2026 AC'!$B$3:$B$254,"*"&amp;$D60&amp;"*",'2026 AC'!N$3:N$254)</f>
        <v>0</v>
      </c>
      <c r="BM60" s="148">
        <f t="shared" si="21"/>
        <v>15000</v>
      </c>
      <c r="BN60" s="147">
        <f t="shared" si="22"/>
        <v>7500</v>
      </c>
      <c r="BO60" s="147">
        <f t="shared" si="23"/>
        <v>7500</v>
      </c>
      <c r="BP60" s="147">
        <f t="shared" si="24"/>
        <v>0</v>
      </c>
      <c r="BQ60" s="147">
        <f t="shared" si="25"/>
        <v>0</v>
      </c>
      <c r="BR60" s="148">
        <f t="shared" si="26"/>
        <v>15000</v>
      </c>
    </row>
    <row r="61" outlineLevel="1">
      <c r="C61" s="34" t="s">
        <v>129</v>
      </c>
      <c r="D61" s="35" t="s">
        <v>130</v>
      </c>
      <c r="E61" s="153">
        <f t="shared" si="49"/>
        <v>2500</v>
      </c>
      <c r="F61" s="153">
        <f t="shared" si="50"/>
        <v>0</v>
      </c>
      <c r="G61" s="154">
        <f t="shared" si="71"/>
        <v>1</v>
      </c>
      <c r="H61" s="153">
        <f t="shared" si="51"/>
        <v>7500</v>
      </c>
      <c r="I61" s="153">
        <f t="shared" si="52"/>
        <v>0</v>
      </c>
      <c r="J61" s="154">
        <f t="shared" si="73"/>
        <v>1</v>
      </c>
      <c r="K61" s="153">
        <f t="shared" si="53"/>
        <v>15000</v>
      </c>
      <c r="L61" s="153">
        <f t="shared" si="54"/>
        <v>0</v>
      </c>
      <c r="M61" s="155">
        <f t="shared" si="74"/>
        <v>1</v>
      </c>
      <c r="O61" s="63">
        <f>SUMIF('2024 AC'!$B$3:$B$250,"*"&amp;$D61&amp;"*",'2024 AC'!C$3:C$250)</f>
        <v>0</v>
      </c>
      <c r="P61" s="53">
        <f>SUMIF('2024 AC'!$B$3:$B$250,"*"&amp;$D61&amp;"*",'2024 AC'!D$3:D$250)</f>
        <v>0</v>
      </c>
      <c r="Q61" s="53">
        <f>SUMIF('2024 AC'!$B$3:$B$250,"*"&amp;$D61&amp;"*",'2024 AC'!E$3:E$250)</f>
        <v>0</v>
      </c>
      <c r="R61" s="53">
        <f>SUMIF('2024 AC'!$B$3:$B$250,"*"&amp;$D61&amp;"*",'2024 AC'!F$3:F$250)</f>
        <v>0</v>
      </c>
      <c r="S61" s="53">
        <f>SUMIF('2024 AC'!$B$3:$B$250,"*"&amp;$D61&amp;"*",'2024 AC'!G$3:G$250)</f>
        <v>0</v>
      </c>
      <c r="T61" s="53">
        <f>SUMIF('2024 AC'!$B$3:$B$250,"*"&amp;$D61&amp;"*",'2024 AC'!H$3:H$250)</f>
        <v>0</v>
      </c>
      <c r="U61" s="53">
        <f>SUMIF('2024 AC'!$B$3:$B$250,"*"&amp;$D61&amp;"*",'2024 AC'!I$3:I$250)</f>
        <v>0</v>
      </c>
      <c r="V61" s="53">
        <f>SUMIF('2024 AC'!$B$3:$B$250,"*"&amp;$D61&amp;"*",'2024 AC'!J$3:J$250)</f>
        <v>0</v>
      </c>
      <c r="W61" s="53">
        <f>SUMIF('2024 AC'!$B$3:$B$250,"*"&amp;$D61&amp;"*",'2024 AC'!K$3:K$250)</f>
        <v>0</v>
      </c>
      <c r="X61" s="53">
        <f>SUMIF('2024 AC'!$B$3:$B$250,"*"&amp;$D61&amp;"*",'2024 AC'!L$3:L$250)</f>
        <v>0</v>
      </c>
      <c r="Y61" s="53">
        <f>SUMIF('2024 AC'!$B$3:$B$250,"*"&amp;$D61&amp;"*",'2024 AC'!M$3:M$250)</f>
        <v>0</v>
      </c>
      <c r="Z61" s="93">
        <f>SUMIF('2024 AC'!$B$3:$B$250,"*"&amp;$D61&amp;"*",'2024 AC'!N$3:N$250)</f>
        <v>0</v>
      </c>
      <c r="AA61" s="92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13"/>
        <v>0</v>
      </c>
      <c r="AF61" s="92">
        <f t="shared" si="14"/>
        <v>0</v>
      </c>
      <c r="AH61" s="63">
        <f>SUMIF('2025 AC'!$B$3:$B$250,"*"&amp;$D61&amp;"*",'2025 AC'!C$3:C$250)</f>
        <v>0</v>
      </c>
      <c r="AI61" s="53">
        <f>SUMIF('2025 AC'!$B$3:$B$250,"*"&amp;$D61&amp;"*",'2025 AC'!D$3:D$250)</f>
        <v>0</v>
      </c>
      <c r="AJ61" s="53">
        <f>SUMIF('2025 AC'!$B$3:$B$250,"*"&amp;$D61&amp;"*",'2025 AC'!E$3:E$250)</f>
        <v>0</v>
      </c>
      <c r="AK61" s="53">
        <f>SUMIF('2025 AC'!$B$3:$B$250,"*"&amp;$D61&amp;"*",'2025 AC'!F$3:F$250)</f>
        <v>0</v>
      </c>
      <c r="AL61" s="53">
        <f>SUMIF('2025 AC'!$B$3:$B$250,"*"&amp;$D61&amp;"*",'2025 AC'!G$3:G$250)</f>
        <v>0</v>
      </c>
      <c r="AM61" s="53">
        <f>SUMIF('2025 AC'!$B$3:$B$250,"*"&amp;$D61&amp;"*",'2025 AC'!H$3:H$250)</f>
        <v>0</v>
      </c>
      <c r="AN61" s="53">
        <f>SUMIF('2025 AC'!$B$3:$B$250,"*"&amp;$D61&amp;"*",'2025 AC'!I$3:I$250)</f>
        <v>0</v>
      </c>
      <c r="AO61" s="53">
        <f>SUMIF('2025 AC'!$B$3:$B$250,"*"&amp;$D61&amp;"*",'2025 AC'!J$3:J$250)</f>
        <v>0</v>
      </c>
      <c r="AP61" s="53">
        <f>SUMIF('2025 AC'!$B$3:$B$250,"*"&amp;$D61&amp;"*",'2025 AC'!K$3:K$250)</f>
        <v>0</v>
      </c>
      <c r="AQ61" s="53">
        <f>SUMIF('2025 AC'!$B$3:$B$250,"*"&amp;$D61&amp;"*",'2025 AC'!L$3:L$250)</f>
        <v>0</v>
      </c>
      <c r="AR61" s="53">
        <f>SUMIF('2025 AC'!$B$3:$B$250,"*"&amp;$D61&amp;"*",'2025 AC'!M$3:M$250)</f>
        <v>0</v>
      </c>
      <c r="AS61" s="53">
        <f>SUMIF('2025 AC'!$B$3:$B$250,"*"&amp;$D61&amp;"*",'2025 AC'!N$3:N$250)</f>
        <v>22500</v>
      </c>
      <c r="AT61" s="94">
        <f t="shared" si="15"/>
        <v>22500</v>
      </c>
      <c r="AU61" s="93">
        <f t="shared" si="16"/>
        <v>0</v>
      </c>
      <c r="AV61" s="93">
        <f t="shared" si="17"/>
        <v>0</v>
      </c>
      <c r="AW61" s="93">
        <f t="shared" si="18"/>
        <v>0</v>
      </c>
      <c r="AX61" s="93">
        <f t="shared" si="19"/>
        <v>22500</v>
      </c>
      <c r="AY61" s="92">
        <f t="shared" si="20"/>
        <v>22500</v>
      </c>
      <c r="BA61" s="63">
        <f>SUMIF('2026 AC'!$B$3:$B$254,"*"&amp;$D61&amp;"*",'2026 AC'!C$3:C$254)</f>
        <v>2500</v>
      </c>
      <c r="BB61" s="53">
        <f>SUMIF('2026 AC'!$B$3:$B$254,"*"&amp;$D61&amp;"*",'2026 AC'!D$3:D$254)</f>
        <v>2500</v>
      </c>
      <c r="BC61" s="53">
        <f>SUMIF('2026 AC'!$B$3:$B$254,"*"&amp;$D61&amp;"*",'2026 AC'!E$3:E$254)</f>
        <v>2500</v>
      </c>
      <c r="BD61" s="53">
        <f>SUMIF('2026 AC'!$B$3:$B$254,"*"&amp;$D61&amp;"*",'2026 AC'!F$3:F$254)</f>
        <v>2500</v>
      </c>
      <c r="BE61" s="53">
        <f>SUMIF('2026 AC'!$B$3:$B$254,"*"&amp;$D61&amp;"*",'2026 AC'!G$3:G$254)</f>
        <v>2500</v>
      </c>
      <c r="BF61" s="53">
        <f>SUMIF('2026 AC'!$B$3:$B$254,"*"&amp;$D61&amp;"*",'2026 AC'!H$3:H$254)</f>
        <v>2500</v>
      </c>
      <c r="BG61" s="53">
        <f>SUMIF('2026 AC'!$B$3:$B$254,"*"&amp;$D61&amp;"*",'2026 AC'!I$3:I$254)</f>
        <v>0</v>
      </c>
      <c r="BH61" s="53">
        <f>SUMIF('2026 AC'!$B$3:$B$254,"*"&amp;$D61&amp;"*",'2026 AC'!J$3:J$254)</f>
        <v>0</v>
      </c>
      <c r="BI61" s="53">
        <f>SUMIF('2026 AC'!$B$3:$B$254,"*"&amp;$D61&amp;"*",'2026 AC'!K$3:K$254)</f>
        <v>0</v>
      </c>
      <c r="BJ61" s="53">
        <f>SUMIF('2026 AC'!$B$3:$B$254,"*"&amp;$D61&amp;"*",'2026 AC'!L$3:L$254)</f>
        <v>0</v>
      </c>
      <c r="BK61" s="53">
        <f>SUMIF('2026 AC'!$B$3:$B$254,"*"&amp;$D61&amp;"*",'2026 AC'!M$3:M$254)</f>
        <v>0</v>
      </c>
      <c r="BL61" s="93">
        <f>SUMIF('2026 AC'!$B$3:$B$254,"*"&amp;$D61&amp;"*",'2026 AC'!N$3:N$254)</f>
        <v>0</v>
      </c>
      <c r="BM61" s="92">
        <f t="shared" si="21"/>
        <v>15000</v>
      </c>
      <c r="BN61" s="93">
        <f t="shared" si="22"/>
        <v>7500</v>
      </c>
      <c r="BO61" s="93">
        <f t="shared" si="23"/>
        <v>7500</v>
      </c>
      <c r="BP61" s="93">
        <f t="shared" si="24"/>
        <v>0</v>
      </c>
      <c r="BQ61" s="93">
        <f t="shared" si="25"/>
        <v>0</v>
      </c>
      <c r="BR61" s="92">
        <f t="shared" si="26"/>
        <v>15000</v>
      </c>
    </row>
    <row r="62">
      <c r="C62" s="34"/>
      <c r="D62" s="35"/>
      <c r="E62" s="153">
        <f t="shared" si="49"/>
        <v>0</v>
      </c>
      <c r="F62" s="153">
        <f t="shared" si="50"/>
        <v>0</v>
      </c>
      <c r="G62" s="154"/>
      <c r="H62" s="153">
        <f t="shared" si="51"/>
        <v>0</v>
      </c>
      <c r="I62" s="153">
        <f t="shared" si="52"/>
        <v>0</v>
      </c>
      <c r="J62" s="154"/>
      <c r="K62" s="153">
        <f t="shared" si="53"/>
        <v>0</v>
      </c>
      <c r="L62" s="153">
        <f t="shared" si="54"/>
        <v>0</v>
      </c>
      <c r="M62" s="155"/>
      <c r="O62" s="6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93"/>
      <c r="AA62" s="92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13"/>
        <v>0</v>
      </c>
      <c r="AF62" s="92">
        <f t="shared" si="14"/>
        <v>0</v>
      </c>
      <c r="AH62" s="6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94"/>
      <c r="AU62" s="93">
        <f t="shared" si="16"/>
        <v>0</v>
      </c>
      <c r="AV62" s="93">
        <f t="shared" si="17"/>
        <v>0</v>
      </c>
      <c r="AW62" s="93">
        <f t="shared" si="18"/>
        <v>0</v>
      </c>
      <c r="AX62" s="93">
        <f t="shared" si="19"/>
        <v>0</v>
      </c>
      <c r="AY62" s="92">
        <f t="shared" si="20"/>
        <v>0</v>
      </c>
      <c r="BA62" s="6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93"/>
      <c r="BM62" s="92"/>
      <c r="BN62" s="93">
        <f t="shared" si="22"/>
        <v>0</v>
      </c>
      <c r="BO62" s="93">
        <f t="shared" si="23"/>
        <v>0</v>
      </c>
      <c r="BP62" s="93">
        <f t="shared" si="24"/>
        <v>0</v>
      </c>
      <c r="BQ62" s="93">
        <f t="shared" si="25"/>
        <v>0</v>
      </c>
      <c r="BR62" s="92">
        <f t="shared" si="26"/>
        <v>0</v>
      </c>
    </row>
    <row r="63" s="164" customFormat="1">
      <c r="C63" s="165" t="s">
        <v>131</v>
      </c>
      <c r="D63" s="166"/>
      <c r="E63" s="167">
        <f t="shared" si="49"/>
        <v>0</v>
      </c>
      <c r="F63" s="167">
        <f t="shared" si="50"/>
        <v>0</v>
      </c>
      <c r="G63" s="154"/>
      <c r="H63" s="167">
        <f t="shared" si="51"/>
        <v>0</v>
      </c>
      <c r="I63" s="167">
        <f t="shared" si="52"/>
        <v>0</v>
      </c>
      <c r="J63" s="154"/>
      <c r="K63" s="167">
        <f t="shared" si="53"/>
        <v>0</v>
      </c>
      <c r="L63" s="167">
        <f t="shared" si="54"/>
        <v>0</v>
      </c>
      <c r="M63" s="155"/>
      <c r="O63" s="168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70"/>
      <c r="AA63" s="171">
        <f t="shared" si="9"/>
        <v>0</v>
      </c>
      <c r="AB63" s="170">
        <f t="shared" si="10"/>
        <v>0</v>
      </c>
      <c r="AC63" s="170">
        <f t="shared" si="11"/>
        <v>0</v>
      </c>
      <c r="AD63" s="170">
        <f t="shared" si="12"/>
        <v>0</v>
      </c>
      <c r="AE63" s="170">
        <f t="shared" si="13"/>
        <v>0</v>
      </c>
      <c r="AF63" s="171">
        <f t="shared" si="14"/>
        <v>0</v>
      </c>
      <c r="AH63" s="168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72"/>
      <c r="AU63" s="170">
        <f t="shared" si="16"/>
        <v>0</v>
      </c>
      <c r="AV63" s="170">
        <f t="shared" si="17"/>
        <v>0</v>
      </c>
      <c r="AW63" s="170">
        <f t="shared" si="18"/>
        <v>0</v>
      </c>
      <c r="AX63" s="170">
        <f t="shared" si="19"/>
        <v>0</v>
      </c>
      <c r="AY63" s="171">
        <f t="shared" si="20"/>
        <v>0</v>
      </c>
      <c r="BA63" s="168"/>
      <c r="BB63" s="169"/>
      <c r="BC63" s="169"/>
      <c r="BD63" s="169"/>
      <c r="BE63" s="169"/>
      <c r="BF63" s="169"/>
      <c r="BG63" s="169"/>
      <c r="BH63" s="169"/>
      <c r="BI63" s="169"/>
      <c r="BJ63" s="169"/>
      <c r="BK63" s="169"/>
      <c r="BL63" s="170"/>
      <c r="BM63" s="171"/>
      <c r="BN63" s="170">
        <f t="shared" si="22"/>
        <v>0</v>
      </c>
      <c r="BO63" s="170">
        <f t="shared" si="23"/>
        <v>0</v>
      </c>
      <c r="BP63" s="170">
        <f t="shared" si="24"/>
        <v>0</v>
      </c>
      <c r="BQ63" s="170">
        <f t="shared" si="25"/>
        <v>0</v>
      </c>
      <c r="BR63" s="171">
        <f t="shared" si="26"/>
        <v>0</v>
      </c>
    </row>
    <row r="64" s="164" customFormat="1">
      <c r="C64" s="165"/>
      <c r="D64" s="166"/>
      <c r="E64" s="167">
        <f t="shared" si="49"/>
        <v>0</v>
      </c>
      <c r="F64" s="167">
        <f t="shared" si="50"/>
        <v>0</v>
      </c>
      <c r="G64" s="154"/>
      <c r="H64" s="167">
        <f t="shared" si="51"/>
        <v>0</v>
      </c>
      <c r="I64" s="167">
        <f t="shared" si="52"/>
        <v>0</v>
      </c>
      <c r="J64" s="154"/>
      <c r="K64" s="167">
        <f t="shared" si="53"/>
        <v>0</v>
      </c>
      <c r="L64" s="167">
        <f t="shared" si="54"/>
        <v>0</v>
      </c>
      <c r="M64" s="155"/>
      <c r="O64" s="168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70"/>
      <c r="AA64" s="171">
        <f t="shared" si="9"/>
        <v>0</v>
      </c>
      <c r="AB64" s="170">
        <f t="shared" si="10"/>
        <v>0</v>
      </c>
      <c r="AC64" s="170">
        <f t="shared" si="11"/>
        <v>0</v>
      </c>
      <c r="AD64" s="170">
        <f t="shared" si="12"/>
        <v>0</v>
      </c>
      <c r="AE64" s="170">
        <f t="shared" si="13"/>
        <v>0</v>
      </c>
      <c r="AF64" s="171">
        <f t="shared" si="14"/>
        <v>0</v>
      </c>
      <c r="AH64" s="168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72"/>
      <c r="AU64" s="170">
        <f t="shared" si="16"/>
        <v>0</v>
      </c>
      <c r="AV64" s="170">
        <f t="shared" si="17"/>
        <v>0</v>
      </c>
      <c r="AW64" s="170">
        <f t="shared" si="18"/>
        <v>0</v>
      </c>
      <c r="AX64" s="170">
        <f t="shared" si="19"/>
        <v>0</v>
      </c>
      <c r="AY64" s="171">
        <f t="shared" si="20"/>
        <v>0</v>
      </c>
      <c r="BA64" s="168"/>
      <c r="BB64" s="169"/>
      <c r="BC64" s="169"/>
      <c r="BD64" s="169"/>
      <c r="BE64" s="169"/>
      <c r="BF64" s="169"/>
      <c r="BG64" s="169"/>
      <c r="BH64" s="169"/>
      <c r="BI64" s="169"/>
      <c r="BJ64" s="169"/>
      <c r="BK64" s="169"/>
      <c r="BL64" s="170"/>
      <c r="BM64" s="171"/>
      <c r="BN64" s="170">
        <f t="shared" si="22"/>
        <v>0</v>
      </c>
      <c r="BO64" s="170">
        <f t="shared" si="23"/>
        <v>0</v>
      </c>
      <c r="BP64" s="170">
        <f t="shared" si="24"/>
        <v>0</v>
      </c>
      <c r="BQ64" s="170">
        <f t="shared" si="25"/>
        <v>0</v>
      </c>
      <c r="BR64" s="171">
        <f t="shared" si="26"/>
        <v>0</v>
      </c>
    </row>
    <row r="65" s="137" customFormat="1">
      <c r="C65" s="173" t="s">
        <v>132</v>
      </c>
      <c r="D65" s="139" t="s">
        <v>133</v>
      </c>
      <c r="E65" s="143">
        <f t="shared" si="49"/>
        <v>0</v>
      </c>
      <c r="F65" s="143">
        <f t="shared" si="50"/>
        <v>0</v>
      </c>
      <c r="G65" s="161">
        <f t="shared" ref="G65:G68" si="75">IFERROR((E65-F65)/F65,0)</f>
        <v>0</v>
      </c>
      <c r="H65" s="143">
        <f t="shared" si="51"/>
        <v>0</v>
      </c>
      <c r="I65" s="143">
        <f t="shared" si="52"/>
        <v>0</v>
      </c>
      <c r="J65" s="161">
        <f t="shared" ref="J65:J68" si="76">IFERROR((H65-I65)/I65,0)</f>
        <v>0</v>
      </c>
      <c r="K65" s="143">
        <f t="shared" si="53"/>
        <v>0</v>
      </c>
      <c r="L65" s="143">
        <f t="shared" si="54"/>
        <v>0</v>
      </c>
      <c r="M65" s="163">
        <f t="shared" ref="M65:M68" si="77">IFERROR((K65-L65)/L65,0)</f>
        <v>0</v>
      </c>
      <c r="O65" s="145">
        <f>SUMIF('2024 AC'!$B$3:$B$250,"*"&amp;$D65&amp;"*",'2024 AC'!C$3:C$250)</f>
        <v>0</v>
      </c>
      <c r="P65" s="146">
        <f>SUMIF('2024 AC'!$B$3:$B$250,"*"&amp;$D65&amp;"*",'2024 AC'!D$3:D$250)</f>
        <v>0</v>
      </c>
      <c r="Q65" s="146">
        <f>SUMIF('2024 AC'!$B$3:$B$250,"*"&amp;$D65&amp;"*",'2024 AC'!E$3:E$250)</f>
        <v>0</v>
      </c>
      <c r="R65" s="146">
        <f>SUMIF('2024 AC'!$B$3:$B$250,"*"&amp;$D65&amp;"*",'2024 AC'!F$3:F$250)</f>
        <v>0</v>
      </c>
      <c r="S65" s="146">
        <f>SUMIF('2024 AC'!$B$3:$B$250,"*"&amp;$D65&amp;"*",'2024 AC'!G$3:G$250)</f>
        <v>0</v>
      </c>
      <c r="T65" s="146">
        <f>SUMIF('2024 AC'!$B$3:$B$250,"*"&amp;$D65&amp;"*",'2024 AC'!H$3:H$250)</f>
        <v>0</v>
      </c>
      <c r="U65" s="146">
        <f>SUMIF('2024 AC'!$B$3:$B$250,"*"&amp;$D65&amp;"*",'2024 AC'!I$3:I$250)</f>
        <v>0</v>
      </c>
      <c r="V65" s="146">
        <f>SUMIF('2024 AC'!$B$3:$B$250,"*"&amp;$D65&amp;"*",'2024 AC'!J$3:J$250)</f>
        <v>0</v>
      </c>
      <c r="W65" s="146">
        <f>SUMIF('2024 AC'!$B$3:$B$250,"*"&amp;$D65&amp;"*",'2024 AC'!K$3:K$250)</f>
        <v>0</v>
      </c>
      <c r="X65" s="146">
        <f>SUMIF('2024 AC'!$B$3:$B$250,"*"&amp;$D65&amp;"*",'2024 AC'!L$3:L$250)</f>
        <v>0</v>
      </c>
      <c r="Y65" s="146">
        <f>SUMIF('2024 AC'!$B$3:$B$250,"*"&amp;$D65&amp;"*",'2024 AC'!M$3:M$250)</f>
        <v>0</v>
      </c>
      <c r="Z65" s="147">
        <f>SUMIF('2024 AC'!$B$3:$B$250,"*"&amp;$D65&amp;"*",'2024 AC'!N$3:N$250)</f>
        <v>0</v>
      </c>
      <c r="AA65" s="148">
        <f t="shared" si="9"/>
        <v>0</v>
      </c>
      <c r="AB65" s="147">
        <f t="shared" si="10"/>
        <v>0</v>
      </c>
      <c r="AC65" s="147">
        <f t="shared" si="11"/>
        <v>0</v>
      </c>
      <c r="AD65" s="147">
        <f t="shared" si="12"/>
        <v>0</v>
      </c>
      <c r="AE65" s="147">
        <f t="shared" si="13"/>
        <v>0</v>
      </c>
      <c r="AF65" s="148">
        <f t="shared" si="14"/>
        <v>0</v>
      </c>
      <c r="AH65" s="145">
        <f>SUMIF('2025 AC'!$B$3:$B$250,"*"&amp;$D65&amp;"*",'2025 AC'!C$3:C$250)</f>
        <v>0</v>
      </c>
      <c r="AI65" s="146">
        <f>SUMIF('2025 AC'!$B$3:$B$250,"*"&amp;$D65&amp;"*",'2025 AC'!D$3:D$250)</f>
        <v>0</v>
      </c>
      <c r="AJ65" s="146">
        <f>SUMIF('2025 AC'!$B$3:$B$250,"*"&amp;$D65&amp;"*",'2025 AC'!E$3:E$250)</f>
        <v>0</v>
      </c>
      <c r="AK65" s="146">
        <f>SUMIF('2025 AC'!$B$3:$B$250,"*"&amp;$D65&amp;"*",'2025 AC'!F$3:F$250)</f>
        <v>0</v>
      </c>
      <c r="AL65" s="146">
        <f>SUMIF('2025 AC'!$B$3:$B$250,"*"&amp;$D65&amp;"*",'2025 AC'!G$3:G$250)</f>
        <v>0</v>
      </c>
      <c r="AM65" s="146">
        <f>SUMIF('2025 AC'!$B$3:$B$250,"*"&amp;$D65&amp;"*",'2025 AC'!H$3:H$250)</f>
        <v>0</v>
      </c>
      <c r="AN65" s="146">
        <f>SUMIF('2025 AC'!$B$3:$B$250,"*"&amp;$D65&amp;"*",'2025 AC'!I$3:I$250)</f>
        <v>0</v>
      </c>
      <c r="AO65" s="146">
        <f>SUMIF('2025 AC'!$B$3:$B$250,"*"&amp;$D65&amp;"*",'2025 AC'!J$3:J$250)</f>
        <v>0</v>
      </c>
      <c r="AP65" s="146">
        <f>SUMIF('2025 AC'!$B$3:$B$250,"*"&amp;$D65&amp;"*",'2025 AC'!K$3:K$250)</f>
        <v>0</v>
      </c>
      <c r="AQ65" s="146">
        <f>SUMIF('2025 AC'!$B$3:$B$250,"*"&amp;$D65&amp;"*",'2025 AC'!L$3:L$250)</f>
        <v>0</v>
      </c>
      <c r="AR65" s="146">
        <f>SUMIF('2025 AC'!$B$3:$B$250,"*"&amp;$D65&amp;"*",'2025 AC'!M$3:M$250)</f>
        <v>0</v>
      </c>
      <c r="AS65" s="146">
        <f>SUMIF('2025 AC'!$B$3:$B$250,"*"&amp;$D65&amp;"*",'2025 AC'!N$3:N$250)</f>
        <v>0</v>
      </c>
      <c r="AT65" s="149">
        <f t="shared" si="15"/>
        <v>0</v>
      </c>
      <c r="AU65" s="147">
        <f t="shared" si="16"/>
        <v>0</v>
      </c>
      <c r="AV65" s="147">
        <f t="shared" si="17"/>
        <v>0</v>
      </c>
      <c r="AW65" s="147">
        <f t="shared" si="18"/>
        <v>0</v>
      </c>
      <c r="AX65" s="147">
        <f t="shared" si="19"/>
        <v>0</v>
      </c>
      <c r="AY65" s="148">
        <f t="shared" si="20"/>
        <v>0</v>
      </c>
      <c r="BA65" s="145">
        <f>SUMIF('2026 AC'!$B$3:$B$254,"*"&amp;$D65&amp;"*",'2026 AC'!C$3:C$254)</f>
        <v>0</v>
      </c>
      <c r="BB65" s="146">
        <f>SUMIF('2026 AC'!$B$3:$B$254,"*"&amp;$D65&amp;"*",'2026 AC'!D$3:D$254)</f>
        <v>0</v>
      </c>
      <c r="BC65" s="146">
        <f>SUMIF('2026 AC'!$B$3:$B$254,"*"&amp;$D65&amp;"*",'2026 AC'!E$3:E$254)</f>
        <v>0</v>
      </c>
      <c r="BD65" s="146">
        <f>SUMIF('2026 AC'!$B$3:$B$254,"*"&amp;$D65&amp;"*",'2026 AC'!F$3:F$254)</f>
        <v>0</v>
      </c>
      <c r="BE65" s="146">
        <f>SUMIF('2026 AC'!$B$3:$B$254,"*"&amp;$D65&amp;"*",'2026 AC'!G$3:G$254)</f>
        <v>0</v>
      </c>
      <c r="BF65" s="146">
        <f>SUMIF('2026 AC'!$B$3:$B$254,"*"&amp;$D65&amp;"*",'2026 AC'!H$3:H$254)</f>
        <v>0</v>
      </c>
      <c r="BG65" s="146">
        <f>SUMIF('2026 AC'!$B$3:$B$254,"*"&amp;$D65&amp;"*",'2026 AC'!I$3:I$254)</f>
        <v>0</v>
      </c>
      <c r="BH65" s="146">
        <f>SUMIF('2026 AC'!$B$3:$B$254,"*"&amp;$D65&amp;"*",'2026 AC'!J$3:J$254)</f>
        <v>0</v>
      </c>
      <c r="BI65" s="146">
        <f>SUMIF('2026 AC'!$B$3:$B$254,"*"&amp;$D65&amp;"*",'2026 AC'!K$3:K$254)</f>
        <v>0</v>
      </c>
      <c r="BJ65" s="146">
        <f>SUMIF('2026 AC'!$B$3:$B$254,"*"&amp;$D65&amp;"*",'2026 AC'!L$3:L$254)</f>
        <v>0</v>
      </c>
      <c r="BK65" s="146">
        <f>SUMIF('2026 AC'!$B$3:$B$254,"*"&amp;$D65&amp;"*",'2026 AC'!M$3:M$254)</f>
        <v>0</v>
      </c>
      <c r="BL65" s="147">
        <f>SUMIF('2026 AC'!$B$3:$B$254,"*"&amp;$D65&amp;"*",'2026 AC'!N$3:N$254)</f>
        <v>0</v>
      </c>
      <c r="BM65" s="148">
        <f t="shared" si="21"/>
        <v>0</v>
      </c>
      <c r="BN65" s="147">
        <f t="shared" si="22"/>
        <v>0</v>
      </c>
      <c r="BO65" s="147">
        <f t="shared" si="23"/>
        <v>0</v>
      </c>
      <c r="BP65" s="147">
        <f t="shared" si="24"/>
        <v>0</v>
      </c>
      <c r="BQ65" s="147">
        <f t="shared" si="25"/>
        <v>0</v>
      </c>
      <c r="BR65" s="148">
        <f t="shared" si="26"/>
        <v>0</v>
      </c>
    </row>
    <row r="66" s="137" customFormat="1">
      <c r="C66" s="173" t="s">
        <v>134</v>
      </c>
      <c r="D66" s="139" t="s">
        <v>135</v>
      </c>
      <c r="E66" s="143">
        <f t="shared" si="49"/>
        <v>0</v>
      </c>
      <c r="F66" s="143">
        <f t="shared" si="50"/>
        <v>0</v>
      </c>
      <c r="G66" s="161">
        <f t="shared" si="75"/>
        <v>0</v>
      </c>
      <c r="H66" s="143">
        <f t="shared" si="51"/>
        <v>0</v>
      </c>
      <c r="I66" s="143">
        <f t="shared" si="52"/>
        <v>0</v>
      </c>
      <c r="J66" s="161">
        <f t="shared" si="76"/>
        <v>0</v>
      </c>
      <c r="K66" s="143">
        <f t="shared" si="53"/>
        <v>0</v>
      </c>
      <c r="L66" s="143">
        <f t="shared" si="54"/>
        <v>0</v>
      </c>
      <c r="M66" s="163">
        <f t="shared" si="77"/>
        <v>0</v>
      </c>
      <c r="O66" s="145">
        <f>SUMIF('2024 AC'!$B$3:$B$250,"*"&amp;$D66&amp;"*",'2024 AC'!C$3:C$250)</f>
        <v>0</v>
      </c>
      <c r="P66" s="146">
        <f>SUMIF('2024 AC'!$B$3:$B$250,"*"&amp;$D66&amp;"*",'2024 AC'!D$3:D$250)</f>
        <v>0</v>
      </c>
      <c r="Q66" s="146">
        <f>SUMIF('2024 AC'!$B$3:$B$250,"*"&amp;$D66&amp;"*",'2024 AC'!E$3:E$250)</f>
        <v>0</v>
      </c>
      <c r="R66" s="146">
        <f>SUMIF('2024 AC'!$B$3:$B$250,"*"&amp;$D66&amp;"*",'2024 AC'!F$3:F$250)</f>
        <v>0</v>
      </c>
      <c r="S66" s="146">
        <f>SUMIF('2024 AC'!$B$3:$B$250,"*"&amp;$D66&amp;"*",'2024 AC'!G$3:G$250)</f>
        <v>0</v>
      </c>
      <c r="T66" s="146">
        <f>SUMIF('2024 AC'!$B$3:$B$250,"*"&amp;$D66&amp;"*",'2024 AC'!H$3:H$250)</f>
        <v>0</v>
      </c>
      <c r="U66" s="146">
        <f>SUMIF('2024 AC'!$B$3:$B$250,"*"&amp;$D66&amp;"*",'2024 AC'!I$3:I$250)</f>
        <v>0</v>
      </c>
      <c r="V66" s="146">
        <f>SUMIF('2024 AC'!$B$3:$B$250,"*"&amp;$D66&amp;"*",'2024 AC'!J$3:J$250)</f>
        <v>0</v>
      </c>
      <c r="W66" s="146">
        <f>SUMIF('2024 AC'!$B$3:$B$250,"*"&amp;$D66&amp;"*",'2024 AC'!K$3:K$250)</f>
        <v>0</v>
      </c>
      <c r="X66" s="146">
        <f>SUMIF('2024 AC'!$B$3:$B$250,"*"&amp;$D66&amp;"*",'2024 AC'!L$3:L$250)</f>
        <v>0</v>
      </c>
      <c r="Y66" s="146">
        <f>SUMIF('2024 AC'!$B$3:$B$250,"*"&amp;$D66&amp;"*",'2024 AC'!M$3:M$250)</f>
        <v>0</v>
      </c>
      <c r="Z66" s="147">
        <f>SUMIF('2024 AC'!$B$3:$B$250,"*"&amp;$D66&amp;"*",'2024 AC'!N$3:N$250)</f>
        <v>0</v>
      </c>
      <c r="AA66" s="148">
        <f t="shared" si="9"/>
        <v>0</v>
      </c>
      <c r="AB66" s="147">
        <f t="shared" si="10"/>
        <v>0</v>
      </c>
      <c r="AC66" s="147">
        <f t="shared" si="11"/>
        <v>0</v>
      </c>
      <c r="AD66" s="147">
        <f t="shared" si="12"/>
        <v>0</v>
      </c>
      <c r="AE66" s="147">
        <f t="shared" si="13"/>
        <v>0</v>
      </c>
      <c r="AF66" s="148">
        <f t="shared" si="14"/>
        <v>0</v>
      </c>
      <c r="AH66" s="145">
        <f>SUMIF('2025 AC'!$B$3:$B$250,"*"&amp;$D66&amp;"*",'2025 AC'!C$3:C$250)</f>
        <v>0</v>
      </c>
      <c r="AI66" s="146">
        <f>SUMIF('2025 AC'!$B$3:$B$250,"*"&amp;$D66&amp;"*",'2025 AC'!D$3:D$250)</f>
        <v>0</v>
      </c>
      <c r="AJ66" s="146">
        <f>SUMIF('2025 AC'!$B$3:$B$250,"*"&amp;$D66&amp;"*",'2025 AC'!E$3:E$250)</f>
        <v>0</v>
      </c>
      <c r="AK66" s="146">
        <f>SUMIF('2025 AC'!$B$3:$B$250,"*"&amp;$D66&amp;"*",'2025 AC'!F$3:F$250)</f>
        <v>0</v>
      </c>
      <c r="AL66" s="146">
        <f>SUMIF('2025 AC'!$B$3:$B$250,"*"&amp;$D66&amp;"*",'2025 AC'!G$3:G$250)</f>
        <v>0</v>
      </c>
      <c r="AM66" s="146">
        <f>SUMIF('2025 AC'!$B$3:$B$250,"*"&amp;$D66&amp;"*",'2025 AC'!H$3:H$250)</f>
        <v>0</v>
      </c>
      <c r="AN66" s="146">
        <f>SUMIF('2025 AC'!$B$3:$B$250,"*"&amp;$D66&amp;"*",'2025 AC'!I$3:I$250)</f>
        <v>0</v>
      </c>
      <c r="AO66" s="146">
        <f>SUMIF('2025 AC'!$B$3:$B$250,"*"&amp;$D66&amp;"*",'2025 AC'!J$3:J$250)</f>
        <v>0</v>
      </c>
      <c r="AP66" s="146">
        <f>SUMIF('2025 AC'!$B$3:$B$250,"*"&amp;$D66&amp;"*",'2025 AC'!K$3:K$250)</f>
        <v>0</v>
      </c>
      <c r="AQ66" s="146">
        <f>SUMIF('2025 AC'!$B$3:$B$250,"*"&amp;$D66&amp;"*",'2025 AC'!L$3:L$250)</f>
        <v>0</v>
      </c>
      <c r="AR66" s="146">
        <f>SUMIF('2025 AC'!$B$3:$B$250,"*"&amp;$D66&amp;"*",'2025 AC'!M$3:M$250)</f>
        <v>0</v>
      </c>
      <c r="AS66" s="146">
        <f>SUMIF('2025 AC'!$B$3:$B$250,"*"&amp;$D66&amp;"*",'2025 AC'!N$3:N$250)</f>
        <v>0</v>
      </c>
      <c r="AT66" s="149">
        <f t="shared" si="15"/>
        <v>0</v>
      </c>
      <c r="AU66" s="147">
        <f t="shared" si="16"/>
        <v>0</v>
      </c>
      <c r="AV66" s="147">
        <f t="shared" si="17"/>
        <v>0</v>
      </c>
      <c r="AW66" s="147">
        <f t="shared" si="18"/>
        <v>0</v>
      </c>
      <c r="AX66" s="147">
        <f t="shared" si="19"/>
        <v>0</v>
      </c>
      <c r="AY66" s="148">
        <f t="shared" si="20"/>
        <v>0</v>
      </c>
      <c r="BA66" s="145">
        <f>SUMIF('2026 AC'!$B$3:$B$254,"*"&amp;$D66&amp;"*",'2026 AC'!C$3:C$254)</f>
        <v>0</v>
      </c>
      <c r="BB66" s="146">
        <f>SUMIF('2026 AC'!$B$3:$B$254,"*"&amp;$D66&amp;"*",'2026 AC'!D$3:D$254)</f>
        <v>0</v>
      </c>
      <c r="BC66" s="146">
        <f>SUMIF('2026 AC'!$B$3:$B$254,"*"&amp;$D66&amp;"*",'2026 AC'!E$3:E$254)</f>
        <v>0</v>
      </c>
      <c r="BD66" s="146">
        <f>SUMIF('2026 AC'!$B$3:$B$254,"*"&amp;$D66&amp;"*",'2026 AC'!F$3:F$254)</f>
        <v>0</v>
      </c>
      <c r="BE66" s="146">
        <f>SUMIF('2026 AC'!$B$3:$B$254,"*"&amp;$D66&amp;"*",'2026 AC'!G$3:G$254)</f>
        <v>0</v>
      </c>
      <c r="BF66" s="146">
        <f>SUMIF('2026 AC'!$B$3:$B$254,"*"&amp;$D66&amp;"*",'2026 AC'!H$3:H$254)</f>
        <v>0</v>
      </c>
      <c r="BG66" s="146">
        <f>SUMIF('2026 AC'!$B$3:$B$254,"*"&amp;$D66&amp;"*",'2026 AC'!I$3:I$254)</f>
        <v>0</v>
      </c>
      <c r="BH66" s="146">
        <f>SUMIF('2026 AC'!$B$3:$B$254,"*"&amp;$D66&amp;"*",'2026 AC'!J$3:J$254)</f>
        <v>0</v>
      </c>
      <c r="BI66" s="146">
        <f>SUMIF('2026 AC'!$B$3:$B$254,"*"&amp;$D66&amp;"*",'2026 AC'!K$3:K$254)</f>
        <v>0</v>
      </c>
      <c r="BJ66" s="146">
        <f>SUMIF('2026 AC'!$B$3:$B$254,"*"&amp;$D66&amp;"*",'2026 AC'!L$3:L$254)</f>
        <v>0</v>
      </c>
      <c r="BK66" s="146">
        <f>SUMIF('2026 AC'!$B$3:$B$254,"*"&amp;$D66&amp;"*",'2026 AC'!M$3:M$254)</f>
        <v>0</v>
      </c>
      <c r="BL66" s="147">
        <f>SUMIF('2026 AC'!$B$3:$B$254,"*"&amp;$D66&amp;"*",'2026 AC'!N$3:N$254)</f>
        <v>0</v>
      </c>
      <c r="BM66" s="148">
        <f t="shared" si="21"/>
        <v>0</v>
      </c>
      <c r="BN66" s="147">
        <f t="shared" si="22"/>
        <v>0</v>
      </c>
      <c r="BO66" s="147">
        <f t="shared" si="23"/>
        <v>0</v>
      </c>
      <c r="BP66" s="147">
        <f t="shared" si="24"/>
        <v>0</v>
      </c>
      <c r="BQ66" s="147">
        <f t="shared" si="25"/>
        <v>0</v>
      </c>
      <c r="BR66" s="148">
        <f t="shared" si="26"/>
        <v>0</v>
      </c>
    </row>
    <row r="67" outlineLevel="1">
      <c r="C67" s="34" t="s">
        <v>136</v>
      </c>
      <c r="D67" s="35" t="s">
        <v>137</v>
      </c>
      <c r="E67" s="153">
        <f t="shared" si="49"/>
        <v>0</v>
      </c>
      <c r="F67" s="153">
        <f t="shared" si="50"/>
        <v>0</v>
      </c>
      <c r="G67" s="154">
        <f t="shared" si="75"/>
        <v>0</v>
      </c>
      <c r="H67" s="153">
        <f t="shared" si="51"/>
        <v>0</v>
      </c>
      <c r="I67" s="153">
        <f t="shared" si="52"/>
        <v>0</v>
      </c>
      <c r="J67" s="154">
        <f t="shared" si="76"/>
        <v>0</v>
      </c>
      <c r="K67" s="153">
        <f t="shared" si="53"/>
        <v>0</v>
      </c>
      <c r="L67" s="153">
        <f t="shared" si="54"/>
        <v>0</v>
      </c>
      <c r="M67" s="155">
        <f t="shared" si="77"/>
        <v>0</v>
      </c>
      <c r="O67" s="63">
        <f>SUMIF('2024 AC'!$B$3:$B$250,"*"&amp;$D67&amp;"*",'2024 AC'!C$3:C$250)</f>
        <v>0</v>
      </c>
      <c r="P67" s="53">
        <f>SUMIF('2024 AC'!$B$3:$B$250,"*"&amp;$D67&amp;"*",'2024 AC'!D$3:D$250)</f>
        <v>0</v>
      </c>
      <c r="Q67" s="53">
        <f>SUMIF('2024 AC'!$B$3:$B$250,"*"&amp;$D67&amp;"*",'2024 AC'!E$3:E$250)</f>
        <v>0</v>
      </c>
      <c r="R67" s="53">
        <f>SUMIF('2024 AC'!$B$3:$B$250,"*"&amp;$D67&amp;"*",'2024 AC'!F$3:F$250)</f>
        <v>0</v>
      </c>
      <c r="S67" s="53">
        <f>SUMIF('2024 AC'!$B$3:$B$250,"*"&amp;$D67&amp;"*",'2024 AC'!G$3:G$250)</f>
        <v>0</v>
      </c>
      <c r="T67" s="53">
        <f>SUMIF('2024 AC'!$B$3:$B$250,"*"&amp;$D67&amp;"*",'2024 AC'!H$3:H$250)</f>
        <v>0</v>
      </c>
      <c r="U67" s="53">
        <f>SUMIF('2024 AC'!$B$3:$B$250,"*"&amp;$D67&amp;"*",'2024 AC'!I$3:I$250)</f>
        <v>0</v>
      </c>
      <c r="V67" s="53">
        <f>SUMIF('2024 AC'!$B$3:$B$250,"*"&amp;$D67&amp;"*",'2024 AC'!J$3:J$250)</f>
        <v>0</v>
      </c>
      <c r="W67" s="53">
        <f>SUMIF('2024 AC'!$B$3:$B$250,"*"&amp;$D67&amp;"*",'2024 AC'!K$3:K$250)</f>
        <v>0</v>
      </c>
      <c r="X67" s="53">
        <f>SUMIF('2024 AC'!$B$3:$B$250,"*"&amp;$D67&amp;"*",'2024 AC'!L$3:L$250)</f>
        <v>0</v>
      </c>
      <c r="Y67" s="53">
        <f>SUMIF('2024 AC'!$B$3:$B$250,"*"&amp;$D67&amp;"*",'2024 AC'!M$3:M$250)</f>
        <v>0</v>
      </c>
      <c r="Z67" s="93">
        <f>SUMIF('2024 AC'!$B$3:$B$250,"*"&amp;$D67&amp;"*",'2024 AC'!N$3:N$250)</f>
        <v>0</v>
      </c>
      <c r="AA67" s="92">
        <f t="shared" si="9"/>
        <v>0</v>
      </c>
      <c r="AB67" s="93">
        <f t="shared" si="10"/>
        <v>0</v>
      </c>
      <c r="AC67" s="93">
        <f t="shared" si="11"/>
        <v>0</v>
      </c>
      <c r="AD67" s="93">
        <f t="shared" si="12"/>
        <v>0</v>
      </c>
      <c r="AE67" s="93">
        <f t="shared" si="13"/>
        <v>0</v>
      </c>
      <c r="AF67" s="92">
        <f t="shared" si="14"/>
        <v>0</v>
      </c>
      <c r="AH67" s="63">
        <f>SUMIF('2025 AC'!$B$3:$B$250,"*"&amp;$D67&amp;"*",'2025 AC'!C$3:C$250)</f>
        <v>0</v>
      </c>
      <c r="AI67" s="53">
        <f>SUMIF('2025 AC'!$B$3:$B$250,"*"&amp;$D67&amp;"*",'2025 AC'!D$3:D$250)</f>
        <v>0</v>
      </c>
      <c r="AJ67" s="53">
        <f>SUMIF('2025 AC'!$B$3:$B$250,"*"&amp;$D67&amp;"*",'2025 AC'!E$3:E$250)</f>
        <v>0</v>
      </c>
      <c r="AK67" s="53">
        <f>SUMIF('2025 AC'!$B$3:$B$250,"*"&amp;$D67&amp;"*",'2025 AC'!F$3:F$250)</f>
        <v>0</v>
      </c>
      <c r="AL67" s="53">
        <f>SUMIF('2025 AC'!$B$3:$B$250,"*"&amp;$D67&amp;"*",'2025 AC'!G$3:G$250)</f>
        <v>0</v>
      </c>
      <c r="AM67" s="53">
        <f>SUMIF('2025 AC'!$B$3:$B$250,"*"&amp;$D67&amp;"*",'2025 AC'!H$3:H$250)</f>
        <v>0</v>
      </c>
      <c r="AN67" s="53">
        <f>SUMIF('2025 AC'!$B$3:$B$250,"*"&amp;$D67&amp;"*",'2025 AC'!I$3:I$250)</f>
        <v>0</v>
      </c>
      <c r="AO67" s="53">
        <f>SUMIF('2025 AC'!$B$3:$B$250,"*"&amp;$D67&amp;"*",'2025 AC'!J$3:J$250)</f>
        <v>0</v>
      </c>
      <c r="AP67" s="53">
        <f>SUMIF('2025 AC'!$B$3:$B$250,"*"&amp;$D67&amp;"*",'2025 AC'!K$3:K$250)</f>
        <v>0</v>
      </c>
      <c r="AQ67" s="53">
        <f>SUMIF('2025 AC'!$B$3:$B$250,"*"&amp;$D67&amp;"*",'2025 AC'!L$3:L$250)</f>
        <v>0</v>
      </c>
      <c r="AR67" s="53">
        <f>SUMIF('2025 AC'!$B$3:$B$250,"*"&amp;$D67&amp;"*",'2025 AC'!M$3:M$250)</f>
        <v>0</v>
      </c>
      <c r="AS67" s="53">
        <f>SUMIF('2025 AC'!$B$3:$B$250,"*"&amp;$D67&amp;"*",'2025 AC'!N$3:N$250)</f>
        <v>0</v>
      </c>
      <c r="AT67" s="94">
        <f t="shared" si="15"/>
        <v>0</v>
      </c>
      <c r="AU67" s="93">
        <f t="shared" si="16"/>
        <v>0</v>
      </c>
      <c r="AV67" s="93">
        <f t="shared" si="17"/>
        <v>0</v>
      </c>
      <c r="AW67" s="93">
        <f t="shared" si="18"/>
        <v>0</v>
      </c>
      <c r="AX67" s="93">
        <f t="shared" si="19"/>
        <v>0</v>
      </c>
      <c r="AY67" s="92">
        <f t="shared" si="20"/>
        <v>0</v>
      </c>
      <c r="BA67" s="63">
        <f>SUMIF('2026 AC'!$B$3:$B$254,"*"&amp;$D67&amp;"*",'2026 AC'!C$3:C$254)</f>
        <v>0</v>
      </c>
      <c r="BB67" s="53">
        <f>SUMIF('2026 AC'!$B$3:$B$254,"*"&amp;$D67&amp;"*",'2026 AC'!D$3:D$254)</f>
        <v>0</v>
      </c>
      <c r="BC67" s="53">
        <f>SUMIF('2026 AC'!$B$3:$B$254,"*"&amp;$D67&amp;"*",'2026 AC'!E$3:E$254)</f>
        <v>0</v>
      </c>
      <c r="BD67" s="53">
        <f>SUMIF('2026 AC'!$B$3:$B$254,"*"&amp;$D67&amp;"*",'2026 AC'!F$3:F$254)</f>
        <v>0</v>
      </c>
      <c r="BE67" s="53">
        <f>SUMIF('2026 AC'!$B$3:$B$254,"*"&amp;$D67&amp;"*",'2026 AC'!G$3:G$254)</f>
        <v>0</v>
      </c>
      <c r="BF67" s="53">
        <f>SUMIF('2026 AC'!$B$3:$B$254,"*"&amp;$D67&amp;"*",'2026 AC'!H$3:H$254)</f>
        <v>0</v>
      </c>
      <c r="BG67" s="53">
        <f>SUMIF('2026 AC'!$B$3:$B$254,"*"&amp;$D67&amp;"*",'2026 AC'!I$3:I$254)</f>
        <v>0</v>
      </c>
      <c r="BH67" s="53">
        <f>SUMIF('2026 AC'!$B$3:$B$254,"*"&amp;$D67&amp;"*",'2026 AC'!J$3:J$254)</f>
        <v>0</v>
      </c>
      <c r="BI67" s="53">
        <f>SUMIF('2026 AC'!$B$3:$B$254,"*"&amp;$D67&amp;"*",'2026 AC'!K$3:K$254)</f>
        <v>0</v>
      </c>
      <c r="BJ67" s="53">
        <f>SUMIF('2026 AC'!$B$3:$B$254,"*"&amp;$D67&amp;"*",'2026 AC'!L$3:L$254)</f>
        <v>0</v>
      </c>
      <c r="BK67" s="53">
        <f>SUMIF('2026 AC'!$B$3:$B$254,"*"&amp;$D67&amp;"*",'2026 AC'!M$3:M$254)</f>
        <v>0</v>
      </c>
      <c r="BL67" s="93">
        <f>SUMIF('2026 AC'!$B$3:$B$254,"*"&amp;$D67&amp;"*",'2026 AC'!N$3:N$254)</f>
        <v>0</v>
      </c>
      <c r="BM67" s="92">
        <f t="shared" si="21"/>
        <v>0</v>
      </c>
      <c r="BN67" s="93">
        <f t="shared" si="22"/>
        <v>0</v>
      </c>
      <c r="BO67" s="93">
        <f t="shared" si="23"/>
        <v>0</v>
      </c>
      <c r="BP67" s="93">
        <f t="shared" si="24"/>
        <v>0</v>
      </c>
      <c r="BQ67" s="93">
        <f t="shared" si="25"/>
        <v>0</v>
      </c>
      <c r="BR67" s="92">
        <f t="shared" si="26"/>
        <v>0</v>
      </c>
    </row>
    <row r="68" outlineLevel="1">
      <c r="C68" s="34" t="s">
        <v>138</v>
      </c>
      <c r="D68" s="35" t="s">
        <v>139</v>
      </c>
      <c r="E68" s="153">
        <f t="shared" si="49"/>
        <v>0</v>
      </c>
      <c r="F68" s="153">
        <f t="shared" si="50"/>
        <v>0</v>
      </c>
      <c r="G68" s="154">
        <f t="shared" si="75"/>
        <v>0</v>
      </c>
      <c r="H68" s="153">
        <f t="shared" si="51"/>
        <v>0</v>
      </c>
      <c r="I68" s="153">
        <f t="shared" si="52"/>
        <v>0</v>
      </c>
      <c r="J68" s="154">
        <f t="shared" si="76"/>
        <v>0</v>
      </c>
      <c r="K68" s="153">
        <f t="shared" si="53"/>
        <v>0</v>
      </c>
      <c r="L68" s="153">
        <f t="shared" si="54"/>
        <v>0</v>
      </c>
      <c r="M68" s="155">
        <f t="shared" si="77"/>
        <v>0</v>
      </c>
      <c r="O68" s="63">
        <f>SUMIF('2024 AC'!$B$3:$B$250,"*"&amp;$D68&amp;"*",'2024 AC'!C$3:C$250)</f>
        <v>0</v>
      </c>
      <c r="P68" s="53">
        <f>SUMIF('2024 AC'!$B$3:$B$250,"*"&amp;$D68&amp;"*",'2024 AC'!D$3:D$250)</f>
        <v>0</v>
      </c>
      <c r="Q68" s="53">
        <f>SUMIF('2024 AC'!$B$3:$B$250,"*"&amp;$D68&amp;"*",'2024 AC'!E$3:E$250)</f>
        <v>0</v>
      </c>
      <c r="R68" s="53">
        <f>SUMIF('2024 AC'!$B$3:$B$250,"*"&amp;$D68&amp;"*",'2024 AC'!F$3:F$250)</f>
        <v>0</v>
      </c>
      <c r="S68" s="53">
        <f>SUMIF('2024 AC'!$B$3:$B$250,"*"&amp;$D68&amp;"*",'2024 AC'!G$3:G$250)</f>
        <v>0</v>
      </c>
      <c r="T68" s="53">
        <f>SUMIF('2024 AC'!$B$3:$B$250,"*"&amp;$D68&amp;"*",'2024 AC'!H$3:H$250)</f>
        <v>0</v>
      </c>
      <c r="U68" s="53">
        <f>SUMIF('2024 AC'!$B$3:$B$250,"*"&amp;$D68&amp;"*",'2024 AC'!I$3:I$250)</f>
        <v>0</v>
      </c>
      <c r="V68" s="53">
        <f>SUMIF('2024 AC'!$B$3:$B$250,"*"&amp;$D68&amp;"*",'2024 AC'!J$3:J$250)</f>
        <v>0</v>
      </c>
      <c r="W68" s="53">
        <f>SUMIF('2024 AC'!$B$3:$B$250,"*"&amp;$D68&amp;"*",'2024 AC'!K$3:K$250)</f>
        <v>0</v>
      </c>
      <c r="X68" s="53">
        <f>SUMIF('2024 AC'!$B$3:$B$250,"*"&amp;$D68&amp;"*",'2024 AC'!L$3:L$250)</f>
        <v>0</v>
      </c>
      <c r="Y68" s="53">
        <f>SUMIF('2024 AC'!$B$3:$B$250,"*"&amp;$D68&amp;"*",'2024 AC'!M$3:M$250)</f>
        <v>0</v>
      </c>
      <c r="Z68" s="93">
        <f>SUMIF('2024 AC'!$B$3:$B$250,"*"&amp;$D68&amp;"*",'2024 AC'!N$3:N$250)</f>
        <v>0</v>
      </c>
      <c r="AA68" s="92">
        <f t="shared" si="9"/>
        <v>0</v>
      </c>
      <c r="AB68" s="93">
        <f t="shared" si="10"/>
        <v>0</v>
      </c>
      <c r="AC68" s="93">
        <f t="shared" si="11"/>
        <v>0</v>
      </c>
      <c r="AD68" s="93">
        <f t="shared" si="12"/>
        <v>0</v>
      </c>
      <c r="AE68" s="93">
        <f t="shared" si="13"/>
        <v>0</v>
      </c>
      <c r="AF68" s="92">
        <f t="shared" si="14"/>
        <v>0</v>
      </c>
      <c r="AH68" s="63">
        <f>SUMIF('2025 AC'!$B$3:$B$250,"*"&amp;$D68&amp;"*",'2025 AC'!C$3:C$250)</f>
        <v>0</v>
      </c>
      <c r="AI68" s="53">
        <f>SUMIF('2025 AC'!$B$3:$B$250,"*"&amp;$D68&amp;"*",'2025 AC'!D$3:D$250)</f>
        <v>0</v>
      </c>
      <c r="AJ68" s="53">
        <f>SUMIF('2025 AC'!$B$3:$B$250,"*"&amp;$D68&amp;"*",'2025 AC'!E$3:E$250)</f>
        <v>0</v>
      </c>
      <c r="AK68" s="53">
        <f>SUMIF('2025 AC'!$B$3:$B$250,"*"&amp;$D68&amp;"*",'2025 AC'!F$3:F$250)</f>
        <v>0</v>
      </c>
      <c r="AL68" s="53">
        <f>SUMIF('2025 AC'!$B$3:$B$250,"*"&amp;$D68&amp;"*",'2025 AC'!G$3:G$250)</f>
        <v>0</v>
      </c>
      <c r="AM68" s="53">
        <f>SUMIF('2025 AC'!$B$3:$B$250,"*"&amp;$D68&amp;"*",'2025 AC'!H$3:H$250)</f>
        <v>0</v>
      </c>
      <c r="AN68" s="53">
        <f>SUMIF('2025 AC'!$B$3:$B$250,"*"&amp;$D68&amp;"*",'2025 AC'!I$3:I$250)</f>
        <v>0</v>
      </c>
      <c r="AO68" s="53">
        <f>SUMIF('2025 AC'!$B$3:$B$250,"*"&amp;$D68&amp;"*",'2025 AC'!J$3:J$250)</f>
        <v>0</v>
      </c>
      <c r="AP68" s="53">
        <f>SUMIF('2025 AC'!$B$3:$B$250,"*"&amp;$D68&amp;"*",'2025 AC'!K$3:K$250)</f>
        <v>0</v>
      </c>
      <c r="AQ68" s="53">
        <f>SUMIF('2025 AC'!$B$3:$B$250,"*"&amp;$D68&amp;"*",'2025 AC'!L$3:L$250)</f>
        <v>0</v>
      </c>
      <c r="AR68" s="53">
        <f>SUMIF('2025 AC'!$B$3:$B$250,"*"&amp;$D68&amp;"*",'2025 AC'!M$3:M$250)</f>
        <v>0</v>
      </c>
      <c r="AS68" s="53">
        <f>SUMIF('2025 AC'!$B$3:$B$250,"*"&amp;$D68&amp;"*",'2025 AC'!N$3:N$250)</f>
        <v>0</v>
      </c>
      <c r="AT68" s="94">
        <f t="shared" si="15"/>
        <v>0</v>
      </c>
      <c r="AU68" s="93">
        <f t="shared" si="16"/>
        <v>0</v>
      </c>
      <c r="AV68" s="93">
        <f t="shared" si="17"/>
        <v>0</v>
      </c>
      <c r="AW68" s="93">
        <f t="shared" si="18"/>
        <v>0</v>
      </c>
      <c r="AX68" s="93">
        <f t="shared" si="19"/>
        <v>0</v>
      </c>
      <c r="AY68" s="92">
        <f t="shared" si="20"/>
        <v>0</v>
      </c>
      <c r="BA68" s="63">
        <f>SUMIF('2026 AC'!$B$3:$B$254,"*"&amp;$D68&amp;"*",'2026 AC'!C$3:C$254)</f>
        <v>0</v>
      </c>
      <c r="BB68" s="53">
        <f>SUMIF('2026 AC'!$B$3:$B$254,"*"&amp;$D68&amp;"*",'2026 AC'!D$3:D$254)</f>
        <v>0</v>
      </c>
      <c r="BC68" s="53">
        <f>SUMIF('2026 AC'!$B$3:$B$254,"*"&amp;$D68&amp;"*",'2026 AC'!E$3:E$254)</f>
        <v>0</v>
      </c>
      <c r="BD68" s="53">
        <f>SUMIF('2026 AC'!$B$3:$B$254,"*"&amp;$D68&amp;"*",'2026 AC'!F$3:F$254)</f>
        <v>0</v>
      </c>
      <c r="BE68" s="53">
        <f>SUMIF('2026 AC'!$B$3:$B$254,"*"&amp;$D68&amp;"*",'2026 AC'!G$3:G$254)</f>
        <v>0</v>
      </c>
      <c r="BF68" s="53">
        <f>SUMIF('2026 AC'!$B$3:$B$254,"*"&amp;$D68&amp;"*",'2026 AC'!H$3:H$254)</f>
        <v>0</v>
      </c>
      <c r="BG68" s="53">
        <f>SUMIF('2026 AC'!$B$3:$B$254,"*"&amp;$D68&amp;"*",'2026 AC'!I$3:I$254)</f>
        <v>0</v>
      </c>
      <c r="BH68" s="53">
        <f>SUMIF('2026 AC'!$B$3:$B$254,"*"&amp;$D68&amp;"*",'2026 AC'!J$3:J$254)</f>
        <v>0</v>
      </c>
      <c r="BI68" s="53">
        <f>SUMIF('2026 AC'!$B$3:$B$254,"*"&amp;$D68&amp;"*",'2026 AC'!K$3:K$254)</f>
        <v>0</v>
      </c>
      <c r="BJ68" s="53">
        <f>SUMIF('2026 AC'!$B$3:$B$254,"*"&amp;$D68&amp;"*",'2026 AC'!L$3:L$254)</f>
        <v>0</v>
      </c>
      <c r="BK68" s="53">
        <f>SUMIF('2026 AC'!$B$3:$B$254,"*"&amp;$D68&amp;"*",'2026 AC'!M$3:M$254)</f>
        <v>0</v>
      </c>
      <c r="BL68" s="93">
        <f>SUMIF('2026 AC'!$B$3:$B$254,"*"&amp;$D68&amp;"*",'2026 AC'!N$3:N$254)</f>
        <v>0</v>
      </c>
      <c r="BM68" s="92">
        <f t="shared" si="21"/>
        <v>0</v>
      </c>
      <c r="BN68" s="93">
        <f t="shared" si="22"/>
        <v>0</v>
      </c>
      <c r="BO68" s="93">
        <f t="shared" si="23"/>
        <v>0</v>
      </c>
      <c r="BP68" s="93">
        <f t="shared" si="24"/>
        <v>0</v>
      </c>
      <c r="BQ68" s="93">
        <f t="shared" si="25"/>
        <v>0</v>
      </c>
      <c r="BR68" s="92">
        <f t="shared" si="26"/>
        <v>0</v>
      </c>
    </row>
    <row r="69">
      <c r="A69" t="s">
        <v>140</v>
      </c>
      <c r="B69" t="s">
        <v>130</v>
      </c>
      <c r="C69" s="34"/>
      <c r="D69" s="35"/>
      <c r="E69" s="153">
        <f t="shared" si="49"/>
        <v>0</v>
      </c>
      <c r="F69" s="152">
        <f t="shared" si="50"/>
        <v>0</v>
      </c>
      <c r="G69" s="154"/>
      <c r="H69" s="153">
        <f t="shared" si="51"/>
        <v>0</v>
      </c>
      <c r="I69" s="153">
        <f t="shared" si="52"/>
        <v>0</v>
      </c>
      <c r="J69" s="154"/>
      <c r="K69" s="153">
        <f t="shared" si="53"/>
        <v>0</v>
      </c>
      <c r="L69" s="153">
        <f t="shared" si="54"/>
        <v>0</v>
      </c>
      <c r="M69" s="155"/>
      <c r="O69" s="6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93"/>
      <c r="AA69" s="92"/>
      <c r="AB69" s="93">
        <f t="shared" si="10"/>
        <v>0</v>
      </c>
      <c r="AC69" s="93">
        <f t="shared" si="11"/>
        <v>0</v>
      </c>
      <c r="AD69" s="93">
        <f t="shared" si="12"/>
        <v>0</v>
      </c>
      <c r="AE69" s="93">
        <f t="shared" si="13"/>
        <v>0</v>
      </c>
      <c r="AF69" s="92">
        <f t="shared" si="14"/>
        <v>0</v>
      </c>
      <c r="AH69" s="6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94"/>
      <c r="AU69" s="93">
        <f t="shared" si="16"/>
        <v>0</v>
      </c>
      <c r="AV69" s="93">
        <f t="shared" si="17"/>
        <v>0</v>
      </c>
      <c r="AW69" s="93">
        <f t="shared" si="18"/>
        <v>0</v>
      </c>
      <c r="AX69" s="93">
        <f t="shared" si="19"/>
        <v>0</v>
      </c>
      <c r="AY69" s="92">
        <f t="shared" si="20"/>
        <v>0</v>
      </c>
      <c r="BA69" s="63"/>
      <c r="BB69" s="53">
        <v>0</v>
      </c>
      <c r="BC69" s="53">
        <v>0</v>
      </c>
      <c r="BD69" s="53">
        <v>0</v>
      </c>
      <c r="BE69" s="53">
        <v>0</v>
      </c>
      <c r="BF69" s="53">
        <v>0</v>
      </c>
      <c r="BG69" s="53">
        <v>0</v>
      </c>
      <c r="BH69" s="53">
        <v>0</v>
      </c>
      <c r="BI69" s="53">
        <v>0</v>
      </c>
      <c r="BJ69" s="53">
        <v>0</v>
      </c>
      <c r="BK69" s="53">
        <v>0</v>
      </c>
      <c r="BL69" s="93">
        <v>0</v>
      </c>
      <c r="BM69" s="92"/>
      <c r="BN69" s="93">
        <f t="shared" si="22"/>
        <v>0</v>
      </c>
      <c r="BO69" s="93">
        <f t="shared" si="23"/>
        <v>0</v>
      </c>
      <c r="BP69" s="93">
        <f t="shared" si="24"/>
        <v>0</v>
      </c>
      <c r="BQ69" s="93">
        <f t="shared" si="25"/>
        <v>0</v>
      </c>
      <c r="BR69" s="92">
        <f t="shared" si="26"/>
        <v>0</v>
      </c>
    </row>
    <row r="70" s="125" customFormat="1">
      <c r="A70" s="174"/>
      <c r="C70" s="175" t="s">
        <v>141</v>
      </c>
      <c r="D70" s="127"/>
      <c r="E70" s="176">
        <f t="shared" si="49"/>
        <v>462999.08999999997</v>
      </c>
      <c r="F70" s="177">
        <f t="shared" si="50"/>
        <v>427388.51000000001</v>
      </c>
      <c r="G70" s="178">
        <f>(E70-F70)/F70</f>
        <v>8.332133215279923e-02</v>
      </c>
      <c r="H70" s="176">
        <f t="shared" si="51"/>
        <v>1408508.99</v>
      </c>
      <c r="I70" s="176">
        <f t="shared" si="52"/>
        <v>1328734.6000000001</v>
      </c>
      <c r="J70" s="178">
        <f>(H70-I70)/I70</f>
        <v>6.0037866102079299e-02</v>
      </c>
      <c r="K70" s="176">
        <f t="shared" si="53"/>
        <v>2879557.5499999998</v>
      </c>
      <c r="L70" s="176">
        <f t="shared" si="54"/>
        <v>2673731.9799999995</v>
      </c>
      <c r="M70" s="179">
        <f>(K70-L70)/L70</f>
        <v>7.698062915042081e-02</v>
      </c>
      <c r="O70" s="180">
        <f t="shared" ref="O70:Z70" si="78">O27+O38+O45+O52+O55+O57+O60+O65+O66</f>
        <v>322969.51000000001</v>
      </c>
      <c r="P70" s="181">
        <f t="shared" si="78"/>
        <v>452835.44</v>
      </c>
      <c r="Q70" s="181">
        <f t="shared" si="78"/>
        <v>403986.76000000007</v>
      </c>
      <c r="R70" s="181">
        <f t="shared" si="78"/>
        <v>374464.84000000003</v>
      </c>
      <c r="S70" s="181">
        <f t="shared" si="78"/>
        <v>512364.23999999999</v>
      </c>
      <c r="T70" s="181">
        <f t="shared" si="78"/>
        <v>441953.79999999999</v>
      </c>
      <c r="U70" s="181">
        <f t="shared" si="78"/>
        <v>520540.69</v>
      </c>
      <c r="V70" s="181">
        <f t="shared" si="78"/>
        <v>636102.51000000013</v>
      </c>
      <c r="W70" s="181">
        <f t="shared" si="78"/>
        <v>461464.91000000003</v>
      </c>
      <c r="X70" s="181">
        <f t="shared" si="78"/>
        <v>453982.10999999999</v>
      </c>
      <c r="Y70" s="181">
        <f t="shared" si="78"/>
        <v>514664.44</v>
      </c>
      <c r="Z70" s="182">
        <f t="shared" si="78"/>
        <v>563250.70999999996</v>
      </c>
      <c r="AA70" s="183">
        <f t="shared" si="9"/>
        <v>5658579.9600000009</v>
      </c>
      <c r="AB70" s="182">
        <f t="shared" si="10"/>
        <v>1179791.71</v>
      </c>
      <c r="AC70" s="182">
        <f t="shared" si="11"/>
        <v>1328782.8800000001</v>
      </c>
      <c r="AD70" s="182">
        <f t="shared" si="12"/>
        <v>1618108.1100000003</v>
      </c>
      <c r="AE70" s="182">
        <f t="shared" si="13"/>
        <v>1531897.26</v>
      </c>
      <c r="AF70" s="183">
        <f t="shared" si="14"/>
        <v>5658579.96</v>
      </c>
      <c r="AH70" s="180">
        <f t="shared" ref="AH70:AS70" si="79">AH27+AH38+AH45+AH52+AH55+AH57+AH60+AH65+AH66</f>
        <v>470439.94</v>
      </c>
      <c r="AI70" s="181">
        <f t="shared" si="79"/>
        <v>432995.45999999996</v>
      </c>
      <c r="AJ70" s="181">
        <f t="shared" si="79"/>
        <v>441561.97999999998</v>
      </c>
      <c r="AK70" s="181">
        <f t="shared" si="79"/>
        <v>405954.77000000002</v>
      </c>
      <c r="AL70" s="181">
        <f t="shared" si="79"/>
        <v>495391.32000000001</v>
      </c>
      <c r="AM70" s="181">
        <f t="shared" si="79"/>
        <v>427388.51000000001</v>
      </c>
      <c r="AN70" s="181">
        <f t="shared" si="79"/>
        <v>433310.16999999998</v>
      </c>
      <c r="AO70" s="181">
        <f t="shared" si="79"/>
        <v>479592.41999999998</v>
      </c>
      <c r="AP70" s="181">
        <f t="shared" si="79"/>
        <v>496423.23999999993</v>
      </c>
      <c r="AQ70" s="181">
        <f t="shared" si="79"/>
        <v>318096.53000000003</v>
      </c>
      <c r="AR70" s="181">
        <f t="shared" si="79"/>
        <v>415571.41999999998</v>
      </c>
      <c r="AS70" s="181">
        <f t="shared" si="79"/>
        <v>630066.90000000002</v>
      </c>
      <c r="AT70" s="184">
        <f t="shared" si="15"/>
        <v>5446792.6599999992</v>
      </c>
      <c r="AU70" s="182">
        <f t="shared" si="16"/>
        <v>1344997.3799999999</v>
      </c>
      <c r="AV70" s="182">
        <f t="shared" si="17"/>
        <v>1328734.6000000001</v>
      </c>
      <c r="AW70" s="182">
        <f t="shared" si="18"/>
        <v>1409325.8299999998</v>
      </c>
      <c r="AX70" s="182">
        <f t="shared" si="19"/>
        <v>1363734.8500000001</v>
      </c>
      <c r="AY70" s="183">
        <f t="shared" si="20"/>
        <v>5446792.6600000001</v>
      </c>
      <c r="BA70" s="180">
        <f t="shared" ref="BA70:BL70" si="80">BA27+BA38+BA45+BA52+BA55+BA57+BA60+BA65+BA66</f>
        <v>512157.73999999999</v>
      </c>
      <c r="BB70" s="181">
        <f t="shared" si="80"/>
        <v>459676.63999999996</v>
      </c>
      <c r="BC70" s="181">
        <f t="shared" si="80"/>
        <v>499214.17999999993</v>
      </c>
      <c r="BD70" s="181">
        <f t="shared" si="80"/>
        <v>487372.42000000004</v>
      </c>
      <c r="BE70" s="181">
        <f t="shared" si="80"/>
        <v>458137.47999999998</v>
      </c>
      <c r="BF70" s="181">
        <f t="shared" si="80"/>
        <v>462999.08999999997</v>
      </c>
      <c r="BG70" s="181">
        <f t="shared" si="80"/>
        <v>0</v>
      </c>
      <c r="BH70" s="181">
        <f t="shared" si="80"/>
        <v>0</v>
      </c>
      <c r="BI70" s="181">
        <f t="shared" si="80"/>
        <v>0</v>
      </c>
      <c r="BJ70" s="181">
        <f t="shared" si="80"/>
        <v>0</v>
      </c>
      <c r="BK70" s="181">
        <f t="shared" si="80"/>
        <v>0</v>
      </c>
      <c r="BL70" s="182">
        <f t="shared" si="80"/>
        <v>0</v>
      </c>
      <c r="BM70" s="183">
        <f t="shared" si="21"/>
        <v>2879557.5499999998</v>
      </c>
      <c r="BN70" s="182">
        <f t="shared" si="22"/>
        <v>1471048.5599999998</v>
      </c>
      <c r="BO70" s="182">
        <f t="shared" si="23"/>
        <v>1408508.99</v>
      </c>
      <c r="BP70" s="182">
        <f t="shared" si="24"/>
        <v>0</v>
      </c>
      <c r="BQ70" s="182">
        <f t="shared" si="25"/>
        <v>0</v>
      </c>
      <c r="BR70" s="183">
        <f t="shared" si="26"/>
        <v>2879557.5499999998</v>
      </c>
    </row>
    <row r="71">
      <c r="A71" s="185" t="s">
        <v>131</v>
      </c>
      <c r="C71" s="34"/>
      <c r="D71" s="35"/>
      <c r="E71" s="153">
        <f t="shared" si="49"/>
        <v>0</v>
      </c>
      <c r="F71" s="186">
        <f t="shared" si="50"/>
        <v>0</v>
      </c>
      <c r="G71" s="154"/>
      <c r="H71" s="153">
        <f t="shared" si="51"/>
        <v>0</v>
      </c>
      <c r="I71" s="153">
        <f t="shared" si="52"/>
        <v>0</v>
      </c>
      <c r="J71" s="154"/>
      <c r="K71" s="153">
        <f t="shared" si="53"/>
        <v>0</v>
      </c>
      <c r="L71" s="153">
        <f t="shared" si="54"/>
        <v>0</v>
      </c>
      <c r="M71" s="155"/>
      <c r="O71" s="6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93"/>
      <c r="AA71" s="92"/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13"/>
        <v>0</v>
      </c>
      <c r="AF71" s="92">
        <f t="shared" si="14"/>
        <v>0</v>
      </c>
      <c r="AH71" s="6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94"/>
      <c r="AU71" s="93">
        <f t="shared" si="16"/>
        <v>0</v>
      </c>
      <c r="AV71" s="93">
        <f t="shared" si="17"/>
        <v>0</v>
      </c>
      <c r="AW71" s="93">
        <f t="shared" si="18"/>
        <v>0</v>
      </c>
      <c r="AX71" s="93">
        <f t="shared" si="19"/>
        <v>0</v>
      </c>
      <c r="AY71" s="92">
        <f t="shared" si="20"/>
        <v>0</v>
      </c>
      <c r="BA71" s="6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93"/>
      <c r="BM71" s="92"/>
      <c r="BN71" s="93">
        <f t="shared" si="22"/>
        <v>0</v>
      </c>
      <c r="BO71" s="93">
        <f t="shared" si="23"/>
        <v>0</v>
      </c>
      <c r="BP71" s="93">
        <f t="shared" si="24"/>
        <v>0</v>
      </c>
      <c r="BQ71" s="93">
        <f t="shared" si="25"/>
        <v>0</v>
      </c>
      <c r="BR71" s="92">
        <f t="shared" si="26"/>
        <v>0</v>
      </c>
    </row>
    <row r="72">
      <c r="A72" s="185" t="s">
        <v>142</v>
      </c>
      <c r="C72" s="136" t="s">
        <v>143</v>
      </c>
      <c r="D72" s="35"/>
      <c r="E72" s="153">
        <f t="shared" si="49"/>
        <v>0</v>
      </c>
      <c r="F72" s="186">
        <f t="shared" si="50"/>
        <v>0</v>
      </c>
      <c r="G72" s="154"/>
      <c r="H72" s="153">
        <f t="shared" si="51"/>
        <v>0</v>
      </c>
      <c r="I72" s="153">
        <f t="shared" si="52"/>
        <v>0</v>
      </c>
      <c r="J72" s="154"/>
      <c r="K72" s="153">
        <f t="shared" si="53"/>
        <v>0</v>
      </c>
      <c r="L72" s="153">
        <f t="shared" si="54"/>
        <v>0</v>
      </c>
      <c r="M72" s="155"/>
      <c r="O72" s="6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93"/>
      <c r="AA72" s="92"/>
      <c r="AB72" s="93">
        <f t="shared" si="10"/>
        <v>0</v>
      </c>
      <c r="AC72" s="93">
        <f t="shared" si="11"/>
        <v>0</v>
      </c>
      <c r="AD72" s="93">
        <f t="shared" si="12"/>
        <v>0</v>
      </c>
      <c r="AE72" s="93">
        <f t="shared" si="13"/>
        <v>0</v>
      </c>
      <c r="AF72" s="92">
        <f t="shared" si="14"/>
        <v>0</v>
      </c>
      <c r="AH72" s="6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94"/>
      <c r="AU72" s="93">
        <f t="shared" si="16"/>
        <v>0</v>
      </c>
      <c r="AV72" s="93">
        <f t="shared" si="17"/>
        <v>0</v>
      </c>
      <c r="AW72" s="93">
        <f t="shared" si="18"/>
        <v>0</v>
      </c>
      <c r="AX72" s="93">
        <f t="shared" si="19"/>
        <v>0</v>
      </c>
      <c r="AY72" s="92">
        <f t="shared" si="20"/>
        <v>0</v>
      </c>
      <c r="BA72" s="63"/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  <c r="BJ72" s="53">
        <v>0</v>
      </c>
      <c r="BK72" s="53">
        <v>0</v>
      </c>
      <c r="BL72" s="93">
        <v>0</v>
      </c>
      <c r="BM72" s="92"/>
      <c r="BN72" s="93">
        <f t="shared" si="22"/>
        <v>0</v>
      </c>
      <c r="BO72" s="93">
        <f t="shared" si="23"/>
        <v>0</v>
      </c>
      <c r="BP72" s="93">
        <f t="shared" si="24"/>
        <v>0</v>
      </c>
      <c r="BQ72" s="93">
        <f t="shared" si="25"/>
        <v>0</v>
      </c>
      <c r="BR72" s="92">
        <f t="shared" si="26"/>
        <v>0</v>
      </c>
    </row>
    <row r="73">
      <c r="A73" s="185"/>
      <c r="C73" s="136"/>
      <c r="D73" s="35"/>
      <c r="E73" s="153">
        <f t="shared" si="49"/>
        <v>0</v>
      </c>
      <c r="F73" s="186">
        <f t="shared" si="50"/>
        <v>0</v>
      </c>
      <c r="G73" s="154"/>
      <c r="H73" s="153">
        <f t="shared" si="51"/>
        <v>0</v>
      </c>
      <c r="I73" s="153">
        <f t="shared" si="52"/>
        <v>0</v>
      </c>
      <c r="J73" s="154"/>
      <c r="K73" s="153">
        <f t="shared" si="53"/>
        <v>0</v>
      </c>
      <c r="L73" s="153">
        <f t="shared" si="54"/>
        <v>0</v>
      </c>
      <c r="M73" s="155"/>
      <c r="O73" s="6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93"/>
      <c r="AA73" s="92"/>
      <c r="AB73" s="93">
        <f t="shared" si="10"/>
        <v>0</v>
      </c>
      <c r="AC73" s="93">
        <f t="shared" si="11"/>
        <v>0</v>
      </c>
      <c r="AD73" s="93">
        <f t="shared" si="12"/>
        <v>0</v>
      </c>
      <c r="AE73" s="93">
        <f t="shared" si="13"/>
        <v>0</v>
      </c>
      <c r="AF73" s="92">
        <f t="shared" si="14"/>
        <v>0</v>
      </c>
      <c r="AH73" s="6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94"/>
      <c r="AU73" s="93">
        <f t="shared" si="16"/>
        <v>0</v>
      </c>
      <c r="AV73" s="93">
        <f t="shared" si="17"/>
        <v>0</v>
      </c>
      <c r="AW73" s="93">
        <f t="shared" si="18"/>
        <v>0</v>
      </c>
      <c r="AX73" s="93">
        <f t="shared" si="19"/>
        <v>0</v>
      </c>
      <c r="AY73" s="92">
        <f t="shared" si="20"/>
        <v>0</v>
      </c>
      <c r="BA73" s="6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93"/>
      <c r="BM73" s="92"/>
      <c r="BN73" s="93">
        <f t="shared" si="22"/>
        <v>0</v>
      </c>
      <c r="BO73" s="93">
        <f t="shared" si="23"/>
        <v>0</v>
      </c>
      <c r="BP73" s="93">
        <f t="shared" si="24"/>
        <v>0</v>
      </c>
      <c r="BQ73" s="93">
        <f t="shared" si="25"/>
        <v>0</v>
      </c>
      <c r="BR73" s="92">
        <f t="shared" si="26"/>
        <v>0</v>
      </c>
    </row>
    <row r="74" s="137" customFormat="1">
      <c r="A74" s="137" t="s">
        <v>144</v>
      </c>
      <c r="B74" s="137" t="s">
        <v>145</v>
      </c>
      <c r="C74" s="138" t="s">
        <v>146</v>
      </c>
      <c r="D74" s="139" t="s">
        <v>145</v>
      </c>
      <c r="E74" s="159">
        <f t="shared" si="49"/>
        <v>36922.050000000003</v>
      </c>
      <c r="F74" s="141">
        <f t="shared" si="50"/>
        <v>0</v>
      </c>
      <c r="G74" s="161">
        <f>IFERROR((E74-F74)/F74,1)</f>
        <v>1</v>
      </c>
      <c r="H74" s="143">
        <f t="shared" si="51"/>
        <v>114931.47</v>
      </c>
      <c r="I74" s="143">
        <f t="shared" si="52"/>
        <v>0</v>
      </c>
      <c r="J74" s="142" t="e">
        <f t="shared" ref="J74:J76" si="81">(H74-I74)/I74</f>
        <v>#DIV/0!</v>
      </c>
      <c r="K74" s="143">
        <f t="shared" si="53"/>
        <v>240745.56</v>
      </c>
      <c r="L74" s="143">
        <f t="shared" si="54"/>
        <v>30020.349999999999</v>
      </c>
      <c r="M74" s="144">
        <f t="shared" ref="M74:M76" si="82">(K74-L74)/L74</f>
        <v>7.0194121654144608</v>
      </c>
      <c r="O74" s="145">
        <f>SUMIF('2024 AC'!$B$3:$B$250,"*"&amp;$D74&amp;"*",'2024 AC'!C$3:C$250)</f>
        <v>23438.060000000001</v>
      </c>
      <c r="P74" s="146">
        <f>SUMIF('2024 AC'!$B$3:$B$250,"*"&amp;$D74&amp;"*",'2024 AC'!D$3:D$250)</f>
        <v>0</v>
      </c>
      <c r="Q74" s="146">
        <f>SUMIF('2024 AC'!$B$3:$B$250,"*"&amp;$D74&amp;"*",'2024 AC'!E$3:E$250)</f>
        <v>0</v>
      </c>
      <c r="R74" s="146">
        <f>SUMIF('2024 AC'!$B$3:$B$250,"*"&amp;$D74&amp;"*",'2024 AC'!F$3:F$250)</f>
        <v>0</v>
      </c>
      <c r="S74" s="146">
        <f>SUMIF('2024 AC'!$B$3:$B$250,"*"&amp;$D74&amp;"*",'2024 AC'!G$3:G$250)</f>
        <v>0</v>
      </c>
      <c r="T74" s="146">
        <f>SUMIF('2024 AC'!$B$3:$B$250,"*"&amp;$D74&amp;"*",'2024 AC'!H$3:H$250)</f>
        <v>0</v>
      </c>
      <c r="U74" s="146">
        <f>SUMIF('2024 AC'!$B$3:$B$250,"*"&amp;$D74&amp;"*",'2024 AC'!I$3:I$250)</f>
        <v>0</v>
      </c>
      <c r="V74" s="146">
        <f>SUMIF('2024 AC'!$B$3:$B$250,"*"&amp;$D74&amp;"*",'2024 AC'!J$3:J$250)</f>
        <v>0</v>
      </c>
      <c r="W74" s="146">
        <f>SUMIF('2024 AC'!$B$3:$B$250,"*"&amp;$D74&amp;"*",'2024 AC'!K$3:K$250)</f>
        <v>0</v>
      </c>
      <c r="X74" s="146">
        <f>SUMIF('2024 AC'!$B$3:$B$250,"*"&amp;$D74&amp;"*",'2024 AC'!L$3:L$250)</f>
        <v>0</v>
      </c>
      <c r="Y74" s="146">
        <f>SUMIF('2024 AC'!$B$3:$B$250,"*"&amp;$D74&amp;"*",'2024 AC'!M$3:M$250)</f>
        <v>0</v>
      </c>
      <c r="Z74" s="147">
        <f>SUMIF('2024 AC'!$B$3:$B$250,"*"&amp;$D74&amp;"*",'2024 AC'!N$3:N$250)</f>
        <v>0</v>
      </c>
      <c r="AA74" s="148">
        <f t="shared" ref="AA74:AA137" si="83">SUM(O74:Z74)</f>
        <v>23438.060000000001</v>
      </c>
      <c r="AB74" s="147">
        <f t="shared" ref="AB74:AB137" si="84">SUM(O74:Q74)</f>
        <v>23438.060000000001</v>
      </c>
      <c r="AC74" s="147">
        <f t="shared" ref="AC74:AC137" si="85">SUM(R74:T74)</f>
        <v>0</v>
      </c>
      <c r="AD74" s="147">
        <f t="shared" ref="AD74:AD137" si="86">SUM(U74:W74)</f>
        <v>0</v>
      </c>
      <c r="AE74" s="147">
        <f t="shared" ref="AE74:AE137" si="87">SUM(X74:Z74)</f>
        <v>0</v>
      </c>
      <c r="AF74" s="148">
        <f t="shared" ref="AF74:AF137" si="88">SUM(AB74:AE74)</f>
        <v>23438.060000000001</v>
      </c>
      <c r="AH74" s="145">
        <f>SUMIF('2025 AC'!$B$3:$B$250,"*"&amp;$D74&amp;"*",'2025 AC'!C$3:C$250)</f>
        <v>30020.349999999999</v>
      </c>
      <c r="AI74" s="146">
        <f>SUMIF('2025 AC'!$B$3:$B$250,"*"&amp;$D74&amp;"*",'2025 AC'!D$3:D$250)</f>
        <v>0</v>
      </c>
      <c r="AJ74" s="146">
        <f>SUMIF('2025 AC'!$B$3:$B$250,"*"&amp;$D74&amp;"*",'2025 AC'!E$3:E$250)</f>
        <v>0</v>
      </c>
      <c r="AK74" s="146">
        <f>SUMIF('2025 AC'!$B$3:$B$250,"*"&amp;$D74&amp;"*",'2025 AC'!F$3:F$250)</f>
        <v>0</v>
      </c>
      <c r="AL74" s="146">
        <f>SUMIF('2025 AC'!$B$3:$B$250,"*"&amp;$D74&amp;"*",'2025 AC'!G$3:G$250)</f>
        <v>0</v>
      </c>
      <c r="AM74" s="146">
        <f>SUMIF('2025 AC'!$B$3:$B$250,"*"&amp;$D74&amp;"*",'2025 AC'!H$3:H$250)</f>
        <v>0</v>
      </c>
      <c r="AN74" s="146">
        <f>SUMIF('2025 AC'!$B$3:$B$250,"*"&amp;$D74&amp;"*",'2025 AC'!I$3:I$250)</f>
        <v>0</v>
      </c>
      <c r="AO74" s="146">
        <f>SUMIF('2025 AC'!$B$3:$B$250,"*"&amp;$D74&amp;"*",'2025 AC'!J$3:J$250)</f>
        <v>0</v>
      </c>
      <c r="AP74" s="146">
        <f>SUMIF('2025 AC'!$B$3:$B$250,"*"&amp;$D74&amp;"*",'2025 AC'!K$3:K$250)</f>
        <v>0</v>
      </c>
      <c r="AQ74" s="146">
        <f>SUMIF('2025 AC'!$B$3:$B$250,"*"&amp;$D74&amp;"*",'2025 AC'!L$3:L$250)</f>
        <v>0</v>
      </c>
      <c r="AR74" s="146">
        <f>SUMIF('2025 AC'!$B$3:$B$250,"*"&amp;$D74&amp;"*",'2025 AC'!M$3:M$250)</f>
        <v>0</v>
      </c>
      <c r="AS74" s="146">
        <f>SUMIF('2025 AC'!$B$3:$B$250,"*"&amp;$D74&amp;"*",'2025 AC'!N$3:N$250)</f>
        <v>0</v>
      </c>
      <c r="AT74" s="149">
        <f t="shared" ref="AT74:AT110" si="89">SUM(AH74:AS74)</f>
        <v>30020.349999999999</v>
      </c>
      <c r="AU74" s="147">
        <f t="shared" ref="AU74:AU137" si="90">SUM(AH74:AJ74)</f>
        <v>30020.349999999999</v>
      </c>
      <c r="AV74" s="147">
        <f t="shared" ref="AV74:AV137" si="91">SUM(AK74:AM74)</f>
        <v>0</v>
      </c>
      <c r="AW74" s="147">
        <f t="shared" ref="AW74:AW137" si="92">SUM(AN74:AP74)</f>
        <v>0</v>
      </c>
      <c r="AX74" s="147">
        <f t="shared" ref="AX74:AX137" si="93">SUM(AQ74:AS74)</f>
        <v>0</v>
      </c>
      <c r="AY74" s="148">
        <f t="shared" ref="AY74:AY137" si="94">SUM(AU74:AX74)</f>
        <v>30020.349999999999</v>
      </c>
      <c r="BA74" s="145">
        <f>SUMIF('2026 AC'!$B$3:$B$254,"*"&amp;$D74&amp;"*",'2026 AC'!C$3:C$254)</f>
        <v>41167.699999999997</v>
      </c>
      <c r="BB74" s="146">
        <f>SUMIF('2026 AC'!$B$3:$B$254,"*"&amp;$D74&amp;"*",'2026 AC'!D$3:D$254)</f>
        <v>40202.099999999999</v>
      </c>
      <c r="BC74" s="146">
        <f>SUMIF('2026 AC'!$B$3:$B$254,"*"&amp;$D74&amp;"*",'2026 AC'!E$3:E$254)</f>
        <v>44444.290000000001</v>
      </c>
      <c r="BD74" s="146">
        <f>SUMIF('2026 AC'!$B$3:$B$254,"*"&amp;$D74&amp;"*",'2026 AC'!F$3:F$254)</f>
        <v>38689.93</v>
      </c>
      <c r="BE74" s="146">
        <f>SUMIF('2026 AC'!$B$3:$B$254,"*"&amp;$D74&amp;"*",'2026 AC'!G$3:G$254)</f>
        <v>39319.489999999998</v>
      </c>
      <c r="BF74" s="146">
        <f>SUMIF('2026 AC'!$B$3:$B$254,"*"&amp;$D74&amp;"*",'2026 AC'!H$3:H$254)</f>
        <v>36922.050000000003</v>
      </c>
      <c r="BG74" s="146">
        <f>SUMIF('2026 AC'!$B$3:$B$254,"*"&amp;$D74&amp;"*",'2026 AC'!I$3:I$254)</f>
        <v>0</v>
      </c>
      <c r="BH74" s="146">
        <f>SUMIF('2026 AC'!$B$3:$B$254,"*"&amp;$D74&amp;"*",'2026 AC'!J$3:J$254)</f>
        <v>0</v>
      </c>
      <c r="BI74" s="146">
        <f>SUMIF('2026 AC'!$B$3:$B$254,"*"&amp;$D74&amp;"*",'2026 AC'!K$3:K$254)</f>
        <v>0</v>
      </c>
      <c r="BJ74" s="146">
        <f>SUMIF('2026 AC'!$B$3:$B$254,"*"&amp;$D74&amp;"*",'2026 AC'!L$3:L$254)</f>
        <v>0</v>
      </c>
      <c r="BK74" s="146">
        <f>SUMIF('2026 AC'!$B$3:$B$254,"*"&amp;$D74&amp;"*",'2026 AC'!M$3:M$254)</f>
        <v>0</v>
      </c>
      <c r="BL74" s="147">
        <f>SUMIF('2026 AC'!$B$3:$B$254,"*"&amp;$D74&amp;"*",'2026 AC'!N$3:N$254)</f>
        <v>0</v>
      </c>
      <c r="BM74" s="148">
        <f t="shared" ref="BM74:BM110" si="95">SUM(BA74:BL74)</f>
        <v>240745.56</v>
      </c>
      <c r="BN74" s="147">
        <f t="shared" ref="BN74:BN137" si="96">SUM(BA74:BC74)</f>
        <v>125814.09</v>
      </c>
      <c r="BO74" s="147">
        <f t="shared" ref="BO74:BO137" si="97">SUM(BD74:BF74)</f>
        <v>114931.47</v>
      </c>
      <c r="BP74" s="147">
        <f t="shared" ref="BP74:BP137" si="98">SUM(BG74:BI74)</f>
        <v>0</v>
      </c>
      <c r="BQ74" s="147">
        <f t="shared" ref="BQ74:BQ137" si="99">SUM(BJ74:BL74)</f>
        <v>0</v>
      </c>
      <c r="BR74" s="148">
        <f t="shared" ref="BR74:BR137" si="100">SUM(BN74:BQ74)</f>
        <v>240745.56</v>
      </c>
    </row>
    <row r="75" s="137" customFormat="1">
      <c r="A75" s="137" t="s">
        <v>147</v>
      </c>
      <c r="B75" s="137" t="s">
        <v>148</v>
      </c>
      <c r="C75" s="138" t="s">
        <v>149</v>
      </c>
      <c r="D75" s="139" t="s">
        <v>148</v>
      </c>
      <c r="E75" s="140">
        <f t="shared" si="49"/>
        <v>39470.190000000002</v>
      </c>
      <c r="F75" s="141">
        <f t="shared" si="50"/>
        <v>35070.410000000003</v>
      </c>
      <c r="G75" s="142">
        <f t="shared" ref="G75:G76" si="101">(E75-F75)/F75</f>
        <v>0.12545561913875539</v>
      </c>
      <c r="H75" s="143">
        <f t="shared" si="51"/>
        <v>108614.57000000001</v>
      </c>
      <c r="I75" s="143">
        <f t="shared" si="52"/>
        <v>106925.99000000001</v>
      </c>
      <c r="J75" s="142">
        <f t="shared" si="81"/>
        <v>1.5792044572138182e-02</v>
      </c>
      <c r="K75" s="143">
        <f t="shared" si="53"/>
        <v>240693.82000000001</v>
      </c>
      <c r="L75" s="143">
        <f t="shared" si="54"/>
        <v>220149.35000000001</v>
      </c>
      <c r="M75" s="144">
        <f t="shared" si="82"/>
        <v>9.3320602581838191e-02</v>
      </c>
      <c r="O75" s="145">
        <f>SUM(O76:O81)</f>
        <v>36471.729999999996</v>
      </c>
      <c r="P75" s="146">
        <f t="shared" ref="P75:Z75" si="102">SUM(P76:P81)</f>
        <v>36113.490000000005</v>
      </c>
      <c r="Q75" s="146">
        <f t="shared" si="102"/>
        <v>39425.470000000001</v>
      </c>
      <c r="R75" s="146">
        <f t="shared" si="102"/>
        <v>20218.330000000002</v>
      </c>
      <c r="S75" s="146">
        <f t="shared" si="102"/>
        <v>34110.270000000004</v>
      </c>
      <c r="T75" s="146">
        <f t="shared" si="102"/>
        <v>50931.209999999999</v>
      </c>
      <c r="U75" s="146">
        <f t="shared" si="102"/>
        <v>49620.32</v>
      </c>
      <c r="V75" s="146">
        <f t="shared" si="102"/>
        <v>64184.349999999999</v>
      </c>
      <c r="W75" s="146">
        <f t="shared" si="102"/>
        <v>37103.739999999998</v>
      </c>
      <c r="X75" s="146">
        <f t="shared" si="102"/>
        <v>32617.630000000001</v>
      </c>
      <c r="Y75" s="146">
        <f t="shared" si="102"/>
        <v>43980.279999999999</v>
      </c>
      <c r="Z75" s="147">
        <f t="shared" si="102"/>
        <v>47440.650000000001</v>
      </c>
      <c r="AA75" s="148">
        <f t="shared" si="83"/>
        <v>492217.46999999997</v>
      </c>
      <c r="AB75" s="147">
        <f t="shared" si="84"/>
        <v>112010.69</v>
      </c>
      <c r="AC75" s="147">
        <f t="shared" si="85"/>
        <v>105259.81</v>
      </c>
      <c r="AD75" s="147">
        <f t="shared" si="86"/>
        <v>150908.41</v>
      </c>
      <c r="AE75" s="147">
        <f t="shared" si="87"/>
        <v>124038.56</v>
      </c>
      <c r="AF75" s="148">
        <f t="shared" si="88"/>
        <v>492217.47000000003</v>
      </c>
      <c r="AH75" s="145">
        <f>SUMIF('2025 AC'!$B$3:$B$250,"*"&amp;$D75&amp;"*",'2025 AC'!C$3:C$250)</f>
        <v>46246.849999999999</v>
      </c>
      <c r="AI75" s="146">
        <f>SUMIF('2025 AC'!$B$3:$B$250,"*"&amp;$D75&amp;"*",'2025 AC'!D$3:D$250)</f>
        <v>45368.599999999999</v>
      </c>
      <c r="AJ75" s="146">
        <f>SUMIF('2025 AC'!$B$3:$B$250,"*"&amp;$D75&amp;"*",'2025 AC'!E$3:E$250)</f>
        <v>21607.91</v>
      </c>
      <c r="AK75" s="146">
        <f>SUMIF('2025 AC'!$B$3:$B$250,"*"&amp;$D75&amp;"*",'2025 AC'!F$3:F$250)</f>
        <v>33942.410000000003</v>
      </c>
      <c r="AL75" s="146">
        <f>SUMIF('2025 AC'!$B$3:$B$250,"*"&amp;$D75&amp;"*",'2025 AC'!G$3:G$250)</f>
        <v>37913.169999999998</v>
      </c>
      <c r="AM75" s="146">
        <f>SUMIF('2025 AC'!$B$3:$B$250,"*"&amp;$D75&amp;"*",'2025 AC'!H$3:H$250)</f>
        <v>35070.410000000003</v>
      </c>
      <c r="AN75" s="146">
        <f>SUMIF('2025 AC'!$B$3:$B$250,"*"&amp;$D75&amp;"*",'2025 AC'!I$3:I$250)</f>
        <v>9277.6200000000008</v>
      </c>
      <c r="AO75" s="146">
        <f>SUMIF('2025 AC'!$B$3:$B$250,"*"&amp;$D75&amp;"*",'2025 AC'!J$3:J$250)</f>
        <v>48246.309999999998</v>
      </c>
      <c r="AP75" s="146">
        <f>SUMIF('2025 AC'!$B$3:$B$250,"*"&amp;$D75&amp;"*",'2025 AC'!K$3:K$250)</f>
        <v>36973.730000000003</v>
      </c>
      <c r="AQ75" s="146">
        <f>SUMIF('2025 AC'!$B$3:$B$250,"*"&amp;$D75&amp;"*",'2025 AC'!L$3:L$250)</f>
        <v>55599.980000000003</v>
      </c>
      <c r="AR75" s="146">
        <f>SUMIF('2025 AC'!$B$3:$B$250,"*"&amp;$D75&amp;"*",'2025 AC'!M$3:M$250)</f>
        <v>29202.48</v>
      </c>
      <c r="AS75" s="146">
        <f>SUMIF('2025 AC'!$B$3:$B$250,"*"&amp;$D75&amp;"*",'2025 AC'!N$3:N$250)</f>
        <v>63364.550000000003</v>
      </c>
      <c r="AT75" s="149">
        <f t="shared" si="89"/>
        <v>462814.01999999996</v>
      </c>
      <c r="AU75" s="147">
        <f t="shared" si="90"/>
        <v>113223.36</v>
      </c>
      <c r="AV75" s="147">
        <f t="shared" si="91"/>
        <v>106925.99000000001</v>
      </c>
      <c r="AW75" s="147">
        <f t="shared" si="92"/>
        <v>94497.660000000003</v>
      </c>
      <c r="AX75" s="147">
        <f t="shared" si="93"/>
        <v>148167.01000000001</v>
      </c>
      <c r="AY75" s="148">
        <f t="shared" si="94"/>
        <v>462814.02000000002</v>
      </c>
      <c r="BA75" s="145">
        <f>SUMIF('2026 AC'!$B$3:$B$254,"*"&amp;$D75&amp;"*",'2026 AC'!C$3:C$254)</f>
        <v>54076.440000000002</v>
      </c>
      <c r="BB75" s="146">
        <f>SUMIF('2026 AC'!$B$3:$B$254,"*"&amp;$D75&amp;"*",'2026 AC'!D$3:D$254)</f>
        <v>40039.139999999999</v>
      </c>
      <c r="BC75" s="146">
        <f>SUMIF('2026 AC'!$B$3:$B$254,"*"&amp;$D75&amp;"*",'2026 AC'!E$3:E$254)</f>
        <v>37963.669999999998</v>
      </c>
      <c r="BD75" s="146">
        <f>SUMIF('2026 AC'!$B$3:$B$254,"*"&amp;$D75&amp;"*",'2026 AC'!F$3:F$254)</f>
        <v>31837.16</v>
      </c>
      <c r="BE75" s="146">
        <f>SUMIF('2026 AC'!$B$3:$B$254,"*"&amp;$D75&amp;"*",'2026 AC'!G$3:G$254)</f>
        <v>37307.220000000001</v>
      </c>
      <c r="BF75" s="146">
        <f>SUMIF('2026 AC'!$B$3:$B$254,"*"&amp;$D75&amp;"*",'2026 AC'!H$3:H$254)</f>
        <v>39470.190000000002</v>
      </c>
      <c r="BG75" s="146">
        <f>SUMIF('2026 AC'!$B$3:$B$254,"*"&amp;$D75&amp;"*",'2026 AC'!I$3:I$254)</f>
        <v>0</v>
      </c>
      <c r="BH75" s="146">
        <f>SUMIF('2026 AC'!$B$3:$B$254,"*"&amp;$D75&amp;"*",'2026 AC'!J$3:J$254)</f>
        <v>0</v>
      </c>
      <c r="BI75" s="146">
        <f>SUMIF('2026 AC'!$B$3:$B$254,"*"&amp;$D75&amp;"*",'2026 AC'!K$3:K$254)</f>
        <v>0</v>
      </c>
      <c r="BJ75" s="146">
        <f>SUMIF('2026 AC'!$B$3:$B$254,"*"&amp;$D75&amp;"*",'2026 AC'!L$3:L$254)</f>
        <v>0</v>
      </c>
      <c r="BK75" s="146">
        <f>SUMIF('2026 AC'!$B$3:$B$254,"*"&amp;$D75&amp;"*",'2026 AC'!M$3:M$254)</f>
        <v>0</v>
      </c>
      <c r="BL75" s="147">
        <f>SUMIF('2026 AC'!$B$3:$B$254,"*"&amp;$D75&amp;"*",'2026 AC'!N$3:N$254)</f>
        <v>0</v>
      </c>
      <c r="BM75" s="148">
        <f t="shared" si="95"/>
        <v>240693.82000000001</v>
      </c>
      <c r="BN75" s="147">
        <f t="shared" si="96"/>
        <v>132079.25</v>
      </c>
      <c r="BO75" s="147">
        <f t="shared" si="97"/>
        <v>108614.57000000001</v>
      </c>
      <c r="BP75" s="147">
        <f t="shared" si="98"/>
        <v>0</v>
      </c>
      <c r="BQ75" s="147">
        <f t="shared" si="99"/>
        <v>0</v>
      </c>
      <c r="BR75" s="148">
        <f t="shared" si="100"/>
        <v>240693.82000000001</v>
      </c>
    </row>
    <row r="76" ht="15" customHeight="1" outlineLevel="1">
      <c r="A76" t="s">
        <v>150</v>
      </c>
      <c r="B76" t="s">
        <v>151</v>
      </c>
      <c r="C76" s="52" t="s">
        <v>152</v>
      </c>
      <c r="D76" s="35" t="s">
        <v>151</v>
      </c>
      <c r="E76" s="151">
        <f t="shared" si="49"/>
        <v>10342</v>
      </c>
      <c r="F76" s="152">
        <f t="shared" si="50"/>
        <v>8080</v>
      </c>
      <c r="G76" s="54">
        <f t="shared" si="101"/>
        <v>0.27995049504950498</v>
      </c>
      <c r="H76" s="153">
        <f t="shared" si="51"/>
        <v>30144</v>
      </c>
      <c r="I76" s="153">
        <f t="shared" si="52"/>
        <v>31334</v>
      </c>
      <c r="J76" s="54">
        <f t="shared" si="81"/>
        <v>-3.7977915363502902e-02</v>
      </c>
      <c r="K76" s="153">
        <f t="shared" si="53"/>
        <v>84862</v>
      </c>
      <c r="L76" s="153">
        <f t="shared" si="54"/>
        <v>66538.910000000003</v>
      </c>
      <c r="M76" s="55">
        <f t="shared" si="82"/>
        <v>0.27537406308579437</v>
      </c>
      <c r="O76" s="63">
        <f>SUMIF('2024 AC'!$B$3:$B$250,"*"&amp;$D76&amp;"*",'2024 AC'!C$3:C$250)</f>
        <v>18604</v>
      </c>
      <c r="P76" s="53">
        <f>SUMIF('2024 AC'!$B$3:$B$250,"*"&amp;$D76&amp;"*",'2024 AC'!D$3:D$250)</f>
        <v>13245</v>
      </c>
      <c r="Q76" s="53">
        <f>SUMIF('2024 AC'!$B$3:$B$250,"*"&amp;$D76&amp;"*",'2024 AC'!E$3:E$250)</f>
        <v>17212</v>
      </c>
      <c r="R76" s="53">
        <f>SUMIF('2024 AC'!$B$3:$B$250,"*"&amp;$D76&amp;"*",'2024 AC'!F$3:F$250)</f>
        <v>2805</v>
      </c>
      <c r="S76" s="53">
        <f>SUMIF('2024 AC'!$B$3:$B$250,"*"&amp;$D76&amp;"*",'2024 AC'!G$3:G$250)</f>
        <v>9347</v>
      </c>
      <c r="T76" s="53">
        <f>SUMIF('2024 AC'!$B$3:$B$250,"*"&amp;$D76&amp;"*",'2024 AC'!H$3:H$250)</f>
        <v>22737</v>
      </c>
      <c r="U76" s="53">
        <f>SUMIF('2024 AC'!$B$3:$B$250,"*"&amp;$D76&amp;"*",'2024 AC'!I$3:I$250)</f>
        <v>11924</v>
      </c>
      <c r="V76" s="53">
        <f>SUMIF('2024 AC'!$B$3:$B$250,"*"&amp;$D76&amp;"*",'2024 AC'!J$3:J$250)</f>
        <v>29110</v>
      </c>
      <c r="W76" s="53">
        <f>SUMIF('2024 AC'!$B$3:$B$250,"*"&amp;$D76&amp;"*",'2024 AC'!K$3:K$250)</f>
        <v>4197</v>
      </c>
      <c r="X76" s="53">
        <f>SUMIF('2024 AC'!$B$3:$B$250,"*"&amp;$D76&amp;"*",'2024 AC'!L$3:L$250)</f>
        <v>3360</v>
      </c>
      <c r="Y76" s="53">
        <f>SUMIF('2024 AC'!$B$3:$B$250,"*"&amp;$D76&amp;"*",'2024 AC'!M$3:M$250)</f>
        <v>15775</v>
      </c>
      <c r="Z76" s="93">
        <f>SUMIF('2024 AC'!$B$3:$B$250,"*"&amp;$D76&amp;"*",'2024 AC'!N$3:N$250)</f>
        <v>12398</v>
      </c>
      <c r="AA76" s="92">
        <f t="shared" si="83"/>
        <v>160714</v>
      </c>
      <c r="AB76" s="93">
        <f t="shared" si="84"/>
        <v>49061</v>
      </c>
      <c r="AC76" s="93">
        <f t="shared" si="85"/>
        <v>34889</v>
      </c>
      <c r="AD76" s="93">
        <f t="shared" si="86"/>
        <v>45231</v>
      </c>
      <c r="AE76" s="93">
        <f t="shared" si="87"/>
        <v>31533</v>
      </c>
      <c r="AF76" s="92">
        <f t="shared" si="88"/>
        <v>160714</v>
      </c>
      <c r="AH76" s="63">
        <f>SUMIF('2025 AC'!$B$3:$B$250,"*"&amp;$D76&amp;"*",'2025 AC'!C$3:C$250)</f>
        <v>16906.860000000001</v>
      </c>
      <c r="AI76" s="53">
        <f>SUMIF('2025 AC'!$B$3:$B$250,"*"&amp;$D76&amp;"*",'2025 AC'!D$3:D$250)</f>
        <v>15678.049999999999</v>
      </c>
      <c r="AJ76" s="53">
        <f>SUMIF('2025 AC'!$B$3:$B$250,"*"&amp;$D76&amp;"*",'2025 AC'!E$3:E$250)</f>
        <v>2620</v>
      </c>
      <c r="AK76" s="53">
        <f>SUMIF('2025 AC'!$B$3:$B$250,"*"&amp;$D76&amp;"*",'2025 AC'!F$3:F$250)</f>
        <v>9013</v>
      </c>
      <c r="AL76" s="53">
        <f>SUMIF('2025 AC'!$B$3:$B$250,"*"&amp;$D76&amp;"*",'2025 AC'!G$3:G$250)</f>
        <v>14241</v>
      </c>
      <c r="AM76" s="53">
        <f>SUMIF('2025 AC'!$B$3:$B$250,"*"&amp;$D76&amp;"*",'2025 AC'!H$3:H$250)</f>
        <v>8080</v>
      </c>
      <c r="AN76" s="53">
        <f>SUMIF('2025 AC'!$B$3:$B$250,"*"&amp;$D76&amp;"*",'2025 AC'!I$3:I$250)</f>
        <v>9677.6200000000008</v>
      </c>
      <c r="AO76" s="53">
        <f>SUMIF('2025 AC'!$B$3:$B$250,"*"&amp;$D76&amp;"*",'2025 AC'!J$3:J$250)</f>
        <v>23300.98</v>
      </c>
      <c r="AP76" s="53">
        <f>SUMIF('2025 AC'!$B$3:$B$250,"*"&amp;$D76&amp;"*",'2025 AC'!K$3:K$250)</f>
        <v>11848</v>
      </c>
      <c r="AQ76" s="53">
        <f>SUMIF('2025 AC'!$B$3:$B$250,"*"&amp;$D76&amp;"*",'2025 AC'!L$3:L$250)</f>
        <v>29928</v>
      </c>
      <c r="AR76" s="53">
        <f>SUMIF('2025 AC'!$B$3:$B$250,"*"&amp;$D76&amp;"*",'2025 AC'!M$3:M$250)</f>
        <v>6695</v>
      </c>
      <c r="AS76" s="53">
        <f>SUMIF('2025 AC'!$B$3:$B$250,"*"&amp;$D76&amp;"*",'2025 AC'!N$3:N$250)</f>
        <v>11569</v>
      </c>
      <c r="AT76" s="94">
        <f t="shared" si="89"/>
        <v>159557.51000000001</v>
      </c>
      <c r="AU76" s="93">
        <f t="shared" si="90"/>
        <v>35204.910000000003</v>
      </c>
      <c r="AV76" s="93">
        <f t="shared" si="91"/>
        <v>31334</v>
      </c>
      <c r="AW76" s="93">
        <f t="shared" si="92"/>
        <v>44826.599999999999</v>
      </c>
      <c r="AX76" s="93">
        <f t="shared" si="93"/>
        <v>48192</v>
      </c>
      <c r="AY76" s="92">
        <f t="shared" si="94"/>
        <v>159557.51000000001</v>
      </c>
      <c r="BA76" s="63">
        <f>SUMIF('2026 AC'!$B$3:$B$254,"*"&amp;$D76&amp;"*",'2026 AC'!C$3:C$254)</f>
        <v>25601</v>
      </c>
      <c r="BB76" s="53">
        <f>SUMIF('2026 AC'!$B$3:$B$254,"*"&amp;$D76&amp;"*",'2026 AC'!D$3:D$254)</f>
        <v>13590</v>
      </c>
      <c r="BC76" s="53">
        <f>SUMIF('2026 AC'!$B$3:$B$254,"*"&amp;$D76&amp;"*",'2026 AC'!E$3:E$254)</f>
        <v>15527</v>
      </c>
      <c r="BD76" s="53">
        <f>SUMIF('2026 AC'!$B$3:$B$254,"*"&amp;$D76&amp;"*",'2026 AC'!F$3:F$254)</f>
        <v>7622</v>
      </c>
      <c r="BE76" s="53">
        <f>SUMIF('2026 AC'!$B$3:$B$254,"*"&amp;$D76&amp;"*",'2026 AC'!G$3:G$254)</f>
        <v>12180</v>
      </c>
      <c r="BF76" s="53">
        <f>SUMIF('2026 AC'!$B$3:$B$254,"*"&amp;$D76&amp;"*",'2026 AC'!H$3:H$254)</f>
        <v>10342</v>
      </c>
      <c r="BG76" s="53">
        <f>SUMIF('2026 AC'!$B$3:$B$254,"*"&amp;$D76&amp;"*",'2026 AC'!I$3:I$254)</f>
        <v>0</v>
      </c>
      <c r="BH76" s="53">
        <f>SUMIF('2026 AC'!$B$3:$B$254,"*"&amp;$D76&amp;"*",'2026 AC'!J$3:J$254)</f>
        <v>0</v>
      </c>
      <c r="BI76" s="53">
        <f>SUMIF('2026 AC'!$B$3:$B$254,"*"&amp;$D76&amp;"*",'2026 AC'!K$3:K$254)</f>
        <v>0</v>
      </c>
      <c r="BJ76" s="53">
        <f>SUMIF('2026 AC'!$B$3:$B$254,"*"&amp;$D76&amp;"*",'2026 AC'!L$3:L$254)</f>
        <v>0</v>
      </c>
      <c r="BK76" s="53">
        <f>SUMIF('2026 AC'!$B$3:$B$254,"*"&amp;$D76&amp;"*",'2026 AC'!M$3:M$254)</f>
        <v>0</v>
      </c>
      <c r="BL76" s="93">
        <f>SUMIF('2026 AC'!$B$3:$B$254,"*"&amp;$D76&amp;"*",'2026 AC'!N$3:N$254)</f>
        <v>0</v>
      </c>
      <c r="BM76" s="92">
        <f t="shared" si="95"/>
        <v>84862</v>
      </c>
      <c r="BN76" s="93">
        <f t="shared" si="96"/>
        <v>54718</v>
      </c>
      <c r="BO76" s="93">
        <f t="shared" si="97"/>
        <v>30144</v>
      </c>
      <c r="BP76" s="93">
        <f t="shared" si="98"/>
        <v>0</v>
      </c>
      <c r="BQ76" s="93">
        <f t="shared" si="99"/>
        <v>0</v>
      </c>
      <c r="BR76" s="92">
        <f t="shared" si="100"/>
        <v>84862</v>
      </c>
    </row>
    <row r="77" ht="15" customHeight="1" outlineLevel="1">
      <c r="A77" t="s">
        <v>153</v>
      </c>
      <c r="B77" t="s">
        <v>154</v>
      </c>
      <c r="C77" s="52" t="s">
        <v>155</v>
      </c>
      <c r="D77" s="35" t="s">
        <v>154</v>
      </c>
      <c r="E77" s="151">
        <f t="shared" si="49"/>
        <v>0</v>
      </c>
      <c r="F77" s="152">
        <f t="shared" si="50"/>
        <v>0</v>
      </c>
      <c r="G77" s="154">
        <f t="shared" ref="G77:G80" si="103">IFERROR((E77-F77)/F77,0)</f>
        <v>0</v>
      </c>
      <c r="H77" s="153">
        <f t="shared" si="51"/>
        <v>0</v>
      </c>
      <c r="I77" s="153">
        <f t="shared" si="52"/>
        <v>0</v>
      </c>
      <c r="J77" s="154">
        <f t="shared" ref="J77:J80" si="104">IFERROR((H77-I77)/I77,0)</f>
        <v>0</v>
      </c>
      <c r="K77" s="153">
        <f t="shared" si="53"/>
        <v>0</v>
      </c>
      <c r="L77" s="153">
        <f t="shared" si="54"/>
        <v>0</v>
      </c>
      <c r="M77" s="155">
        <f t="shared" ref="M77:M80" si="105">IFERROR((K77-L77)/L77,0)</f>
        <v>0</v>
      </c>
      <c r="O77" s="63">
        <f>SUMIF('2024 AC'!$B$3:$B$250,"*"&amp;$D77&amp;"*",'2024 AC'!C$3:C$250)</f>
        <v>0</v>
      </c>
      <c r="P77" s="53">
        <f>SUMIF('2024 AC'!$B$3:$B$250,"*"&amp;$D77&amp;"*",'2024 AC'!D$3:D$250)</f>
        <v>0</v>
      </c>
      <c r="Q77" s="53">
        <f>SUMIF('2024 AC'!$B$3:$B$250,"*"&amp;$D77&amp;"*",'2024 AC'!E$3:E$250)</f>
        <v>0</v>
      </c>
      <c r="R77" s="53">
        <f>SUMIF('2024 AC'!$B$3:$B$250,"*"&amp;$D77&amp;"*",'2024 AC'!F$3:F$250)</f>
        <v>0</v>
      </c>
      <c r="S77" s="53">
        <f>SUMIF('2024 AC'!$B$3:$B$250,"*"&amp;$D77&amp;"*",'2024 AC'!G$3:G$250)</f>
        <v>0</v>
      </c>
      <c r="T77" s="53">
        <f>SUMIF('2024 AC'!$B$3:$B$250,"*"&amp;$D77&amp;"*",'2024 AC'!H$3:H$250)</f>
        <v>0</v>
      </c>
      <c r="U77" s="53">
        <f>SUMIF('2024 AC'!$B$3:$B$250,"*"&amp;$D77&amp;"*",'2024 AC'!I$3:I$250)</f>
        <v>0</v>
      </c>
      <c r="V77" s="53">
        <f>SUMIF('2024 AC'!$B$3:$B$250,"*"&amp;$D77&amp;"*",'2024 AC'!J$3:J$250)</f>
        <v>0</v>
      </c>
      <c r="W77" s="53">
        <f>SUMIF('2024 AC'!$B$3:$B$250,"*"&amp;$D77&amp;"*",'2024 AC'!K$3:K$250)</f>
        <v>0</v>
      </c>
      <c r="X77" s="53">
        <f>SUMIF('2024 AC'!$B$3:$B$250,"*"&amp;$D77&amp;"*",'2024 AC'!L$3:L$250)</f>
        <v>0</v>
      </c>
      <c r="Y77" s="53">
        <f>SUMIF('2024 AC'!$B$3:$B$250,"*"&amp;$D77&amp;"*",'2024 AC'!M$3:M$250)</f>
        <v>0</v>
      </c>
      <c r="Z77" s="93">
        <f>SUMIF('2024 AC'!$B$3:$B$250,"*"&amp;$D77&amp;"*",'2024 AC'!N$3:N$250)</f>
        <v>0</v>
      </c>
      <c r="AA77" s="92">
        <f t="shared" si="83"/>
        <v>0</v>
      </c>
      <c r="AB77" s="93">
        <f t="shared" si="84"/>
        <v>0</v>
      </c>
      <c r="AC77" s="93">
        <f t="shared" si="85"/>
        <v>0</v>
      </c>
      <c r="AD77" s="93">
        <f t="shared" si="86"/>
        <v>0</v>
      </c>
      <c r="AE77" s="93">
        <f t="shared" si="87"/>
        <v>0</v>
      </c>
      <c r="AF77" s="92">
        <f t="shared" si="88"/>
        <v>0</v>
      </c>
      <c r="AH77" s="63">
        <f>SUMIF('2025 AC'!$B$3:$B$250,"*"&amp;$D77&amp;"*",'2025 AC'!C$3:C$250)</f>
        <v>0</v>
      </c>
      <c r="AI77" s="53">
        <f>SUMIF('2025 AC'!$B$3:$B$250,"*"&amp;$D77&amp;"*",'2025 AC'!D$3:D$250)</f>
        <v>0</v>
      </c>
      <c r="AJ77" s="53">
        <f>SUMIF('2025 AC'!$B$3:$B$250,"*"&amp;$D77&amp;"*",'2025 AC'!E$3:E$250)</f>
        <v>0</v>
      </c>
      <c r="AK77" s="53">
        <f>SUMIF('2025 AC'!$B$3:$B$250,"*"&amp;$D77&amp;"*",'2025 AC'!F$3:F$250)</f>
        <v>0</v>
      </c>
      <c r="AL77" s="53">
        <f>SUMIF('2025 AC'!$B$3:$B$250,"*"&amp;$D77&amp;"*",'2025 AC'!G$3:G$250)</f>
        <v>0</v>
      </c>
      <c r="AM77" s="53">
        <f>SUMIF('2025 AC'!$B$3:$B$250,"*"&amp;$D77&amp;"*",'2025 AC'!H$3:H$250)</f>
        <v>0</v>
      </c>
      <c r="AN77" s="53">
        <f>SUMIF('2025 AC'!$B$3:$B$250,"*"&amp;$D77&amp;"*",'2025 AC'!I$3:I$250)</f>
        <v>0</v>
      </c>
      <c r="AO77" s="53">
        <f>SUMIF('2025 AC'!$B$3:$B$250,"*"&amp;$D77&amp;"*",'2025 AC'!J$3:J$250)</f>
        <v>0</v>
      </c>
      <c r="AP77" s="53">
        <f>SUMIF('2025 AC'!$B$3:$B$250,"*"&amp;$D77&amp;"*",'2025 AC'!K$3:K$250)</f>
        <v>0</v>
      </c>
      <c r="AQ77" s="53">
        <f>SUMIF('2025 AC'!$B$3:$B$250,"*"&amp;$D77&amp;"*",'2025 AC'!L$3:L$250)</f>
        <v>0</v>
      </c>
      <c r="AR77" s="53">
        <f>SUMIF('2025 AC'!$B$3:$B$250,"*"&amp;$D77&amp;"*",'2025 AC'!M$3:M$250)</f>
        <v>0</v>
      </c>
      <c r="AS77" s="53">
        <f>SUMIF('2025 AC'!$B$3:$B$250,"*"&amp;$D77&amp;"*",'2025 AC'!N$3:N$250)</f>
        <v>0</v>
      </c>
      <c r="AT77" s="94">
        <f t="shared" si="89"/>
        <v>0</v>
      </c>
      <c r="AU77" s="93">
        <f t="shared" si="90"/>
        <v>0</v>
      </c>
      <c r="AV77" s="93">
        <f t="shared" si="91"/>
        <v>0</v>
      </c>
      <c r="AW77" s="93">
        <f t="shared" si="92"/>
        <v>0</v>
      </c>
      <c r="AX77" s="93">
        <f t="shared" si="93"/>
        <v>0</v>
      </c>
      <c r="AY77" s="92">
        <f t="shared" si="94"/>
        <v>0</v>
      </c>
      <c r="BA77" s="63">
        <f>SUMIF('2026 AC'!$B$3:$B$254,"*"&amp;$D77&amp;"*",'2026 AC'!C$3:C$254)</f>
        <v>0</v>
      </c>
      <c r="BB77" s="53">
        <f>SUMIF('2026 AC'!$B$3:$B$254,"*"&amp;$D77&amp;"*",'2026 AC'!D$3:D$254)</f>
        <v>0</v>
      </c>
      <c r="BC77" s="53">
        <f>SUMIF('2026 AC'!$B$3:$B$254,"*"&amp;$D77&amp;"*",'2026 AC'!E$3:E$254)</f>
        <v>0</v>
      </c>
      <c r="BD77" s="53">
        <f>SUMIF('2026 AC'!$B$3:$B$254,"*"&amp;$D77&amp;"*",'2026 AC'!F$3:F$254)</f>
        <v>0</v>
      </c>
      <c r="BE77" s="53">
        <f>SUMIF('2026 AC'!$B$3:$B$254,"*"&amp;$D77&amp;"*",'2026 AC'!G$3:G$254)</f>
        <v>0</v>
      </c>
      <c r="BF77" s="53">
        <f>SUMIF('2026 AC'!$B$3:$B$254,"*"&amp;$D77&amp;"*",'2026 AC'!H$3:H$254)</f>
        <v>0</v>
      </c>
      <c r="BG77" s="53">
        <f>SUMIF('2026 AC'!$B$3:$B$254,"*"&amp;$D77&amp;"*",'2026 AC'!I$3:I$254)</f>
        <v>0</v>
      </c>
      <c r="BH77" s="53">
        <f>SUMIF('2026 AC'!$B$3:$B$254,"*"&amp;$D77&amp;"*",'2026 AC'!J$3:J$254)</f>
        <v>0</v>
      </c>
      <c r="BI77" s="53">
        <f>SUMIF('2026 AC'!$B$3:$B$254,"*"&amp;$D77&amp;"*",'2026 AC'!K$3:K$254)</f>
        <v>0</v>
      </c>
      <c r="BJ77" s="53">
        <f>SUMIF('2026 AC'!$B$3:$B$254,"*"&amp;$D77&amp;"*",'2026 AC'!L$3:L$254)</f>
        <v>0</v>
      </c>
      <c r="BK77" s="53">
        <f>SUMIF('2026 AC'!$B$3:$B$254,"*"&amp;$D77&amp;"*",'2026 AC'!M$3:M$254)</f>
        <v>0</v>
      </c>
      <c r="BL77" s="93">
        <f>SUMIF('2026 AC'!$B$3:$B$254,"*"&amp;$D77&amp;"*",'2026 AC'!N$3:N$254)</f>
        <v>0</v>
      </c>
      <c r="BM77" s="92">
        <f t="shared" si="95"/>
        <v>0</v>
      </c>
      <c r="BN77" s="93">
        <f t="shared" si="96"/>
        <v>0</v>
      </c>
      <c r="BO77" s="93">
        <f t="shared" si="97"/>
        <v>0</v>
      </c>
      <c r="BP77" s="93">
        <f t="shared" si="98"/>
        <v>0</v>
      </c>
      <c r="BQ77" s="93">
        <f t="shared" si="99"/>
        <v>0</v>
      </c>
      <c r="BR77" s="92">
        <f t="shared" si="100"/>
        <v>0</v>
      </c>
    </row>
    <row r="78" ht="15" customHeight="1" outlineLevel="1">
      <c r="A78" t="s">
        <v>156</v>
      </c>
      <c r="B78" t="s">
        <v>157</v>
      </c>
      <c r="C78" s="52" t="s">
        <v>158</v>
      </c>
      <c r="D78" s="35" t="s">
        <v>157</v>
      </c>
      <c r="E78" s="151">
        <f t="shared" si="49"/>
        <v>0</v>
      </c>
      <c r="F78" s="152">
        <f t="shared" si="50"/>
        <v>0</v>
      </c>
      <c r="G78" s="154">
        <f t="shared" si="103"/>
        <v>0</v>
      </c>
      <c r="H78" s="153">
        <f t="shared" si="51"/>
        <v>0</v>
      </c>
      <c r="I78" s="153">
        <f t="shared" si="52"/>
        <v>0</v>
      </c>
      <c r="J78" s="154">
        <f t="shared" si="104"/>
        <v>0</v>
      </c>
      <c r="K78" s="153">
        <f t="shared" si="53"/>
        <v>0</v>
      </c>
      <c r="L78" s="153">
        <f t="shared" si="54"/>
        <v>0</v>
      </c>
      <c r="M78" s="155">
        <f t="shared" si="105"/>
        <v>0</v>
      </c>
      <c r="O78" s="63">
        <f>SUMIF('2024 AC'!$B$3:$B$250,"*"&amp;$D78&amp;"*",'2024 AC'!C$3:C$250)</f>
        <v>0</v>
      </c>
      <c r="P78" s="53">
        <f>SUMIF('2024 AC'!$B$3:$B$250,"*"&amp;$D78&amp;"*",'2024 AC'!D$3:D$250)</f>
        <v>0</v>
      </c>
      <c r="Q78" s="53">
        <f>SUMIF('2024 AC'!$B$3:$B$250,"*"&amp;$D78&amp;"*",'2024 AC'!E$3:E$250)</f>
        <v>0</v>
      </c>
      <c r="R78" s="53">
        <f>SUMIF('2024 AC'!$B$3:$B$250,"*"&amp;$D78&amp;"*",'2024 AC'!F$3:F$250)</f>
        <v>0</v>
      </c>
      <c r="S78" s="53">
        <f>SUMIF('2024 AC'!$B$3:$B$250,"*"&amp;$D78&amp;"*",'2024 AC'!G$3:G$250)</f>
        <v>0</v>
      </c>
      <c r="T78" s="53">
        <f>SUMIF('2024 AC'!$B$3:$B$250,"*"&amp;$D78&amp;"*",'2024 AC'!H$3:H$250)</f>
        <v>0</v>
      </c>
      <c r="U78" s="53">
        <f>SUMIF('2024 AC'!$B$3:$B$250,"*"&amp;$D78&amp;"*",'2024 AC'!I$3:I$250)</f>
        <v>0</v>
      </c>
      <c r="V78" s="53">
        <f>SUMIF('2024 AC'!$B$3:$B$250,"*"&amp;$D78&amp;"*",'2024 AC'!J$3:J$250)</f>
        <v>0</v>
      </c>
      <c r="W78" s="53">
        <f>SUMIF('2024 AC'!$B$3:$B$250,"*"&amp;$D78&amp;"*",'2024 AC'!K$3:K$250)</f>
        <v>0</v>
      </c>
      <c r="X78" s="53">
        <f>SUMIF('2024 AC'!$B$3:$B$250,"*"&amp;$D78&amp;"*",'2024 AC'!L$3:L$250)</f>
        <v>0</v>
      </c>
      <c r="Y78" s="53">
        <f>SUMIF('2024 AC'!$B$3:$B$250,"*"&amp;$D78&amp;"*",'2024 AC'!M$3:M$250)</f>
        <v>0</v>
      </c>
      <c r="Z78" s="93">
        <f>SUMIF('2024 AC'!$B$3:$B$250,"*"&amp;$D78&amp;"*",'2024 AC'!N$3:N$250)</f>
        <v>0</v>
      </c>
      <c r="AA78" s="92">
        <f t="shared" si="83"/>
        <v>0</v>
      </c>
      <c r="AB78" s="93">
        <f t="shared" si="84"/>
        <v>0</v>
      </c>
      <c r="AC78" s="93">
        <f t="shared" si="85"/>
        <v>0</v>
      </c>
      <c r="AD78" s="93">
        <f t="shared" si="86"/>
        <v>0</v>
      </c>
      <c r="AE78" s="93">
        <f t="shared" si="87"/>
        <v>0</v>
      </c>
      <c r="AF78" s="92">
        <f t="shared" si="88"/>
        <v>0</v>
      </c>
      <c r="AH78" s="63">
        <f>SUMIF('2025 AC'!$B$3:$B$250,"*"&amp;$D78&amp;"*",'2025 AC'!C$3:C$250)</f>
        <v>0</v>
      </c>
      <c r="AI78" s="53">
        <f>SUMIF('2025 AC'!$B$3:$B$250,"*"&amp;$D78&amp;"*",'2025 AC'!D$3:D$250)</f>
        <v>0</v>
      </c>
      <c r="AJ78" s="53">
        <f>SUMIF('2025 AC'!$B$3:$B$250,"*"&amp;$D78&amp;"*",'2025 AC'!E$3:E$250)</f>
        <v>0</v>
      </c>
      <c r="AK78" s="53">
        <f>SUMIF('2025 AC'!$B$3:$B$250,"*"&amp;$D78&amp;"*",'2025 AC'!F$3:F$250)</f>
        <v>0</v>
      </c>
      <c r="AL78" s="53">
        <f>SUMIF('2025 AC'!$B$3:$B$250,"*"&amp;$D78&amp;"*",'2025 AC'!G$3:G$250)</f>
        <v>0</v>
      </c>
      <c r="AM78" s="53">
        <f>SUMIF('2025 AC'!$B$3:$B$250,"*"&amp;$D78&amp;"*",'2025 AC'!H$3:H$250)</f>
        <v>0</v>
      </c>
      <c r="AN78" s="53">
        <f>SUMIF('2025 AC'!$B$3:$B$250,"*"&amp;$D78&amp;"*",'2025 AC'!I$3:I$250)</f>
        <v>0</v>
      </c>
      <c r="AO78" s="53">
        <f>SUMIF('2025 AC'!$B$3:$B$250,"*"&amp;$D78&amp;"*",'2025 AC'!J$3:J$250)</f>
        <v>0</v>
      </c>
      <c r="AP78" s="53">
        <f>SUMIF('2025 AC'!$B$3:$B$250,"*"&amp;$D78&amp;"*",'2025 AC'!K$3:K$250)</f>
        <v>0</v>
      </c>
      <c r="AQ78" s="53">
        <f>SUMIF('2025 AC'!$B$3:$B$250,"*"&amp;$D78&amp;"*",'2025 AC'!L$3:L$250)</f>
        <v>0</v>
      </c>
      <c r="AR78" s="53">
        <f>SUMIF('2025 AC'!$B$3:$B$250,"*"&amp;$D78&amp;"*",'2025 AC'!M$3:M$250)</f>
        <v>0</v>
      </c>
      <c r="AS78" s="53">
        <f>SUMIF('2025 AC'!$B$3:$B$250,"*"&amp;$D78&amp;"*",'2025 AC'!N$3:N$250)</f>
        <v>0</v>
      </c>
      <c r="AT78" s="94">
        <f t="shared" si="89"/>
        <v>0</v>
      </c>
      <c r="AU78" s="93">
        <f t="shared" si="90"/>
        <v>0</v>
      </c>
      <c r="AV78" s="93">
        <f t="shared" si="91"/>
        <v>0</v>
      </c>
      <c r="AW78" s="93">
        <f t="shared" si="92"/>
        <v>0</v>
      </c>
      <c r="AX78" s="93">
        <f t="shared" si="93"/>
        <v>0</v>
      </c>
      <c r="AY78" s="92">
        <f t="shared" si="94"/>
        <v>0</v>
      </c>
      <c r="BA78" s="63">
        <f>SUMIF('2026 AC'!$B$3:$B$254,"*"&amp;$D78&amp;"*",'2026 AC'!C$3:C$254)</f>
        <v>0</v>
      </c>
      <c r="BB78" s="53">
        <f>SUMIF('2026 AC'!$B$3:$B$254,"*"&amp;$D78&amp;"*",'2026 AC'!D$3:D$254)</f>
        <v>0</v>
      </c>
      <c r="BC78" s="53">
        <f>SUMIF('2026 AC'!$B$3:$B$254,"*"&amp;$D78&amp;"*",'2026 AC'!E$3:E$254)</f>
        <v>0</v>
      </c>
      <c r="BD78" s="53">
        <f>SUMIF('2026 AC'!$B$3:$B$254,"*"&amp;$D78&amp;"*",'2026 AC'!F$3:F$254)</f>
        <v>0</v>
      </c>
      <c r="BE78" s="53">
        <f>SUMIF('2026 AC'!$B$3:$B$254,"*"&amp;$D78&amp;"*",'2026 AC'!G$3:G$254)</f>
        <v>0</v>
      </c>
      <c r="BF78" s="53">
        <f>SUMIF('2026 AC'!$B$3:$B$254,"*"&amp;$D78&amp;"*",'2026 AC'!H$3:H$254)</f>
        <v>0</v>
      </c>
      <c r="BG78" s="53">
        <f>SUMIF('2026 AC'!$B$3:$B$254,"*"&amp;$D78&amp;"*",'2026 AC'!I$3:I$254)</f>
        <v>0</v>
      </c>
      <c r="BH78" s="53">
        <f>SUMIF('2026 AC'!$B$3:$B$254,"*"&amp;$D78&amp;"*",'2026 AC'!J$3:J$254)</f>
        <v>0</v>
      </c>
      <c r="BI78" s="53">
        <f>SUMIF('2026 AC'!$B$3:$B$254,"*"&amp;$D78&amp;"*",'2026 AC'!K$3:K$254)</f>
        <v>0</v>
      </c>
      <c r="BJ78" s="53">
        <f>SUMIF('2026 AC'!$B$3:$B$254,"*"&amp;$D78&amp;"*",'2026 AC'!L$3:L$254)</f>
        <v>0</v>
      </c>
      <c r="BK78" s="53">
        <f>SUMIF('2026 AC'!$B$3:$B$254,"*"&amp;$D78&amp;"*",'2026 AC'!M$3:M$254)</f>
        <v>0</v>
      </c>
      <c r="BL78" s="93">
        <f>SUMIF('2026 AC'!$B$3:$B$254,"*"&amp;$D78&amp;"*",'2026 AC'!N$3:N$254)</f>
        <v>0</v>
      </c>
      <c r="BM78" s="92">
        <f t="shared" si="95"/>
        <v>0</v>
      </c>
      <c r="BN78" s="93">
        <f t="shared" si="96"/>
        <v>0</v>
      </c>
      <c r="BO78" s="93">
        <f t="shared" si="97"/>
        <v>0</v>
      </c>
      <c r="BP78" s="93">
        <f t="shared" si="98"/>
        <v>0</v>
      </c>
      <c r="BQ78" s="93">
        <f t="shared" si="99"/>
        <v>0</v>
      </c>
      <c r="BR78" s="92">
        <f t="shared" si="100"/>
        <v>0</v>
      </c>
    </row>
    <row r="79" ht="15" customHeight="1" outlineLevel="1">
      <c r="A79" t="s">
        <v>159</v>
      </c>
      <c r="B79" t="s">
        <v>160</v>
      </c>
      <c r="C79" s="34" t="s">
        <v>161</v>
      </c>
      <c r="D79" s="35" t="s">
        <v>160</v>
      </c>
      <c r="E79" s="151">
        <f t="shared" si="49"/>
        <v>0</v>
      </c>
      <c r="F79" s="152">
        <f t="shared" si="50"/>
        <v>0</v>
      </c>
      <c r="G79" s="154">
        <f t="shared" si="103"/>
        <v>0</v>
      </c>
      <c r="H79" s="153">
        <f t="shared" si="51"/>
        <v>0</v>
      </c>
      <c r="I79" s="153">
        <f t="shared" si="52"/>
        <v>0</v>
      </c>
      <c r="J79" s="154">
        <f t="shared" si="104"/>
        <v>0</v>
      </c>
      <c r="K79" s="153">
        <f t="shared" si="53"/>
        <v>0</v>
      </c>
      <c r="L79" s="153">
        <f t="shared" si="54"/>
        <v>9.3000000000000007</v>
      </c>
      <c r="M79" s="155">
        <f t="shared" si="105"/>
        <v>-1</v>
      </c>
      <c r="O79" s="63">
        <f>SUMIF('2024 AC'!$B$3:$B$250,"*"&amp;$D79&amp;"*",'2024 AC'!C$3:C$250)</f>
        <v>0</v>
      </c>
      <c r="P79" s="53">
        <f>SUMIF('2024 AC'!$B$3:$B$250,"*"&amp;$D79&amp;"*",'2024 AC'!D$3:D$250)</f>
        <v>0</v>
      </c>
      <c r="Q79" s="53">
        <f>SUMIF('2024 AC'!$B$3:$B$250,"*"&amp;$D79&amp;"*",'2024 AC'!E$3:E$250)</f>
        <v>107.59999999999999</v>
      </c>
      <c r="R79" s="53">
        <f>SUMIF('2024 AC'!$B$3:$B$250,"*"&amp;$D79&amp;"*",'2024 AC'!F$3:F$250)</f>
        <v>0</v>
      </c>
      <c r="S79" s="53">
        <f>SUMIF('2024 AC'!$B$3:$B$250,"*"&amp;$D79&amp;"*",'2024 AC'!G$3:G$250)</f>
        <v>0</v>
      </c>
      <c r="T79" s="53">
        <f>SUMIF('2024 AC'!$B$3:$B$250,"*"&amp;$D79&amp;"*",'2024 AC'!H$3:H$250)</f>
        <v>0</v>
      </c>
      <c r="U79" s="53">
        <f>SUMIF('2024 AC'!$B$3:$B$250,"*"&amp;$D79&amp;"*",'2024 AC'!I$3:I$250)</f>
        <v>0</v>
      </c>
      <c r="V79" s="53">
        <f>SUMIF('2024 AC'!$B$3:$B$250,"*"&amp;$D79&amp;"*",'2024 AC'!J$3:J$250)</f>
        <v>30.399999999999999</v>
      </c>
      <c r="W79" s="53">
        <f>SUMIF('2024 AC'!$B$3:$B$250,"*"&amp;$D79&amp;"*",'2024 AC'!K$3:K$250)</f>
        <v>0</v>
      </c>
      <c r="X79" s="53">
        <f>SUMIF('2024 AC'!$B$3:$B$250,"*"&amp;$D79&amp;"*",'2024 AC'!L$3:L$250)</f>
        <v>0</v>
      </c>
      <c r="Y79" s="53">
        <f>SUMIF('2024 AC'!$B$3:$B$250,"*"&amp;$D79&amp;"*",'2024 AC'!M$3:M$250)</f>
        <v>0</v>
      </c>
      <c r="Z79" s="93">
        <f>SUMIF('2024 AC'!$B$3:$B$250,"*"&amp;$D79&amp;"*",'2024 AC'!N$3:N$250)</f>
        <v>0</v>
      </c>
      <c r="AA79" s="92">
        <f t="shared" si="83"/>
        <v>138</v>
      </c>
      <c r="AB79" s="93">
        <f t="shared" si="84"/>
        <v>107.59999999999999</v>
      </c>
      <c r="AC79" s="93">
        <f t="shared" si="85"/>
        <v>0</v>
      </c>
      <c r="AD79" s="93">
        <f t="shared" si="86"/>
        <v>30.399999999999999</v>
      </c>
      <c r="AE79" s="93">
        <f t="shared" si="87"/>
        <v>0</v>
      </c>
      <c r="AF79" s="92">
        <f t="shared" si="88"/>
        <v>138</v>
      </c>
      <c r="AH79" s="63">
        <f>SUMIF('2025 AC'!$B$3:$B$250,"*"&amp;$D79&amp;"*",'2025 AC'!C$3:C$250)</f>
        <v>9.3000000000000007</v>
      </c>
      <c r="AI79" s="53">
        <f>SUMIF('2025 AC'!$B$3:$B$250,"*"&amp;$D79&amp;"*",'2025 AC'!D$3:D$250)</f>
        <v>0</v>
      </c>
      <c r="AJ79" s="53">
        <f>SUMIF('2025 AC'!$B$3:$B$250,"*"&amp;$D79&amp;"*",'2025 AC'!E$3:E$250)</f>
        <v>0</v>
      </c>
      <c r="AK79" s="53">
        <f>SUMIF('2025 AC'!$B$3:$B$250,"*"&amp;$D79&amp;"*",'2025 AC'!F$3:F$250)</f>
        <v>0</v>
      </c>
      <c r="AL79" s="53">
        <f>SUMIF('2025 AC'!$B$3:$B$250,"*"&amp;$D79&amp;"*",'2025 AC'!G$3:G$250)</f>
        <v>0</v>
      </c>
      <c r="AM79" s="53">
        <f>SUMIF('2025 AC'!$B$3:$B$250,"*"&amp;$D79&amp;"*",'2025 AC'!H$3:H$250)</f>
        <v>0</v>
      </c>
      <c r="AN79" s="53">
        <f>SUMIF('2025 AC'!$B$3:$B$250,"*"&amp;$D79&amp;"*",'2025 AC'!I$3:I$250)</f>
        <v>0</v>
      </c>
      <c r="AO79" s="53">
        <f>SUMIF('2025 AC'!$B$3:$B$250,"*"&amp;$D79&amp;"*",'2025 AC'!J$3:J$250)</f>
        <v>0</v>
      </c>
      <c r="AP79" s="53">
        <f>SUMIF('2025 AC'!$B$3:$B$250,"*"&amp;$D79&amp;"*",'2025 AC'!K$3:K$250)</f>
        <v>0</v>
      </c>
      <c r="AQ79" s="53">
        <f>SUMIF('2025 AC'!$B$3:$B$250,"*"&amp;$D79&amp;"*",'2025 AC'!L$3:L$250)</f>
        <v>0</v>
      </c>
      <c r="AR79" s="53">
        <f>SUMIF('2025 AC'!$B$3:$B$250,"*"&amp;$D79&amp;"*",'2025 AC'!M$3:M$250)</f>
        <v>0</v>
      </c>
      <c r="AS79" s="53">
        <f>SUMIF('2025 AC'!$B$3:$B$250,"*"&amp;$D79&amp;"*",'2025 AC'!N$3:N$250)</f>
        <v>0</v>
      </c>
      <c r="AT79" s="94">
        <f t="shared" si="89"/>
        <v>9.3000000000000007</v>
      </c>
      <c r="AU79" s="93">
        <f t="shared" si="90"/>
        <v>9.3000000000000007</v>
      </c>
      <c r="AV79" s="93">
        <f t="shared" si="91"/>
        <v>0</v>
      </c>
      <c r="AW79" s="93">
        <f t="shared" si="92"/>
        <v>0</v>
      </c>
      <c r="AX79" s="93">
        <f t="shared" si="93"/>
        <v>0</v>
      </c>
      <c r="AY79" s="92">
        <f t="shared" si="94"/>
        <v>9.3000000000000007</v>
      </c>
      <c r="BA79" s="63">
        <f>SUMIF('2026 AC'!$B$3:$B$254,"*"&amp;$D79&amp;"*",'2026 AC'!C$3:C$254)</f>
        <v>0</v>
      </c>
      <c r="BB79" s="53">
        <f>SUMIF('2026 AC'!$B$3:$B$254,"*"&amp;$D79&amp;"*",'2026 AC'!D$3:D$254)</f>
        <v>0</v>
      </c>
      <c r="BC79" s="53">
        <f>SUMIF('2026 AC'!$B$3:$B$254,"*"&amp;$D79&amp;"*",'2026 AC'!E$3:E$254)</f>
        <v>0</v>
      </c>
      <c r="BD79" s="53">
        <f>SUMIF('2026 AC'!$B$3:$B$254,"*"&amp;$D79&amp;"*",'2026 AC'!F$3:F$254)</f>
        <v>0</v>
      </c>
      <c r="BE79" s="53">
        <f>SUMIF('2026 AC'!$B$3:$B$254,"*"&amp;$D79&amp;"*",'2026 AC'!G$3:G$254)</f>
        <v>0</v>
      </c>
      <c r="BF79" s="53">
        <f>SUMIF('2026 AC'!$B$3:$B$254,"*"&amp;$D79&amp;"*",'2026 AC'!H$3:H$254)</f>
        <v>0</v>
      </c>
      <c r="BG79" s="53">
        <f>SUMIF('2026 AC'!$B$3:$B$254,"*"&amp;$D79&amp;"*",'2026 AC'!I$3:I$254)</f>
        <v>0</v>
      </c>
      <c r="BH79" s="53">
        <f>SUMIF('2026 AC'!$B$3:$B$254,"*"&amp;$D79&amp;"*",'2026 AC'!J$3:J$254)</f>
        <v>0</v>
      </c>
      <c r="BI79" s="53">
        <f>SUMIF('2026 AC'!$B$3:$B$254,"*"&amp;$D79&amp;"*",'2026 AC'!K$3:K$254)</f>
        <v>0</v>
      </c>
      <c r="BJ79" s="53">
        <f>SUMIF('2026 AC'!$B$3:$B$254,"*"&amp;$D79&amp;"*",'2026 AC'!L$3:L$254)</f>
        <v>0</v>
      </c>
      <c r="BK79" s="53">
        <f>SUMIF('2026 AC'!$B$3:$B$254,"*"&amp;$D79&amp;"*",'2026 AC'!M$3:M$254)</f>
        <v>0</v>
      </c>
      <c r="BL79" s="93">
        <f>SUMIF('2026 AC'!$B$3:$B$254,"*"&amp;$D79&amp;"*",'2026 AC'!N$3:N$254)</f>
        <v>0</v>
      </c>
      <c r="BM79" s="92">
        <f t="shared" si="95"/>
        <v>0</v>
      </c>
      <c r="BN79" s="93">
        <f t="shared" si="96"/>
        <v>0</v>
      </c>
      <c r="BO79" s="93">
        <f t="shared" si="97"/>
        <v>0</v>
      </c>
      <c r="BP79" s="93">
        <f t="shared" si="98"/>
        <v>0</v>
      </c>
      <c r="BQ79" s="93">
        <f t="shared" si="99"/>
        <v>0</v>
      </c>
      <c r="BR79" s="92">
        <f t="shared" si="100"/>
        <v>0</v>
      </c>
    </row>
    <row r="80" ht="15" customHeight="1" outlineLevel="1">
      <c r="A80" t="s">
        <v>162</v>
      </c>
      <c r="B80" t="s">
        <v>163</v>
      </c>
      <c r="C80" s="52" t="s">
        <v>164</v>
      </c>
      <c r="D80" s="35" t="s">
        <v>163</v>
      </c>
      <c r="E80" s="151">
        <f t="shared" si="49"/>
        <v>0</v>
      </c>
      <c r="F80" s="152">
        <f t="shared" si="50"/>
        <v>0</v>
      </c>
      <c r="G80" s="154">
        <f t="shared" si="103"/>
        <v>0</v>
      </c>
      <c r="H80" s="153">
        <f t="shared" si="51"/>
        <v>0</v>
      </c>
      <c r="I80" s="153">
        <f t="shared" si="52"/>
        <v>0</v>
      </c>
      <c r="J80" s="154">
        <f t="shared" si="104"/>
        <v>0</v>
      </c>
      <c r="K80" s="153">
        <f t="shared" si="53"/>
        <v>0</v>
      </c>
      <c r="L80" s="153">
        <f t="shared" si="54"/>
        <v>0</v>
      </c>
      <c r="M80" s="155">
        <f t="shared" si="105"/>
        <v>0</v>
      </c>
      <c r="O80" s="63">
        <f>SUMIF('2024 AC'!$B$3:$B$250,"*"&amp;$D80&amp;"*",'2024 AC'!C$3:C$250)</f>
        <v>0</v>
      </c>
      <c r="P80" s="53">
        <f>SUMIF('2024 AC'!$B$3:$B$250,"*"&amp;$D80&amp;"*",'2024 AC'!D$3:D$250)</f>
        <v>0</v>
      </c>
      <c r="Q80" s="53">
        <f>SUMIF('2024 AC'!$B$3:$B$250,"*"&amp;$D80&amp;"*",'2024 AC'!E$3:E$250)</f>
        <v>0</v>
      </c>
      <c r="R80" s="53">
        <f>SUMIF('2024 AC'!$B$3:$B$250,"*"&amp;$D80&amp;"*",'2024 AC'!F$3:F$250)</f>
        <v>0</v>
      </c>
      <c r="S80" s="53">
        <f>SUMIF('2024 AC'!$B$3:$B$250,"*"&amp;$D80&amp;"*",'2024 AC'!G$3:G$250)</f>
        <v>0</v>
      </c>
      <c r="T80" s="53">
        <f>SUMIF('2024 AC'!$B$3:$B$250,"*"&amp;$D80&amp;"*",'2024 AC'!H$3:H$250)</f>
        <v>0</v>
      </c>
      <c r="U80" s="53">
        <f>SUMIF('2024 AC'!$B$3:$B$250,"*"&amp;$D80&amp;"*",'2024 AC'!I$3:I$250)</f>
        <v>0</v>
      </c>
      <c r="V80" s="53">
        <f>SUMIF('2024 AC'!$B$3:$B$250,"*"&amp;$D80&amp;"*",'2024 AC'!J$3:J$250)</f>
        <v>0</v>
      </c>
      <c r="W80" s="53">
        <f>SUMIF('2024 AC'!$B$3:$B$250,"*"&amp;$D80&amp;"*",'2024 AC'!K$3:K$250)</f>
        <v>0</v>
      </c>
      <c r="X80" s="53">
        <f>SUMIF('2024 AC'!$B$3:$B$250,"*"&amp;$D80&amp;"*",'2024 AC'!L$3:L$250)</f>
        <v>0</v>
      </c>
      <c r="Y80" s="53">
        <f>SUMIF('2024 AC'!$B$3:$B$250,"*"&amp;$D80&amp;"*",'2024 AC'!M$3:M$250)</f>
        <v>0</v>
      </c>
      <c r="Z80" s="93">
        <f>SUMIF('2024 AC'!$B$3:$B$250,"*"&amp;$D80&amp;"*",'2024 AC'!N$3:N$250)</f>
        <v>0</v>
      </c>
      <c r="AA80" s="92">
        <f t="shared" si="83"/>
        <v>0</v>
      </c>
      <c r="AB80" s="93">
        <f t="shared" si="84"/>
        <v>0</v>
      </c>
      <c r="AC80" s="93">
        <f t="shared" si="85"/>
        <v>0</v>
      </c>
      <c r="AD80" s="93">
        <f t="shared" si="86"/>
        <v>0</v>
      </c>
      <c r="AE80" s="93">
        <f t="shared" si="87"/>
        <v>0</v>
      </c>
      <c r="AF80" s="92">
        <f t="shared" si="88"/>
        <v>0</v>
      </c>
      <c r="AH80" s="63">
        <f>SUMIF('2025 AC'!$B$3:$B$250,"*"&amp;$D80&amp;"*",'2025 AC'!C$3:C$250)</f>
        <v>0</v>
      </c>
      <c r="AI80" s="53">
        <f>SUMIF('2025 AC'!$B$3:$B$250,"*"&amp;$D80&amp;"*",'2025 AC'!D$3:D$250)</f>
        <v>0</v>
      </c>
      <c r="AJ80" s="53">
        <f>SUMIF('2025 AC'!$B$3:$B$250,"*"&amp;$D80&amp;"*",'2025 AC'!E$3:E$250)</f>
        <v>0</v>
      </c>
      <c r="AK80" s="53">
        <f>SUMIF('2025 AC'!$B$3:$B$250,"*"&amp;$D80&amp;"*",'2025 AC'!F$3:F$250)</f>
        <v>0</v>
      </c>
      <c r="AL80" s="53">
        <f>SUMIF('2025 AC'!$B$3:$B$250,"*"&amp;$D80&amp;"*",'2025 AC'!G$3:G$250)</f>
        <v>0</v>
      </c>
      <c r="AM80" s="53">
        <f>SUMIF('2025 AC'!$B$3:$B$250,"*"&amp;$D80&amp;"*",'2025 AC'!H$3:H$250)</f>
        <v>0</v>
      </c>
      <c r="AN80" s="53">
        <f>SUMIF('2025 AC'!$B$3:$B$250,"*"&amp;$D80&amp;"*",'2025 AC'!I$3:I$250)</f>
        <v>0</v>
      </c>
      <c r="AO80" s="53">
        <f>SUMIF('2025 AC'!$B$3:$B$250,"*"&amp;$D80&amp;"*",'2025 AC'!J$3:J$250)</f>
        <v>0</v>
      </c>
      <c r="AP80" s="53">
        <f>SUMIF('2025 AC'!$B$3:$B$250,"*"&amp;$D80&amp;"*",'2025 AC'!K$3:K$250)</f>
        <v>0</v>
      </c>
      <c r="AQ80" s="53">
        <f>SUMIF('2025 AC'!$B$3:$B$250,"*"&amp;$D80&amp;"*",'2025 AC'!L$3:L$250)</f>
        <v>0</v>
      </c>
      <c r="AR80" s="53">
        <f>SUMIF('2025 AC'!$B$3:$B$250,"*"&amp;$D80&amp;"*",'2025 AC'!M$3:M$250)</f>
        <v>0</v>
      </c>
      <c r="AS80" s="53">
        <f>SUMIF('2025 AC'!$B$3:$B$250,"*"&amp;$D80&amp;"*",'2025 AC'!N$3:N$250)</f>
        <v>0</v>
      </c>
      <c r="AT80" s="94">
        <f t="shared" si="89"/>
        <v>0</v>
      </c>
      <c r="AU80" s="93">
        <f t="shared" si="90"/>
        <v>0</v>
      </c>
      <c r="AV80" s="93">
        <f t="shared" si="91"/>
        <v>0</v>
      </c>
      <c r="AW80" s="93">
        <f t="shared" si="92"/>
        <v>0</v>
      </c>
      <c r="AX80" s="93">
        <f t="shared" si="93"/>
        <v>0</v>
      </c>
      <c r="AY80" s="92">
        <f t="shared" si="94"/>
        <v>0</v>
      </c>
      <c r="BA80" s="63">
        <f>SUMIF('2026 AC'!$B$3:$B$254,"*"&amp;$D80&amp;"*",'2026 AC'!C$3:C$254)</f>
        <v>0</v>
      </c>
      <c r="BB80" s="53">
        <f>SUMIF('2026 AC'!$B$3:$B$254,"*"&amp;$D80&amp;"*",'2026 AC'!D$3:D$254)</f>
        <v>0</v>
      </c>
      <c r="BC80" s="53">
        <f>SUMIF('2026 AC'!$B$3:$B$254,"*"&amp;$D80&amp;"*",'2026 AC'!E$3:E$254)</f>
        <v>0</v>
      </c>
      <c r="BD80" s="53">
        <f>SUMIF('2026 AC'!$B$3:$B$254,"*"&amp;$D80&amp;"*",'2026 AC'!F$3:F$254)</f>
        <v>0</v>
      </c>
      <c r="BE80" s="53">
        <f>SUMIF('2026 AC'!$B$3:$B$254,"*"&amp;$D80&amp;"*",'2026 AC'!G$3:G$254)</f>
        <v>0</v>
      </c>
      <c r="BF80" s="53">
        <f>SUMIF('2026 AC'!$B$3:$B$254,"*"&amp;$D80&amp;"*",'2026 AC'!H$3:H$254)</f>
        <v>0</v>
      </c>
      <c r="BG80" s="53">
        <f>SUMIF('2026 AC'!$B$3:$B$254,"*"&amp;$D80&amp;"*",'2026 AC'!I$3:I$254)</f>
        <v>0</v>
      </c>
      <c r="BH80" s="53">
        <f>SUMIF('2026 AC'!$B$3:$B$254,"*"&amp;$D80&amp;"*",'2026 AC'!J$3:J$254)</f>
        <v>0</v>
      </c>
      <c r="BI80" s="53">
        <f>SUMIF('2026 AC'!$B$3:$B$254,"*"&amp;$D80&amp;"*",'2026 AC'!K$3:K$254)</f>
        <v>0</v>
      </c>
      <c r="BJ80" s="53">
        <f>SUMIF('2026 AC'!$B$3:$B$254,"*"&amp;$D80&amp;"*",'2026 AC'!L$3:L$254)</f>
        <v>0</v>
      </c>
      <c r="BK80" s="53">
        <f>SUMIF('2026 AC'!$B$3:$B$254,"*"&amp;$D80&amp;"*",'2026 AC'!M$3:M$254)</f>
        <v>0</v>
      </c>
      <c r="BL80" s="93">
        <f>SUMIF('2026 AC'!$B$3:$B$254,"*"&amp;$D80&amp;"*",'2026 AC'!N$3:N$254)</f>
        <v>0</v>
      </c>
      <c r="BM80" s="92">
        <f t="shared" si="95"/>
        <v>0</v>
      </c>
      <c r="BN80" s="93">
        <f t="shared" si="96"/>
        <v>0</v>
      </c>
      <c r="BO80" s="93">
        <f t="shared" si="97"/>
        <v>0</v>
      </c>
      <c r="BP80" s="93">
        <f t="shared" si="98"/>
        <v>0</v>
      </c>
      <c r="BQ80" s="93">
        <f t="shared" si="99"/>
        <v>0</v>
      </c>
      <c r="BR80" s="92">
        <f t="shared" si="100"/>
        <v>0</v>
      </c>
    </row>
    <row r="81" ht="15" customHeight="1" outlineLevel="1">
      <c r="A81" t="s">
        <v>165</v>
      </c>
      <c r="B81" t="s">
        <v>166</v>
      </c>
      <c r="C81" s="52" t="s">
        <v>167</v>
      </c>
      <c r="D81" s="35" t="s">
        <v>166</v>
      </c>
      <c r="E81" s="151">
        <f t="shared" si="49"/>
        <v>29128.189999999999</v>
      </c>
      <c r="F81" s="152">
        <f t="shared" si="50"/>
        <v>26990.41</v>
      </c>
      <c r="G81" s="54">
        <f t="shared" ref="G81:G84" si="106">(E81-F81)/F81</f>
        <v>7.9205169539847631e-02</v>
      </c>
      <c r="H81" s="153">
        <f t="shared" si="51"/>
        <v>78470.570000000007</v>
      </c>
      <c r="I81" s="153">
        <f t="shared" si="52"/>
        <v>75591.990000000005</v>
      </c>
      <c r="J81" s="54">
        <f t="shared" ref="J81:J85" si="107">(H81-I81)/I81</f>
        <v>3.808048974501136e-02</v>
      </c>
      <c r="K81" s="153">
        <f t="shared" si="53"/>
        <v>155831.82000000001</v>
      </c>
      <c r="L81" s="153">
        <f t="shared" si="54"/>
        <v>153601.13999999998</v>
      </c>
      <c r="M81" s="55">
        <f t="shared" ref="M81:M85" si="108">(K81-L81)/L81</f>
        <v>1.4522548465460753e-02</v>
      </c>
      <c r="O81" s="63">
        <f>SUMIF('2024 AC'!$B$3:$B$250,"*"&amp;$D81&amp;"*",'2024 AC'!C$3:C$250)</f>
        <v>17867.73</v>
      </c>
      <c r="P81" s="53">
        <f>SUMIF('2024 AC'!$B$3:$B$250,"*"&amp;$D81&amp;"*",'2024 AC'!D$3:D$250)</f>
        <v>22868.490000000002</v>
      </c>
      <c r="Q81" s="53">
        <f>SUMIF('2024 AC'!$B$3:$B$250,"*"&amp;$D81&amp;"*",'2024 AC'!E$3:E$250)</f>
        <v>22105.869999999999</v>
      </c>
      <c r="R81" s="53">
        <f>SUMIF('2024 AC'!$B$3:$B$250,"*"&amp;$D81&amp;"*",'2024 AC'!F$3:F$250)</f>
        <v>17413.330000000002</v>
      </c>
      <c r="S81" s="53">
        <f>SUMIF('2024 AC'!$B$3:$B$250,"*"&amp;$D81&amp;"*",'2024 AC'!G$3:G$250)</f>
        <v>24763.27</v>
      </c>
      <c r="T81" s="53">
        <f>SUMIF('2024 AC'!$B$3:$B$250,"*"&amp;$D81&amp;"*",'2024 AC'!H$3:H$250)</f>
        <v>28194.209999999999</v>
      </c>
      <c r="U81" s="53">
        <f>SUMIF('2024 AC'!$B$3:$B$250,"*"&amp;$D81&amp;"*",'2024 AC'!I$3:I$250)</f>
        <v>37696.32</v>
      </c>
      <c r="V81" s="53">
        <f>SUMIF('2024 AC'!$B$3:$B$250,"*"&amp;$D81&amp;"*",'2024 AC'!J$3:J$250)</f>
        <v>35043.949999999997</v>
      </c>
      <c r="W81" s="53">
        <f>SUMIF('2024 AC'!$B$3:$B$250,"*"&amp;$D81&amp;"*",'2024 AC'!K$3:K$250)</f>
        <v>32906.739999999998</v>
      </c>
      <c r="X81" s="53">
        <f>SUMIF('2024 AC'!$B$3:$B$250,"*"&amp;$D81&amp;"*",'2024 AC'!L$3:L$250)</f>
        <v>29257.630000000001</v>
      </c>
      <c r="Y81" s="53">
        <f>SUMIF('2024 AC'!$B$3:$B$250,"*"&amp;$D81&amp;"*",'2024 AC'!M$3:M$250)</f>
        <v>28205.279999999999</v>
      </c>
      <c r="Z81" s="93">
        <f>SUMIF('2024 AC'!$B$3:$B$250,"*"&amp;$D81&amp;"*",'2024 AC'!N$3:N$250)</f>
        <v>35042.650000000001</v>
      </c>
      <c r="AA81" s="92">
        <f t="shared" si="83"/>
        <v>331365.46999999997</v>
      </c>
      <c r="AB81" s="93">
        <f t="shared" si="84"/>
        <v>62842.089999999997</v>
      </c>
      <c r="AC81" s="93">
        <f t="shared" si="85"/>
        <v>70370.809999999998</v>
      </c>
      <c r="AD81" s="93">
        <f t="shared" si="86"/>
        <v>105647.00999999998</v>
      </c>
      <c r="AE81" s="93">
        <f t="shared" si="87"/>
        <v>92505.559999999998</v>
      </c>
      <c r="AF81" s="92">
        <f t="shared" si="88"/>
        <v>331365.46999999997</v>
      </c>
      <c r="AH81" s="63">
        <f>SUMIF('2025 AC'!$B$3:$B$250,"*"&amp;$D81&amp;"*",'2025 AC'!C$3:C$250)</f>
        <v>29330.689999999999</v>
      </c>
      <c r="AI81" s="53">
        <f>SUMIF('2025 AC'!$B$3:$B$250,"*"&amp;$D81&amp;"*",'2025 AC'!D$3:D$250)</f>
        <v>29690.549999999999</v>
      </c>
      <c r="AJ81" s="53">
        <f>SUMIF('2025 AC'!$B$3:$B$250,"*"&amp;$D81&amp;"*",'2025 AC'!E$3:E$250)</f>
        <v>18987.91</v>
      </c>
      <c r="AK81" s="53">
        <f>SUMIF('2025 AC'!$B$3:$B$250,"*"&amp;$D81&amp;"*",'2025 AC'!F$3:F$250)</f>
        <v>24929.41</v>
      </c>
      <c r="AL81" s="53">
        <f>SUMIF('2025 AC'!$B$3:$B$250,"*"&amp;$D81&amp;"*",'2025 AC'!G$3:G$250)</f>
        <v>23672.169999999998</v>
      </c>
      <c r="AM81" s="53">
        <f>SUMIF('2025 AC'!$B$3:$B$250,"*"&amp;$D81&amp;"*",'2025 AC'!H$3:H$250)</f>
        <v>26990.41</v>
      </c>
      <c r="AN81" s="53">
        <f>SUMIF('2025 AC'!$B$3:$B$250,"*"&amp;$D81&amp;"*",'2025 AC'!I$3:I$250)</f>
        <v>-400</v>
      </c>
      <c r="AO81" s="53">
        <f>SUMIF('2025 AC'!$B$3:$B$250,"*"&amp;$D81&amp;"*",'2025 AC'!J$3:J$250)</f>
        <v>24945.330000000002</v>
      </c>
      <c r="AP81" s="53">
        <f>SUMIF('2025 AC'!$B$3:$B$250,"*"&amp;$D81&amp;"*",'2025 AC'!K$3:K$250)</f>
        <v>25125.73</v>
      </c>
      <c r="AQ81" s="53">
        <f>SUMIF('2025 AC'!$B$3:$B$250,"*"&amp;$D81&amp;"*",'2025 AC'!L$3:L$250)</f>
        <v>25671.98</v>
      </c>
      <c r="AR81" s="53">
        <f>SUMIF('2025 AC'!$B$3:$B$250,"*"&amp;$D81&amp;"*",'2025 AC'!M$3:M$250)</f>
        <v>22507.48</v>
      </c>
      <c r="AS81" s="53">
        <f>SUMIF('2025 AC'!$B$3:$B$250,"*"&amp;$D81&amp;"*",'2025 AC'!N$3:N$250)</f>
        <v>51795.550000000003</v>
      </c>
      <c r="AT81" s="94">
        <f t="shared" si="89"/>
        <v>303247.21000000002</v>
      </c>
      <c r="AU81" s="93">
        <f t="shared" si="90"/>
        <v>78009.149999999994</v>
      </c>
      <c r="AV81" s="93">
        <f t="shared" si="91"/>
        <v>75591.990000000005</v>
      </c>
      <c r="AW81" s="93">
        <f t="shared" si="92"/>
        <v>49671.059999999998</v>
      </c>
      <c r="AX81" s="93">
        <f t="shared" si="93"/>
        <v>99975.010000000009</v>
      </c>
      <c r="AY81" s="92">
        <f t="shared" si="94"/>
        <v>303247.21000000002</v>
      </c>
      <c r="BA81" s="63">
        <f>SUMIF('2026 AC'!$B$3:$B$254,"*"&amp;$D81&amp;"*",'2026 AC'!C$3:C$254)</f>
        <v>28475.439999999999</v>
      </c>
      <c r="BB81" s="53">
        <f>SUMIF('2026 AC'!$B$3:$B$254,"*"&amp;$D81&amp;"*",'2026 AC'!D$3:D$254)</f>
        <v>26449.139999999999</v>
      </c>
      <c r="BC81" s="53">
        <f>SUMIF('2026 AC'!$B$3:$B$254,"*"&amp;$D81&amp;"*",'2026 AC'!E$3:E$254)</f>
        <v>22436.669999999998</v>
      </c>
      <c r="BD81" s="53">
        <f>SUMIF('2026 AC'!$B$3:$B$254,"*"&amp;$D81&amp;"*",'2026 AC'!F$3:F$254)</f>
        <v>24215.16</v>
      </c>
      <c r="BE81" s="53">
        <f>SUMIF('2026 AC'!$B$3:$B$254,"*"&amp;$D81&amp;"*",'2026 AC'!G$3:G$254)</f>
        <v>25127.220000000001</v>
      </c>
      <c r="BF81" s="53">
        <f>SUMIF('2026 AC'!$B$3:$B$254,"*"&amp;$D81&amp;"*",'2026 AC'!H$3:H$254)</f>
        <v>29128.189999999999</v>
      </c>
      <c r="BG81" s="53">
        <f>SUMIF('2026 AC'!$B$3:$B$254,"*"&amp;$D81&amp;"*",'2026 AC'!I$3:I$254)</f>
        <v>0</v>
      </c>
      <c r="BH81" s="53">
        <f>SUMIF('2026 AC'!$B$3:$B$254,"*"&amp;$D81&amp;"*",'2026 AC'!J$3:J$254)</f>
        <v>0</v>
      </c>
      <c r="BI81" s="53">
        <f>SUMIF('2026 AC'!$B$3:$B$254,"*"&amp;$D81&amp;"*",'2026 AC'!K$3:K$254)</f>
        <v>0</v>
      </c>
      <c r="BJ81" s="53">
        <f>SUMIF('2026 AC'!$B$3:$B$254,"*"&amp;$D81&amp;"*",'2026 AC'!L$3:L$254)</f>
        <v>0</v>
      </c>
      <c r="BK81" s="53">
        <f>SUMIF('2026 AC'!$B$3:$B$254,"*"&amp;$D81&amp;"*",'2026 AC'!M$3:M$254)</f>
        <v>0</v>
      </c>
      <c r="BL81" s="93">
        <f>SUMIF('2026 AC'!$B$3:$B$254,"*"&amp;$D81&amp;"*",'2026 AC'!N$3:N$254)</f>
        <v>0</v>
      </c>
      <c r="BM81" s="92">
        <f t="shared" si="95"/>
        <v>155831.82000000001</v>
      </c>
      <c r="BN81" s="93">
        <f t="shared" si="96"/>
        <v>77361.25</v>
      </c>
      <c r="BO81" s="93">
        <f t="shared" si="97"/>
        <v>78470.570000000007</v>
      </c>
      <c r="BP81" s="93">
        <f t="shared" si="98"/>
        <v>0</v>
      </c>
      <c r="BQ81" s="93">
        <f t="shared" si="99"/>
        <v>0</v>
      </c>
      <c r="BR81" s="92">
        <f t="shared" si="100"/>
        <v>155831.82000000001</v>
      </c>
    </row>
    <row r="82" s="137" customFormat="1" ht="15" customHeight="1">
      <c r="A82" s="137" t="s">
        <v>168</v>
      </c>
      <c r="B82" s="137" t="s">
        <v>169</v>
      </c>
      <c r="C82" s="187" t="s">
        <v>170</v>
      </c>
      <c r="D82" s="139" t="s">
        <v>169</v>
      </c>
      <c r="E82" s="159">
        <f t="shared" si="49"/>
        <v>28254.209999999999</v>
      </c>
      <c r="F82" s="141">
        <f t="shared" si="50"/>
        <v>26834.040000000001</v>
      </c>
      <c r="G82" s="142">
        <f t="shared" si="106"/>
        <v>5.2924196282035735e-02</v>
      </c>
      <c r="H82" s="143">
        <f t="shared" si="51"/>
        <v>84029.899999999994</v>
      </c>
      <c r="I82" s="143">
        <f t="shared" si="52"/>
        <v>110556.08000000002</v>
      </c>
      <c r="J82" s="142">
        <f t="shared" si="107"/>
        <v>-0.2399341583022844</v>
      </c>
      <c r="K82" s="143">
        <f t="shared" si="53"/>
        <v>221771.05999999997</v>
      </c>
      <c r="L82" s="143">
        <f t="shared" si="54"/>
        <v>281117.57000000001</v>
      </c>
      <c r="M82" s="144">
        <f t="shared" si="108"/>
        <v>-0.21110921668823487</v>
      </c>
      <c r="O82" s="145">
        <f>SUM(O83:O91)</f>
        <v>42651.259999999995</v>
      </c>
      <c r="P82" s="146">
        <f t="shared" ref="P82:Z82" si="109">SUM(P83:P91)</f>
        <v>46548.979999999996</v>
      </c>
      <c r="Q82" s="146">
        <f t="shared" si="109"/>
        <v>80476.089999999997</v>
      </c>
      <c r="R82" s="146">
        <f t="shared" si="109"/>
        <v>53120.159999999996</v>
      </c>
      <c r="S82" s="146">
        <f t="shared" si="109"/>
        <v>53325.880000000005</v>
      </c>
      <c r="T82" s="146">
        <f t="shared" si="109"/>
        <v>36857.889999999999</v>
      </c>
      <c r="U82" s="146">
        <f t="shared" si="109"/>
        <v>36605.5</v>
      </c>
      <c r="V82" s="146">
        <f t="shared" si="109"/>
        <v>51141.560000000005</v>
      </c>
      <c r="W82" s="146">
        <f t="shared" si="109"/>
        <v>38454.430000000008</v>
      </c>
      <c r="X82" s="146">
        <f t="shared" si="109"/>
        <v>44759.720000000001</v>
      </c>
      <c r="Y82" s="146">
        <f t="shared" si="109"/>
        <v>52638.839999999997</v>
      </c>
      <c r="Z82" s="147">
        <f t="shared" si="109"/>
        <v>37793.32</v>
      </c>
      <c r="AA82" s="148">
        <f t="shared" si="83"/>
        <v>574373.62999999989</v>
      </c>
      <c r="AB82" s="147">
        <f t="shared" si="84"/>
        <v>169676.32999999999</v>
      </c>
      <c r="AC82" s="147">
        <f t="shared" si="85"/>
        <v>143303.92999999999</v>
      </c>
      <c r="AD82" s="147">
        <f t="shared" si="86"/>
        <v>126201.49000000001</v>
      </c>
      <c r="AE82" s="147">
        <f t="shared" si="87"/>
        <v>135191.88</v>
      </c>
      <c r="AF82" s="148">
        <f t="shared" si="88"/>
        <v>574373.63</v>
      </c>
      <c r="AH82" s="145">
        <f>SUMIF('2025 AC'!$B$3:$B$250,"*"&amp;$D82&amp;"*",'2025 AC'!C$3:C$250)</f>
        <v>53144.940000000002</v>
      </c>
      <c r="AI82" s="146">
        <f>SUMIF('2025 AC'!$B$3:$B$250,"*"&amp;$D82&amp;"*",'2025 AC'!D$3:D$250)</f>
        <v>32417.580000000002</v>
      </c>
      <c r="AJ82" s="146">
        <f>SUMIF('2025 AC'!$B$3:$B$250,"*"&amp;$D82&amp;"*",'2025 AC'!E$3:E$250)</f>
        <v>84998.970000000001</v>
      </c>
      <c r="AK82" s="146">
        <f>SUMIF('2025 AC'!$B$3:$B$250,"*"&amp;$D82&amp;"*",'2025 AC'!F$3:F$250)</f>
        <v>32431.830000000002</v>
      </c>
      <c r="AL82" s="146">
        <f>SUMIF('2025 AC'!$B$3:$B$250,"*"&amp;$D82&amp;"*",'2025 AC'!G$3:G$250)</f>
        <v>51290.209999999999</v>
      </c>
      <c r="AM82" s="146">
        <f>SUMIF('2025 AC'!$B$3:$B$250,"*"&amp;$D82&amp;"*",'2025 AC'!H$3:H$250)</f>
        <v>26834.040000000001</v>
      </c>
      <c r="AN82" s="146">
        <f>SUMIF('2025 AC'!$B$3:$B$250,"*"&amp;$D82&amp;"*",'2025 AC'!I$3:I$250)</f>
        <v>32072.540000000001</v>
      </c>
      <c r="AO82" s="146">
        <f>SUMIF('2025 AC'!$B$3:$B$250,"*"&amp;$D82&amp;"*",'2025 AC'!J$3:J$250)</f>
        <v>33955.25</v>
      </c>
      <c r="AP82" s="146">
        <f>SUMIF('2025 AC'!$B$3:$B$250,"*"&amp;$D82&amp;"*",'2025 AC'!K$3:K$250)</f>
        <v>41797.169999999998</v>
      </c>
      <c r="AQ82" s="146">
        <f>SUMIF('2025 AC'!$B$3:$B$250,"*"&amp;$D82&amp;"*",'2025 AC'!L$3:L$250)</f>
        <v>24190.240000000002</v>
      </c>
      <c r="AR82" s="146">
        <f>SUMIF('2025 AC'!$B$3:$B$250,"*"&amp;$D82&amp;"*",'2025 AC'!M$3:M$250)</f>
        <v>43787.940000000002</v>
      </c>
      <c r="AS82" s="146">
        <f>SUMIF('2025 AC'!$B$3:$B$250,"*"&amp;$D82&amp;"*",'2025 AC'!N$3:N$250)</f>
        <v>45608.650000000001</v>
      </c>
      <c r="AT82" s="149">
        <f t="shared" si="89"/>
        <v>502529.35999999999</v>
      </c>
      <c r="AU82" s="147">
        <f t="shared" si="90"/>
        <v>170561.48999999999</v>
      </c>
      <c r="AV82" s="147">
        <f t="shared" si="91"/>
        <v>110556.08000000002</v>
      </c>
      <c r="AW82" s="147">
        <f t="shared" si="92"/>
        <v>107824.96000000001</v>
      </c>
      <c r="AX82" s="147">
        <f t="shared" si="93"/>
        <v>113586.83000000002</v>
      </c>
      <c r="AY82" s="148">
        <f t="shared" si="94"/>
        <v>502529.36000000004</v>
      </c>
      <c r="BA82" s="145">
        <f>SUMIF('2026 AC'!$B$3:$B$254,"*"&amp;$D82&amp;"*",'2026 AC'!C$3:C$254)</f>
        <v>36014.300000000003</v>
      </c>
      <c r="BB82" s="146">
        <f>SUMIF('2026 AC'!$B$3:$B$254,"*"&amp;$D82&amp;"*",'2026 AC'!D$3:D$254)</f>
        <v>50142.150000000001</v>
      </c>
      <c r="BC82" s="146">
        <f>SUMIF('2026 AC'!$B$3:$B$254,"*"&amp;$D82&amp;"*",'2026 AC'!E$3:E$254)</f>
        <v>51584.709999999999</v>
      </c>
      <c r="BD82" s="146">
        <f>SUMIF('2026 AC'!$B$3:$B$254,"*"&amp;$D82&amp;"*",'2026 AC'!F$3:F$254)</f>
        <v>32936.580000000002</v>
      </c>
      <c r="BE82" s="146">
        <f>SUMIF('2026 AC'!$B$3:$B$254,"*"&amp;$D82&amp;"*",'2026 AC'!G$3:G$254)</f>
        <v>22839.110000000001</v>
      </c>
      <c r="BF82" s="146">
        <f>SUMIF('2026 AC'!$B$3:$B$254,"*"&amp;$D82&amp;"*",'2026 AC'!H$3:H$254)</f>
        <v>28254.209999999999</v>
      </c>
      <c r="BG82" s="146">
        <f>SUMIF('2026 AC'!$B$3:$B$254,"*"&amp;$D82&amp;"*",'2026 AC'!I$3:I$254)</f>
        <v>0</v>
      </c>
      <c r="BH82" s="146">
        <f>SUMIF('2026 AC'!$B$3:$B$254,"*"&amp;$D82&amp;"*",'2026 AC'!J$3:J$254)</f>
        <v>0</v>
      </c>
      <c r="BI82" s="146">
        <f>SUMIF('2026 AC'!$B$3:$B$254,"*"&amp;$D82&amp;"*",'2026 AC'!K$3:K$254)</f>
        <v>0</v>
      </c>
      <c r="BJ82" s="146">
        <f>SUMIF('2026 AC'!$B$3:$B$254,"*"&amp;$D82&amp;"*",'2026 AC'!L$3:L$254)</f>
        <v>0</v>
      </c>
      <c r="BK82" s="146">
        <f>SUMIF('2026 AC'!$B$3:$B$254,"*"&amp;$D82&amp;"*",'2026 AC'!M$3:M$254)</f>
        <v>0</v>
      </c>
      <c r="BL82" s="147">
        <f>SUMIF('2026 AC'!$B$3:$B$254,"*"&amp;$D82&amp;"*",'2026 AC'!N$3:N$254)</f>
        <v>0</v>
      </c>
      <c r="BM82" s="148">
        <f t="shared" si="95"/>
        <v>221771.05999999997</v>
      </c>
      <c r="BN82" s="147">
        <f t="shared" si="96"/>
        <v>137741.16</v>
      </c>
      <c r="BO82" s="147">
        <f t="shared" si="97"/>
        <v>84029.899999999994</v>
      </c>
      <c r="BP82" s="147">
        <f t="shared" si="98"/>
        <v>0</v>
      </c>
      <c r="BQ82" s="147">
        <f t="shared" si="99"/>
        <v>0</v>
      </c>
      <c r="BR82" s="148">
        <f t="shared" si="100"/>
        <v>221771.06</v>
      </c>
    </row>
    <row r="83" ht="15" customHeight="1" outlineLevel="1">
      <c r="A83" t="s">
        <v>171</v>
      </c>
      <c r="B83" t="s">
        <v>172</v>
      </c>
      <c r="C83" s="34" t="s">
        <v>173</v>
      </c>
      <c r="D83" s="35" t="s">
        <v>172</v>
      </c>
      <c r="E83" s="151">
        <f t="shared" si="49"/>
        <v>0</v>
      </c>
      <c r="F83" s="152">
        <f t="shared" si="50"/>
        <v>0</v>
      </c>
      <c r="G83" s="54" t="e">
        <f t="shared" si="106"/>
        <v>#DIV/0!</v>
      </c>
      <c r="H83" s="153">
        <f t="shared" si="51"/>
        <v>0</v>
      </c>
      <c r="I83" s="153">
        <f t="shared" si="52"/>
        <v>130</v>
      </c>
      <c r="J83" s="54">
        <f t="shared" si="107"/>
        <v>-1</v>
      </c>
      <c r="K83" s="153">
        <f t="shared" si="53"/>
        <v>0</v>
      </c>
      <c r="L83" s="153">
        <f t="shared" si="54"/>
        <v>1838.8499999999999</v>
      </c>
      <c r="M83" s="55">
        <f t="shared" si="108"/>
        <v>-1</v>
      </c>
      <c r="O83" s="63">
        <f>SUMIF('2024 AC'!$B$3:$B$250,"*"&amp;$D83&amp;"*",'2024 AC'!C$3:C$250)</f>
        <v>1645</v>
      </c>
      <c r="P83" s="53">
        <f>SUMIF('2024 AC'!$B$3:$B$250,"*"&amp;$D83&amp;"*",'2024 AC'!D$3:D$250)</f>
        <v>567</v>
      </c>
      <c r="Q83" s="53">
        <f>SUMIF('2024 AC'!$B$3:$B$250,"*"&amp;$D83&amp;"*",'2024 AC'!E$3:E$250)</f>
        <v>2241.4499999999998</v>
      </c>
      <c r="R83" s="53">
        <f>SUMIF('2024 AC'!$B$3:$B$250,"*"&amp;$D83&amp;"*",'2024 AC'!F$3:F$250)</f>
        <v>1691.2</v>
      </c>
      <c r="S83" s="53">
        <f>SUMIF('2024 AC'!$B$3:$B$250,"*"&amp;$D83&amp;"*",'2024 AC'!G$3:G$250)</f>
        <v>69</v>
      </c>
      <c r="T83" s="53">
        <f>SUMIF('2024 AC'!$B$3:$B$250,"*"&amp;$D83&amp;"*",'2024 AC'!H$3:H$250)</f>
        <v>855.60000000000002</v>
      </c>
      <c r="U83" s="53">
        <f>SUMIF('2024 AC'!$B$3:$B$250,"*"&amp;$D83&amp;"*",'2024 AC'!I$3:I$250)</f>
        <v>82.5</v>
      </c>
      <c r="V83" s="53">
        <f>SUMIF('2024 AC'!$B$3:$B$250,"*"&amp;$D83&amp;"*",'2024 AC'!J$3:J$250)</f>
        <v>17.199999999999999</v>
      </c>
      <c r="W83" s="53">
        <f>SUMIF('2024 AC'!$B$3:$B$250,"*"&amp;$D83&amp;"*",'2024 AC'!K$3:K$250)</f>
        <v>158.19999999999999</v>
      </c>
      <c r="X83" s="53">
        <f>SUMIF('2024 AC'!$B$3:$B$250,"*"&amp;$D83&amp;"*",'2024 AC'!L$3:L$250)</f>
        <v>0</v>
      </c>
      <c r="Y83" s="53">
        <f>SUMIF('2024 AC'!$B$3:$B$250,"*"&amp;$D83&amp;"*",'2024 AC'!M$3:M$250)</f>
        <v>0</v>
      </c>
      <c r="Z83" s="93">
        <f>SUMIF('2024 AC'!$B$3:$B$250,"*"&amp;$D83&amp;"*",'2024 AC'!N$3:N$250)</f>
        <v>0</v>
      </c>
      <c r="AA83" s="92">
        <f t="shared" si="83"/>
        <v>7327.1499999999996</v>
      </c>
      <c r="AB83" s="93">
        <f t="shared" si="84"/>
        <v>4453.4499999999998</v>
      </c>
      <c r="AC83" s="93">
        <f t="shared" si="85"/>
        <v>2615.8000000000002</v>
      </c>
      <c r="AD83" s="93">
        <f t="shared" si="86"/>
        <v>257.89999999999998</v>
      </c>
      <c r="AE83" s="93">
        <f t="shared" si="87"/>
        <v>0</v>
      </c>
      <c r="AF83" s="92">
        <f t="shared" si="88"/>
        <v>7327.1499999999996</v>
      </c>
      <c r="AH83" s="63">
        <f>SUMIF('2025 AC'!$B$3:$B$250,"*"&amp;$D83&amp;"*",'2025 AC'!C$3:C$250)</f>
        <v>1625</v>
      </c>
      <c r="AI83" s="53">
        <f>SUMIF('2025 AC'!$B$3:$B$250,"*"&amp;$D83&amp;"*",'2025 AC'!D$3:D$250)</f>
        <v>0</v>
      </c>
      <c r="AJ83" s="53">
        <f>SUMIF('2025 AC'!$B$3:$B$250,"*"&amp;$D83&amp;"*",'2025 AC'!E$3:E$250)</f>
        <v>83.849999999999994</v>
      </c>
      <c r="AK83" s="53">
        <f>SUMIF('2025 AC'!$B$3:$B$250,"*"&amp;$D83&amp;"*",'2025 AC'!F$3:F$250)</f>
        <v>0</v>
      </c>
      <c r="AL83" s="53">
        <f>SUMIF('2025 AC'!$B$3:$B$250,"*"&amp;$D83&amp;"*",'2025 AC'!G$3:G$250)</f>
        <v>130</v>
      </c>
      <c r="AM83" s="53">
        <f>SUMIF('2025 AC'!$B$3:$B$250,"*"&amp;$D83&amp;"*",'2025 AC'!H$3:H$250)</f>
        <v>0</v>
      </c>
      <c r="AN83" s="53">
        <f>SUMIF('2025 AC'!$B$3:$B$250,"*"&amp;$D83&amp;"*",'2025 AC'!I$3:I$250)</f>
        <v>0</v>
      </c>
      <c r="AO83" s="53">
        <f>SUMIF('2025 AC'!$B$3:$B$250,"*"&amp;$D83&amp;"*",'2025 AC'!J$3:J$250)</f>
        <v>0</v>
      </c>
      <c r="AP83" s="53">
        <f>SUMIF('2025 AC'!$B$3:$B$250,"*"&amp;$D83&amp;"*",'2025 AC'!K$3:K$250)</f>
        <v>0</v>
      </c>
      <c r="AQ83" s="53">
        <f>SUMIF('2025 AC'!$B$3:$B$250,"*"&amp;$D83&amp;"*",'2025 AC'!L$3:L$250)</f>
        <v>0</v>
      </c>
      <c r="AR83" s="53">
        <f>SUMIF('2025 AC'!$B$3:$B$250,"*"&amp;$D83&amp;"*",'2025 AC'!M$3:M$250)</f>
        <v>423.89999999999998</v>
      </c>
      <c r="AS83" s="53">
        <f>SUMIF('2025 AC'!$B$3:$B$250,"*"&amp;$D83&amp;"*",'2025 AC'!N$3:N$250)</f>
        <v>66</v>
      </c>
      <c r="AT83" s="94">
        <f t="shared" si="89"/>
        <v>2328.75</v>
      </c>
      <c r="AU83" s="93">
        <f t="shared" si="90"/>
        <v>1708.8499999999999</v>
      </c>
      <c r="AV83" s="93">
        <f t="shared" si="91"/>
        <v>130</v>
      </c>
      <c r="AW83" s="93">
        <f t="shared" si="92"/>
        <v>0</v>
      </c>
      <c r="AX83" s="93">
        <f t="shared" si="93"/>
        <v>489.89999999999998</v>
      </c>
      <c r="AY83" s="92">
        <f t="shared" si="94"/>
        <v>2328.75</v>
      </c>
      <c r="BA83" s="63">
        <f>SUMIF('2026 AC'!$B$3:$B$254,"*"&amp;$D83&amp;"*",'2026 AC'!C$3:C$254)</f>
        <v>0</v>
      </c>
      <c r="BB83" s="53">
        <f>SUMIF('2026 AC'!$B$3:$B$254,"*"&amp;$D83&amp;"*",'2026 AC'!D$3:D$254)</f>
        <v>0</v>
      </c>
      <c r="BC83" s="53">
        <f>SUMIF('2026 AC'!$B$3:$B$254,"*"&amp;$D83&amp;"*",'2026 AC'!E$3:E$254)</f>
        <v>0</v>
      </c>
      <c r="BD83" s="53">
        <f>SUMIF('2026 AC'!$B$3:$B$254,"*"&amp;$D83&amp;"*",'2026 AC'!F$3:F$254)</f>
        <v>0</v>
      </c>
      <c r="BE83" s="53">
        <f>SUMIF('2026 AC'!$B$3:$B$254,"*"&amp;$D83&amp;"*",'2026 AC'!G$3:G$254)</f>
        <v>0</v>
      </c>
      <c r="BF83" s="53">
        <f>SUMIF('2026 AC'!$B$3:$B$254,"*"&amp;$D83&amp;"*",'2026 AC'!H$3:H$254)</f>
        <v>0</v>
      </c>
      <c r="BG83" s="53">
        <f>SUMIF('2026 AC'!$B$3:$B$254,"*"&amp;$D83&amp;"*",'2026 AC'!I$3:I$254)</f>
        <v>0</v>
      </c>
      <c r="BH83" s="53">
        <f>SUMIF('2026 AC'!$B$3:$B$254,"*"&amp;$D83&amp;"*",'2026 AC'!J$3:J$254)</f>
        <v>0</v>
      </c>
      <c r="BI83" s="53">
        <f>SUMIF('2026 AC'!$B$3:$B$254,"*"&amp;$D83&amp;"*",'2026 AC'!K$3:K$254)</f>
        <v>0</v>
      </c>
      <c r="BJ83" s="53">
        <f>SUMIF('2026 AC'!$B$3:$B$254,"*"&amp;$D83&amp;"*",'2026 AC'!L$3:L$254)</f>
        <v>0</v>
      </c>
      <c r="BK83" s="53">
        <f>SUMIF('2026 AC'!$B$3:$B$254,"*"&amp;$D83&amp;"*",'2026 AC'!M$3:M$254)</f>
        <v>0</v>
      </c>
      <c r="BL83" s="93">
        <f>SUMIF('2026 AC'!$B$3:$B$254,"*"&amp;$D83&amp;"*",'2026 AC'!N$3:N$254)</f>
        <v>0</v>
      </c>
      <c r="BM83" s="92">
        <f t="shared" si="95"/>
        <v>0</v>
      </c>
      <c r="BN83" s="93">
        <f t="shared" si="96"/>
        <v>0</v>
      </c>
      <c r="BO83" s="93">
        <f t="shared" si="97"/>
        <v>0</v>
      </c>
      <c r="BP83" s="93">
        <f t="shared" si="98"/>
        <v>0</v>
      </c>
      <c r="BQ83" s="93">
        <f t="shared" si="99"/>
        <v>0</v>
      </c>
      <c r="BR83" s="92">
        <f t="shared" si="100"/>
        <v>0</v>
      </c>
    </row>
    <row r="84" ht="15" customHeight="1" outlineLevel="1">
      <c r="A84" t="s">
        <v>174</v>
      </c>
      <c r="B84" t="s">
        <v>175</v>
      </c>
      <c r="C84" s="34" t="s">
        <v>176</v>
      </c>
      <c r="D84" s="35" t="s">
        <v>175</v>
      </c>
      <c r="E84" s="151">
        <f t="shared" si="49"/>
        <v>0</v>
      </c>
      <c r="F84" s="152">
        <f t="shared" si="50"/>
        <v>600</v>
      </c>
      <c r="G84" s="54">
        <f t="shared" si="106"/>
        <v>-1</v>
      </c>
      <c r="H84" s="153">
        <f t="shared" si="51"/>
        <v>0</v>
      </c>
      <c r="I84" s="153">
        <f t="shared" si="52"/>
        <v>2984</v>
      </c>
      <c r="J84" s="54">
        <f t="shared" si="107"/>
        <v>-1</v>
      </c>
      <c r="K84" s="153">
        <f t="shared" si="53"/>
        <v>0</v>
      </c>
      <c r="L84" s="153">
        <f t="shared" si="54"/>
        <v>5627.5</v>
      </c>
      <c r="M84" s="55">
        <f t="shared" si="108"/>
        <v>-1</v>
      </c>
      <c r="O84" s="63">
        <f>SUMIF('2024 AC'!$B$3:$B$250,"*"&amp;$D84&amp;"*",'2024 AC'!C$3:C$250)</f>
        <v>750</v>
      </c>
      <c r="P84" s="53">
        <f>SUMIF('2024 AC'!$B$3:$B$250,"*"&amp;$D84&amp;"*",'2024 AC'!D$3:D$250)</f>
        <v>1155</v>
      </c>
      <c r="Q84" s="53">
        <f>SUMIF('2024 AC'!$B$3:$B$250,"*"&amp;$D84&amp;"*",'2024 AC'!E$3:E$250)</f>
        <v>154</v>
      </c>
      <c r="R84" s="53">
        <f>SUMIF('2024 AC'!$B$3:$B$250,"*"&amp;$D84&amp;"*",'2024 AC'!F$3:F$250)</f>
        <v>0</v>
      </c>
      <c r="S84" s="53">
        <f>SUMIF('2024 AC'!$B$3:$B$250,"*"&amp;$D84&amp;"*",'2024 AC'!G$3:G$250)</f>
        <v>0</v>
      </c>
      <c r="T84" s="53">
        <f>SUMIF('2024 AC'!$B$3:$B$250,"*"&amp;$D84&amp;"*",'2024 AC'!H$3:H$250)</f>
        <v>0</v>
      </c>
      <c r="U84" s="53">
        <f>SUMIF('2024 AC'!$B$3:$B$250,"*"&amp;$D84&amp;"*",'2024 AC'!I$3:I$250)</f>
        <v>568</v>
      </c>
      <c r="V84" s="53">
        <f>SUMIF('2024 AC'!$B$3:$B$250,"*"&amp;$D84&amp;"*",'2024 AC'!J$3:J$250)</f>
        <v>744</v>
      </c>
      <c r="W84" s="53">
        <f>SUMIF('2024 AC'!$B$3:$B$250,"*"&amp;$D84&amp;"*",'2024 AC'!K$3:K$250)</f>
        <v>426</v>
      </c>
      <c r="X84" s="53">
        <f>SUMIF('2024 AC'!$B$3:$B$250,"*"&amp;$D84&amp;"*",'2024 AC'!L$3:L$250)</f>
        <v>8009.5</v>
      </c>
      <c r="Y84" s="53">
        <f>SUMIF('2024 AC'!$B$3:$B$250,"*"&amp;$D84&amp;"*",'2024 AC'!M$3:M$250)</f>
        <v>750</v>
      </c>
      <c r="Z84" s="93">
        <f>SUMIF('2024 AC'!$B$3:$B$250,"*"&amp;$D84&amp;"*",'2024 AC'!N$3:N$250)</f>
        <v>127.5</v>
      </c>
      <c r="AA84" s="92">
        <f t="shared" si="83"/>
        <v>12684</v>
      </c>
      <c r="AB84" s="93">
        <f t="shared" si="84"/>
        <v>2059</v>
      </c>
      <c r="AC84" s="93">
        <f t="shared" si="85"/>
        <v>0</v>
      </c>
      <c r="AD84" s="93">
        <f t="shared" si="86"/>
        <v>1738</v>
      </c>
      <c r="AE84" s="93">
        <f t="shared" si="87"/>
        <v>8887</v>
      </c>
      <c r="AF84" s="92">
        <f t="shared" si="88"/>
        <v>12684</v>
      </c>
      <c r="AH84" s="63">
        <f>SUMIF('2025 AC'!$B$3:$B$250,"*"&amp;$D84&amp;"*",'2025 AC'!C$3:C$250)</f>
        <v>2141.5</v>
      </c>
      <c r="AI84" s="53">
        <f>SUMIF('2025 AC'!$B$3:$B$250,"*"&amp;$D84&amp;"*",'2025 AC'!D$3:D$250)</f>
        <v>0</v>
      </c>
      <c r="AJ84" s="53">
        <f>SUMIF('2025 AC'!$B$3:$B$250,"*"&amp;$D84&amp;"*",'2025 AC'!E$3:E$250)</f>
        <v>502</v>
      </c>
      <c r="AK84" s="53">
        <f>SUMIF('2025 AC'!$B$3:$B$250,"*"&amp;$D84&amp;"*",'2025 AC'!F$3:F$250)</f>
        <v>434</v>
      </c>
      <c r="AL84" s="53">
        <f>SUMIF('2025 AC'!$B$3:$B$250,"*"&amp;$D84&amp;"*",'2025 AC'!G$3:G$250)</f>
        <v>1950</v>
      </c>
      <c r="AM84" s="53">
        <f>SUMIF('2025 AC'!$B$3:$B$250,"*"&amp;$D84&amp;"*",'2025 AC'!H$3:H$250)</f>
        <v>600</v>
      </c>
      <c r="AN84" s="53">
        <f>SUMIF('2025 AC'!$B$3:$B$250,"*"&amp;$D84&amp;"*",'2025 AC'!I$3:I$250)</f>
        <v>0</v>
      </c>
      <c r="AO84" s="53">
        <f>SUMIF('2025 AC'!$B$3:$B$250,"*"&amp;$D84&amp;"*",'2025 AC'!J$3:J$250)</f>
        <v>708</v>
      </c>
      <c r="AP84" s="53">
        <f>SUMIF('2025 AC'!$B$3:$B$250,"*"&amp;$D84&amp;"*",'2025 AC'!K$3:K$250)</f>
        <v>1458</v>
      </c>
      <c r="AQ84" s="53">
        <f>SUMIF('2025 AC'!$B$3:$B$250,"*"&amp;$D84&amp;"*",'2025 AC'!L$3:L$250)</f>
        <v>0</v>
      </c>
      <c r="AR84" s="53">
        <f>SUMIF('2025 AC'!$B$3:$B$250,"*"&amp;$D84&amp;"*",'2025 AC'!M$3:M$250)</f>
        <v>880</v>
      </c>
      <c r="AS84" s="53">
        <f>SUMIF('2025 AC'!$B$3:$B$250,"*"&amp;$D84&amp;"*",'2025 AC'!N$3:N$250)</f>
        <v>0</v>
      </c>
      <c r="AT84" s="94">
        <f t="shared" si="89"/>
        <v>8673.5</v>
      </c>
      <c r="AU84" s="93">
        <f t="shared" si="90"/>
        <v>2643.5</v>
      </c>
      <c r="AV84" s="93">
        <f t="shared" si="91"/>
        <v>2984</v>
      </c>
      <c r="AW84" s="93">
        <f t="shared" si="92"/>
        <v>2166</v>
      </c>
      <c r="AX84" s="93">
        <f t="shared" si="93"/>
        <v>880</v>
      </c>
      <c r="AY84" s="92">
        <f t="shared" si="94"/>
        <v>8673.5</v>
      </c>
      <c r="BA84" s="63">
        <f>SUMIF('2026 AC'!$B$3:$B$254,"*"&amp;$D84&amp;"*",'2026 AC'!C$3:C$254)</f>
        <v>0</v>
      </c>
      <c r="BB84" s="53">
        <f>SUMIF('2026 AC'!$B$3:$B$254,"*"&amp;$D84&amp;"*",'2026 AC'!D$3:D$254)</f>
        <v>0</v>
      </c>
      <c r="BC84" s="53">
        <f>SUMIF('2026 AC'!$B$3:$B$254,"*"&amp;$D84&amp;"*",'2026 AC'!E$3:E$254)</f>
        <v>0</v>
      </c>
      <c r="BD84" s="53">
        <f>SUMIF('2026 AC'!$B$3:$B$254,"*"&amp;$D84&amp;"*",'2026 AC'!F$3:F$254)</f>
        <v>0</v>
      </c>
      <c r="BE84" s="53">
        <f>SUMIF('2026 AC'!$B$3:$B$254,"*"&amp;$D84&amp;"*",'2026 AC'!G$3:G$254)</f>
        <v>0</v>
      </c>
      <c r="BF84" s="53">
        <f>SUMIF('2026 AC'!$B$3:$B$254,"*"&amp;$D84&amp;"*",'2026 AC'!H$3:H$254)</f>
        <v>0</v>
      </c>
      <c r="BG84" s="53">
        <f>SUMIF('2026 AC'!$B$3:$B$254,"*"&amp;$D84&amp;"*",'2026 AC'!I$3:I$254)</f>
        <v>0</v>
      </c>
      <c r="BH84" s="53">
        <f>SUMIF('2026 AC'!$B$3:$B$254,"*"&amp;$D84&amp;"*",'2026 AC'!J$3:J$254)</f>
        <v>0</v>
      </c>
      <c r="BI84" s="53">
        <f>SUMIF('2026 AC'!$B$3:$B$254,"*"&amp;$D84&amp;"*",'2026 AC'!K$3:K$254)</f>
        <v>0</v>
      </c>
      <c r="BJ84" s="53">
        <f>SUMIF('2026 AC'!$B$3:$B$254,"*"&amp;$D84&amp;"*",'2026 AC'!L$3:L$254)</f>
        <v>0</v>
      </c>
      <c r="BK84" s="53">
        <f>SUMIF('2026 AC'!$B$3:$B$254,"*"&amp;$D84&amp;"*",'2026 AC'!M$3:M$254)</f>
        <v>0</v>
      </c>
      <c r="BL84" s="93">
        <f>SUMIF('2026 AC'!$B$3:$B$254,"*"&amp;$D84&amp;"*",'2026 AC'!N$3:N$254)</f>
        <v>0</v>
      </c>
      <c r="BM84" s="92">
        <f t="shared" si="95"/>
        <v>0</v>
      </c>
      <c r="BN84" s="93">
        <f t="shared" si="96"/>
        <v>0</v>
      </c>
      <c r="BO84" s="93">
        <f t="shared" si="97"/>
        <v>0</v>
      </c>
      <c r="BP84" s="93">
        <f t="shared" si="98"/>
        <v>0</v>
      </c>
      <c r="BQ84" s="93">
        <f t="shared" si="99"/>
        <v>0</v>
      </c>
      <c r="BR84" s="92">
        <f t="shared" si="100"/>
        <v>0</v>
      </c>
    </row>
    <row r="85" ht="15" customHeight="1" outlineLevel="1">
      <c r="A85" t="s">
        <v>177</v>
      </c>
      <c r="B85" t="s">
        <v>178</v>
      </c>
      <c r="C85" s="34" t="s">
        <v>179</v>
      </c>
      <c r="D85" s="35" t="s">
        <v>178</v>
      </c>
      <c r="E85" s="151">
        <f t="shared" si="49"/>
        <v>0</v>
      </c>
      <c r="F85" s="152">
        <f t="shared" si="50"/>
        <v>705.60000000000002</v>
      </c>
      <c r="G85" s="154">
        <f t="shared" ref="G85:G87" si="110">IFERROR((E85-F85)/F85,0)</f>
        <v>-1</v>
      </c>
      <c r="H85" s="153">
        <f t="shared" si="51"/>
        <v>0</v>
      </c>
      <c r="I85" s="153">
        <f t="shared" si="52"/>
        <v>705.60000000000002</v>
      </c>
      <c r="J85" s="54">
        <f t="shared" si="107"/>
        <v>-1</v>
      </c>
      <c r="K85" s="153">
        <f t="shared" si="53"/>
        <v>0</v>
      </c>
      <c r="L85" s="153">
        <f t="shared" si="54"/>
        <v>1582.9000000000001</v>
      </c>
      <c r="M85" s="55">
        <f t="shared" si="108"/>
        <v>-1</v>
      </c>
      <c r="O85" s="63">
        <f>SUMIF('2024 AC'!$B$3:$B$250,"*"&amp;$D85&amp;"*",'2024 AC'!C$3:C$250)</f>
        <v>0</v>
      </c>
      <c r="P85" s="53">
        <f>SUMIF('2024 AC'!$B$3:$B$250,"*"&amp;$D85&amp;"*",'2024 AC'!D$3:D$250)</f>
        <v>0</v>
      </c>
      <c r="Q85" s="53">
        <f>SUMIF('2024 AC'!$B$3:$B$250,"*"&amp;$D85&amp;"*",'2024 AC'!E$3:E$250)</f>
        <v>0</v>
      </c>
      <c r="R85" s="53">
        <f>SUMIF('2024 AC'!$B$3:$B$250,"*"&amp;$D85&amp;"*",'2024 AC'!F$3:F$250)</f>
        <v>0</v>
      </c>
      <c r="S85" s="53">
        <f>SUMIF('2024 AC'!$B$3:$B$250,"*"&amp;$D85&amp;"*",'2024 AC'!G$3:G$250)</f>
        <v>0</v>
      </c>
      <c r="T85" s="53">
        <f>SUMIF('2024 AC'!$B$3:$B$250,"*"&amp;$D85&amp;"*",'2024 AC'!H$3:H$250)</f>
        <v>0</v>
      </c>
      <c r="U85" s="53">
        <f>SUMIF('2024 AC'!$B$3:$B$250,"*"&amp;$D85&amp;"*",'2024 AC'!I$3:I$250)</f>
        <v>0</v>
      </c>
      <c r="V85" s="53">
        <f>SUMIF('2024 AC'!$B$3:$B$250,"*"&amp;$D85&amp;"*",'2024 AC'!J$3:J$250)</f>
        <v>705.60000000000002</v>
      </c>
      <c r="W85" s="53">
        <f>SUMIF('2024 AC'!$B$3:$B$250,"*"&amp;$D85&amp;"*",'2024 AC'!K$3:K$250)</f>
        <v>705.60000000000002</v>
      </c>
      <c r="X85" s="53">
        <f>SUMIF('2024 AC'!$B$3:$B$250,"*"&amp;$D85&amp;"*",'2024 AC'!L$3:L$250)</f>
        <v>0</v>
      </c>
      <c r="Y85" s="53">
        <f>SUMIF('2024 AC'!$B$3:$B$250,"*"&amp;$D85&amp;"*",'2024 AC'!M$3:M$250)</f>
        <v>0</v>
      </c>
      <c r="Z85" s="93">
        <f>SUMIF('2024 AC'!$B$3:$B$250,"*"&amp;$D85&amp;"*",'2024 AC'!N$3:N$250)</f>
        <v>0</v>
      </c>
      <c r="AA85" s="92">
        <f t="shared" si="83"/>
        <v>1411.2</v>
      </c>
      <c r="AB85" s="93">
        <f t="shared" si="84"/>
        <v>0</v>
      </c>
      <c r="AC85" s="93">
        <f t="shared" si="85"/>
        <v>0</v>
      </c>
      <c r="AD85" s="93">
        <f t="shared" si="86"/>
        <v>1411.2</v>
      </c>
      <c r="AE85" s="93">
        <f t="shared" si="87"/>
        <v>0</v>
      </c>
      <c r="AF85" s="92">
        <f t="shared" si="88"/>
        <v>1411.2</v>
      </c>
      <c r="AH85" s="63">
        <f>SUMIF('2025 AC'!$B$3:$B$250,"*"&amp;$D85&amp;"*",'2025 AC'!C$3:C$250)</f>
        <v>705.60000000000002</v>
      </c>
      <c r="AI85" s="53">
        <f>SUMIF('2025 AC'!$B$3:$B$250,"*"&amp;$D85&amp;"*",'2025 AC'!D$3:D$250)</f>
        <v>171.69999999999999</v>
      </c>
      <c r="AJ85" s="53">
        <f>SUMIF('2025 AC'!$B$3:$B$250,"*"&amp;$D85&amp;"*",'2025 AC'!E$3:E$250)</f>
        <v>0</v>
      </c>
      <c r="AK85" s="53">
        <f>SUMIF('2025 AC'!$B$3:$B$250,"*"&amp;$D85&amp;"*",'2025 AC'!F$3:F$250)</f>
        <v>0</v>
      </c>
      <c r="AL85" s="53">
        <f>SUMIF('2025 AC'!$B$3:$B$250,"*"&amp;$D85&amp;"*",'2025 AC'!G$3:G$250)</f>
        <v>0</v>
      </c>
      <c r="AM85" s="53">
        <f>SUMIF('2025 AC'!$B$3:$B$250,"*"&amp;$D85&amp;"*",'2025 AC'!H$3:H$250)</f>
        <v>705.60000000000002</v>
      </c>
      <c r="AN85" s="53">
        <f>SUMIF('2025 AC'!$B$3:$B$250,"*"&amp;$D85&amp;"*",'2025 AC'!I$3:I$250)</f>
        <v>0</v>
      </c>
      <c r="AO85" s="53">
        <f>SUMIF('2025 AC'!$B$3:$B$250,"*"&amp;$D85&amp;"*",'2025 AC'!J$3:J$250)</f>
        <v>0</v>
      </c>
      <c r="AP85" s="53">
        <f>SUMIF('2025 AC'!$B$3:$B$250,"*"&amp;$D85&amp;"*",'2025 AC'!K$3:K$250)</f>
        <v>0</v>
      </c>
      <c r="AQ85" s="53">
        <f>SUMIF('2025 AC'!$B$3:$B$250,"*"&amp;$D85&amp;"*",'2025 AC'!L$3:L$250)</f>
        <v>705.60000000000002</v>
      </c>
      <c r="AR85" s="53">
        <f>SUMIF('2025 AC'!$B$3:$B$250,"*"&amp;$D85&amp;"*",'2025 AC'!M$3:M$250)</f>
        <v>0</v>
      </c>
      <c r="AS85" s="53">
        <f>SUMIF('2025 AC'!$B$3:$B$250,"*"&amp;$D85&amp;"*",'2025 AC'!N$3:N$250)</f>
        <v>705.60000000000002</v>
      </c>
      <c r="AT85" s="94">
        <f t="shared" si="89"/>
        <v>2994.0999999999999</v>
      </c>
      <c r="AU85" s="93">
        <f t="shared" si="90"/>
        <v>877.29999999999995</v>
      </c>
      <c r="AV85" s="93">
        <f t="shared" si="91"/>
        <v>705.60000000000002</v>
      </c>
      <c r="AW85" s="93">
        <f t="shared" si="92"/>
        <v>0</v>
      </c>
      <c r="AX85" s="93">
        <f t="shared" si="93"/>
        <v>1411.2</v>
      </c>
      <c r="AY85" s="92">
        <f t="shared" si="94"/>
        <v>2994.1000000000004</v>
      </c>
      <c r="BA85" s="63">
        <f>SUMIF('2026 AC'!$B$3:$B$254,"*"&amp;$D85&amp;"*",'2026 AC'!C$3:C$254)</f>
        <v>0</v>
      </c>
      <c r="BB85" s="53">
        <f>SUMIF('2026 AC'!$B$3:$B$254,"*"&amp;$D85&amp;"*",'2026 AC'!D$3:D$254)</f>
        <v>0</v>
      </c>
      <c r="BC85" s="53">
        <f>SUMIF('2026 AC'!$B$3:$B$254,"*"&amp;$D85&amp;"*",'2026 AC'!E$3:E$254)</f>
        <v>0</v>
      </c>
      <c r="BD85" s="53">
        <f>SUMIF('2026 AC'!$B$3:$B$254,"*"&amp;$D85&amp;"*",'2026 AC'!F$3:F$254)</f>
        <v>0</v>
      </c>
      <c r="BE85" s="53">
        <f>SUMIF('2026 AC'!$B$3:$B$254,"*"&amp;$D85&amp;"*",'2026 AC'!G$3:G$254)</f>
        <v>0</v>
      </c>
      <c r="BF85" s="53">
        <f>SUMIF('2026 AC'!$B$3:$B$254,"*"&amp;$D85&amp;"*",'2026 AC'!H$3:H$254)</f>
        <v>0</v>
      </c>
      <c r="BG85" s="53">
        <f>SUMIF('2026 AC'!$B$3:$B$254,"*"&amp;$D85&amp;"*",'2026 AC'!I$3:I$254)</f>
        <v>0</v>
      </c>
      <c r="BH85" s="53">
        <f>SUMIF('2026 AC'!$B$3:$B$254,"*"&amp;$D85&amp;"*",'2026 AC'!J$3:J$254)</f>
        <v>0</v>
      </c>
      <c r="BI85" s="53">
        <f>SUMIF('2026 AC'!$B$3:$B$254,"*"&amp;$D85&amp;"*",'2026 AC'!K$3:K$254)</f>
        <v>0</v>
      </c>
      <c r="BJ85" s="53">
        <f>SUMIF('2026 AC'!$B$3:$B$254,"*"&amp;$D85&amp;"*",'2026 AC'!L$3:L$254)</f>
        <v>0</v>
      </c>
      <c r="BK85" s="53">
        <f>SUMIF('2026 AC'!$B$3:$B$254,"*"&amp;$D85&amp;"*",'2026 AC'!M$3:M$254)</f>
        <v>0</v>
      </c>
      <c r="BL85" s="93">
        <f>SUMIF('2026 AC'!$B$3:$B$254,"*"&amp;$D85&amp;"*",'2026 AC'!N$3:N$254)</f>
        <v>0</v>
      </c>
      <c r="BM85" s="92">
        <f t="shared" si="95"/>
        <v>0</v>
      </c>
      <c r="BN85" s="93">
        <f t="shared" si="96"/>
        <v>0</v>
      </c>
      <c r="BO85" s="93">
        <f t="shared" si="97"/>
        <v>0</v>
      </c>
      <c r="BP85" s="93">
        <f t="shared" si="98"/>
        <v>0</v>
      </c>
      <c r="BQ85" s="93">
        <f t="shared" si="99"/>
        <v>0</v>
      </c>
      <c r="BR85" s="92">
        <f t="shared" si="100"/>
        <v>0</v>
      </c>
    </row>
    <row r="86" ht="15" customHeight="1" outlineLevel="1">
      <c r="A86" t="s">
        <v>180</v>
      </c>
      <c r="B86" t="s">
        <v>181</v>
      </c>
      <c r="C86" s="34" t="s">
        <v>182</v>
      </c>
      <c r="D86" s="35" t="s">
        <v>181</v>
      </c>
      <c r="E86" s="188">
        <f t="shared" si="49"/>
        <v>0</v>
      </c>
      <c r="F86" s="152">
        <f t="shared" si="50"/>
        <v>0</v>
      </c>
      <c r="G86" s="154">
        <f t="shared" si="110"/>
        <v>0</v>
      </c>
      <c r="H86" s="153">
        <f t="shared" si="51"/>
        <v>0</v>
      </c>
      <c r="I86" s="153">
        <f t="shared" si="52"/>
        <v>0</v>
      </c>
      <c r="J86" s="154">
        <f t="shared" ref="J86:J89" si="111">IFERROR((H86-I86)/I86,0)</f>
        <v>0</v>
      </c>
      <c r="K86" s="153">
        <f t="shared" si="53"/>
        <v>0</v>
      </c>
      <c r="L86" s="153">
        <f t="shared" si="54"/>
        <v>0</v>
      </c>
      <c r="M86" s="155">
        <f t="shared" ref="M86:M89" si="112">IFERROR((K86-L86)/L86,0)</f>
        <v>0</v>
      </c>
      <c r="O86" s="63">
        <f>SUMIF('2024 AC'!$B$3:$B$250,"*"&amp;$D86&amp;"*",'2024 AC'!C$3:C$250)</f>
        <v>0</v>
      </c>
      <c r="P86" s="53">
        <f>SUMIF('2024 AC'!$B$3:$B$250,"*"&amp;$D86&amp;"*",'2024 AC'!D$3:D$250)</f>
        <v>0</v>
      </c>
      <c r="Q86" s="53">
        <f>SUMIF('2024 AC'!$B$3:$B$250,"*"&amp;$D86&amp;"*",'2024 AC'!E$3:E$250)</f>
        <v>0</v>
      </c>
      <c r="R86" s="53">
        <f>SUMIF('2024 AC'!$B$3:$B$250,"*"&amp;$D86&amp;"*",'2024 AC'!F$3:F$250)</f>
        <v>0</v>
      </c>
      <c r="S86" s="53">
        <f>SUMIF('2024 AC'!$B$3:$B$250,"*"&amp;$D86&amp;"*",'2024 AC'!G$3:G$250)</f>
        <v>0</v>
      </c>
      <c r="T86" s="53">
        <f>SUMIF('2024 AC'!$B$3:$B$250,"*"&amp;$D86&amp;"*",'2024 AC'!H$3:H$250)</f>
        <v>0</v>
      </c>
      <c r="U86" s="53">
        <f>SUMIF('2024 AC'!$B$3:$B$250,"*"&amp;$D86&amp;"*",'2024 AC'!I$3:I$250)</f>
        <v>0</v>
      </c>
      <c r="V86" s="53">
        <f>SUMIF('2024 AC'!$B$3:$B$250,"*"&amp;$D86&amp;"*",'2024 AC'!J$3:J$250)</f>
        <v>0</v>
      </c>
      <c r="W86" s="53">
        <f>SUMIF('2024 AC'!$B$3:$B$250,"*"&amp;$D86&amp;"*",'2024 AC'!K$3:K$250)</f>
        <v>0</v>
      </c>
      <c r="X86" s="53">
        <f>SUMIF('2024 AC'!$B$3:$B$250,"*"&amp;$D86&amp;"*",'2024 AC'!L$3:L$250)</f>
        <v>0</v>
      </c>
      <c r="Y86" s="53">
        <f>SUMIF('2024 AC'!$B$3:$B$250,"*"&amp;$D86&amp;"*",'2024 AC'!M$3:M$250)</f>
        <v>0</v>
      </c>
      <c r="Z86" s="93">
        <f>SUMIF('2024 AC'!$B$3:$B$250,"*"&amp;$D86&amp;"*",'2024 AC'!N$3:N$250)</f>
        <v>0</v>
      </c>
      <c r="AA86" s="92">
        <f t="shared" si="83"/>
        <v>0</v>
      </c>
      <c r="AB86" s="93">
        <f t="shared" si="84"/>
        <v>0</v>
      </c>
      <c r="AC86" s="93">
        <f t="shared" si="85"/>
        <v>0</v>
      </c>
      <c r="AD86" s="93">
        <f t="shared" si="86"/>
        <v>0</v>
      </c>
      <c r="AE86" s="93">
        <f t="shared" si="87"/>
        <v>0</v>
      </c>
      <c r="AF86" s="92">
        <f t="shared" si="88"/>
        <v>0</v>
      </c>
      <c r="AH86" s="63">
        <f>SUMIF('2025 AC'!$B$3:$B$250,"*"&amp;$D86&amp;"*",'2025 AC'!C$3:C$250)</f>
        <v>0</v>
      </c>
      <c r="AI86" s="53">
        <f>SUMIF('2025 AC'!$B$3:$B$250,"*"&amp;$D86&amp;"*",'2025 AC'!D$3:D$250)</f>
        <v>0</v>
      </c>
      <c r="AJ86" s="53">
        <f>SUMIF('2025 AC'!$B$3:$B$250,"*"&amp;$D86&amp;"*",'2025 AC'!E$3:E$250)</f>
        <v>0</v>
      </c>
      <c r="AK86" s="53">
        <f>SUMIF('2025 AC'!$B$3:$B$250,"*"&amp;$D86&amp;"*",'2025 AC'!F$3:F$250)</f>
        <v>0</v>
      </c>
      <c r="AL86" s="53">
        <f>SUMIF('2025 AC'!$B$3:$B$250,"*"&amp;$D86&amp;"*",'2025 AC'!G$3:G$250)</f>
        <v>0</v>
      </c>
      <c r="AM86" s="53">
        <f>SUMIF('2025 AC'!$B$3:$B$250,"*"&amp;$D86&amp;"*",'2025 AC'!H$3:H$250)</f>
        <v>0</v>
      </c>
      <c r="AN86" s="53">
        <f>SUMIF('2025 AC'!$B$3:$B$250,"*"&amp;$D86&amp;"*",'2025 AC'!I$3:I$250)</f>
        <v>0</v>
      </c>
      <c r="AO86" s="53">
        <f>SUMIF('2025 AC'!$B$3:$B$250,"*"&amp;$D86&amp;"*",'2025 AC'!J$3:J$250)</f>
        <v>0</v>
      </c>
      <c r="AP86" s="53">
        <f>SUMIF('2025 AC'!$B$3:$B$250,"*"&amp;$D86&amp;"*",'2025 AC'!K$3:K$250)</f>
        <v>0</v>
      </c>
      <c r="AQ86" s="53">
        <f>SUMIF('2025 AC'!$B$3:$B$250,"*"&amp;$D86&amp;"*",'2025 AC'!L$3:L$250)</f>
        <v>0</v>
      </c>
      <c r="AR86" s="53">
        <f>SUMIF('2025 AC'!$B$3:$B$250,"*"&amp;$D86&amp;"*",'2025 AC'!M$3:M$250)</f>
        <v>0</v>
      </c>
      <c r="AS86" s="53">
        <f>SUMIF('2025 AC'!$B$3:$B$250,"*"&amp;$D86&amp;"*",'2025 AC'!N$3:N$250)</f>
        <v>0</v>
      </c>
      <c r="AT86" s="94">
        <f t="shared" si="89"/>
        <v>0</v>
      </c>
      <c r="AU86" s="93">
        <f t="shared" si="90"/>
        <v>0</v>
      </c>
      <c r="AV86" s="93">
        <f t="shared" si="91"/>
        <v>0</v>
      </c>
      <c r="AW86" s="93">
        <f t="shared" si="92"/>
        <v>0</v>
      </c>
      <c r="AX86" s="93">
        <f t="shared" si="93"/>
        <v>0</v>
      </c>
      <c r="AY86" s="92">
        <f t="shared" si="94"/>
        <v>0</v>
      </c>
      <c r="BA86" s="63">
        <f>SUMIF('2026 AC'!$B$3:$B$254,"*"&amp;$D86&amp;"*",'2026 AC'!C$3:C$254)</f>
        <v>0</v>
      </c>
      <c r="BB86" s="53">
        <f>SUMIF('2026 AC'!$B$3:$B$254,"*"&amp;$D86&amp;"*",'2026 AC'!D$3:D$254)</f>
        <v>0</v>
      </c>
      <c r="BC86" s="53">
        <f>SUMIF('2026 AC'!$B$3:$B$254,"*"&amp;$D86&amp;"*",'2026 AC'!E$3:E$254)</f>
        <v>0</v>
      </c>
      <c r="BD86" s="53">
        <f>SUMIF('2026 AC'!$B$3:$B$254,"*"&amp;$D86&amp;"*",'2026 AC'!F$3:F$254)</f>
        <v>0</v>
      </c>
      <c r="BE86" s="53">
        <f>SUMIF('2026 AC'!$B$3:$B$254,"*"&amp;$D86&amp;"*",'2026 AC'!G$3:G$254)</f>
        <v>0</v>
      </c>
      <c r="BF86" s="53">
        <f>SUMIF('2026 AC'!$B$3:$B$254,"*"&amp;$D86&amp;"*",'2026 AC'!H$3:H$254)</f>
        <v>0</v>
      </c>
      <c r="BG86" s="53">
        <f>SUMIF('2026 AC'!$B$3:$B$254,"*"&amp;$D86&amp;"*",'2026 AC'!I$3:I$254)</f>
        <v>0</v>
      </c>
      <c r="BH86" s="53">
        <f>SUMIF('2026 AC'!$B$3:$B$254,"*"&amp;$D86&amp;"*",'2026 AC'!J$3:J$254)</f>
        <v>0</v>
      </c>
      <c r="BI86" s="53">
        <f>SUMIF('2026 AC'!$B$3:$B$254,"*"&amp;$D86&amp;"*",'2026 AC'!K$3:K$254)</f>
        <v>0</v>
      </c>
      <c r="BJ86" s="53">
        <f>SUMIF('2026 AC'!$B$3:$B$254,"*"&amp;$D86&amp;"*",'2026 AC'!L$3:L$254)</f>
        <v>0</v>
      </c>
      <c r="BK86" s="53">
        <f>SUMIF('2026 AC'!$B$3:$B$254,"*"&amp;$D86&amp;"*",'2026 AC'!M$3:M$254)</f>
        <v>0</v>
      </c>
      <c r="BL86" s="93">
        <f>SUMIF('2026 AC'!$B$3:$B$254,"*"&amp;$D86&amp;"*",'2026 AC'!N$3:N$254)</f>
        <v>0</v>
      </c>
      <c r="BM86" s="92">
        <f t="shared" si="95"/>
        <v>0</v>
      </c>
      <c r="BN86" s="93">
        <f t="shared" si="96"/>
        <v>0</v>
      </c>
      <c r="BO86" s="93">
        <f t="shared" si="97"/>
        <v>0</v>
      </c>
      <c r="BP86" s="93">
        <f t="shared" si="98"/>
        <v>0</v>
      </c>
      <c r="BQ86" s="93">
        <f t="shared" si="99"/>
        <v>0</v>
      </c>
      <c r="BR86" s="92">
        <f t="shared" si="100"/>
        <v>0</v>
      </c>
    </row>
    <row r="87" ht="15" customHeight="1" outlineLevel="1">
      <c r="A87" t="s">
        <v>183</v>
      </c>
      <c r="B87" t="s">
        <v>184</v>
      </c>
      <c r="C87" s="34" t="s">
        <v>185</v>
      </c>
      <c r="D87" s="35" t="s">
        <v>184</v>
      </c>
      <c r="E87" s="188">
        <f t="shared" si="49"/>
        <v>0</v>
      </c>
      <c r="F87" s="152">
        <f t="shared" si="50"/>
        <v>0</v>
      </c>
      <c r="G87" s="154">
        <f t="shared" si="110"/>
        <v>0</v>
      </c>
      <c r="H87" s="153">
        <f t="shared" si="51"/>
        <v>0</v>
      </c>
      <c r="I87" s="153">
        <f t="shared" si="52"/>
        <v>0</v>
      </c>
      <c r="J87" s="154">
        <f t="shared" si="111"/>
        <v>0</v>
      </c>
      <c r="K87" s="153">
        <f t="shared" si="53"/>
        <v>0</v>
      </c>
      <c r="L87" s="153">
        <f t="shared" si="54"/>
        <v>0</v>
      </c>
      <c r="M87" s="155">
        <f t="shared" si="112"/>
        <v>0</v>
      </c>
      <c r="O87" s="63">
        <f>SUMIF('2024 AC'!$B$3:$B$250,"*"&amp;$D87&amp;"*",'2024 AC'!C$3:C$250)</f>
        <v>0</v>
      </c>
      <c r="P87" s="53">
        <f>SUMIF('2024 AC'!$B$3:$B$250,"*"&amp;$D87&amp;"*",'2024 AC'!D$3:D$250)</f>
        <v>0</v>
      </c>
      <c r="Q87" s="53">
        <f>SUMIF('2024 AC'!$B$3:$B$250,"*"&amp;$D87&amp;"*",'2024 AC'!E$3:E$250)</f>
        <v>0</v>
      </c>
      <c r="R87" s="53">
        <f>SUMIF('2024 AC'!$B$3:$B$250,"*"&amp;$D87&amp;"*",'2024 AC'!F$3:F$250)</f>
        <v>0</v>
      </c>
      <c r="S87" s="53">
        <f>SUMIF('2024 AC'!$B$3:$B$250,"*"&amp;$D87&amp;"*",'2024 AC'!G$3:G$250)</f>
        <v>0</v>
      </c>
      <c r="T87" s="53">
        <f>SUMIF('2024 AC'!$B$3:$B$250,"*"&amp;$D87&amp;"*",'2024 AC'!H$3:H$250)</f>
        <v>0</v>
      </c>
      <c r="U87" s="53">
        <f>SUMIF('2024 AC'!$B$3:$B$250,"*"&amp;$D87&amp;"*",'2024 AC'!I$3:I$250)</f>
        <v>0</v>
      </c>
      <c r="V87" s="53">
        <f>SUMIF('2024 AC'!$B$3:$B$250,"*"&amp;$D87&amp;"*",'2024 AC'!J$3:J$250)</f>
        <v>0</v>
      </c>
      <c r="W87" s="53">
        <f>SUMIF('2024 AC'!$B$3:$B$250,"*"&amp;$D87&amp;"*",'2024 AC'!K$3:K$250)</f>
        <v>0</v>
      </c>
      <c r="X87" s="53">
        <f>SUMIF('2024 AC'!$B$3:$B$250,"*"&amp;$D87&amp;"*",'2024 AC'!L$3:L$250)</f>
        <v>0</v>
      </c>
      <c r="Y87" s="53">
        <f>SUMIF('2024 AC'!$B$3:$B$250,"*"&amp;$D87&amp;"*",'2024 AC'!M$3:M$250)</f>
        <v>0</v>
      </c>
      <c r="Z87" s="93">
        <f>SUMIF('2024 AC'!$B$3:$B$250,"*"&amp;$D87&amp;"*",'2024 AC'!N$3:N$250)</f>
        <v>0</v>
      </c>
      <c r="AA87" s="92">
        <f t="shared" si="83"/>
        <v>0</v>
      </c>
      <c r="AB87" s="93">
        <f t="shared" si="84"/>
        <v>0</v>
      </c>
      <c r="AC87" s="93">
        <f t="shared" si="85"/>
        <v>0</v>
      </c>
      <c r="AD87" s="93">
        <f t="shared" si="86"/>
        <v>0</v>
      </c>
      <c r="AE87" s="93">
        <f t="shared" si="87"/>
        <v>0</v>
      </c>
      <c r="AF87" s="92">
        <f t="shared" si="88"/>
        <v>0</v>
      </c>
      <c r="AH87" s="63">
        <f>SUMIF('2025 AC'!$B$3:$B$250,"*"&amp;$D87&amp;"*",'2025 AC'!C$3:C$250)</f>
        <v>0</v>
      </c>
      <c r="AI87" s="53">
        <f>SUMIF('2025 AC'!$B$3:$B$250,"*"&amp;$D87&amp;"*",'2025 AC'!D$3:D$250)</f>
        <v>0</v>
      </c>
      <c r="AJ87" s="53">
        <f>SUMIF('2025 AC'!$B$3:$B$250,"*"&amp;$D87&amp;"*",'2025 AC'!E$3:E$250)</f>
        <v>0</v>
      </c>
      <c r="AK87" s="53">
        <f>SUMIF('2025 AC'!$B$3:$B$250,"*"&amp;$D87&amp;"*",'2025 AC'!F$3:F$250)</f>
        <v>0</v>
      </c>
      <c r="AL87" s="53">
        <f>SUMIF('2025 AC'!$B$3:$B$250,"*"&amp;$D87&amp;"*",'2025 AC'!G$3:G$250)</f>
        <v>0</v>
      </c>
      <c r="AM87" s="53">
        <f>SUMIF('2025 AC'!$B$3:$B$250,"*"&amp;$D87&amp;"*",'2025 AC'!H$3:H$250)</f>
        <v>0</v>
      </c>
      <c r="AN87" s="53">
        <f>SUMIF('2025 AC'!$B$3:$B$250,"*"&amp;$D87&amp;"*",'2025 AC'!I$3:I$250)</f>
        <v>0</v>
      </c>
      <c r="AO87" s="53">
        <f>SUMIF('2025 AC'!$B$3:$B$250,"*"&amp;$D87&amp;"*",'2025 AC'!J$3:J$250)</f>
        <v>0</v>
      </c>
      <c r="AP87" s="53">
        <f>SUMIF('2025 AC'!$B$3:$B$250,"*"&amp;$D87&amp;"*",'2025 AC'!K$3:K$250)</f>
        <v>0</v>
      </c>
      <c r="AQ87" s="53">
        <f>SUMIF('2025 AC'!$B$3:$B$250,"*"&amp;$D87&amp;"*",'2025 AC'!L$3:L$250)</f>
        <v>0</v>
      </c>
      <c r="AR87" s="53">
        <f>SUMIF('2025 AC'!$B$3:$B$250,"*"&amp;$D87&amp;"*",'2025 AC'!M$3:M$250)</f>
        <v>0</v>
      </c>
      <c r="AS87" s="53">
        <f>SUMIF('2025 AC'!$B$3:$B$250,"*"&amp;$D87&amp;"*",'2025 AC'!N$3:N$250)</f>
        <v>0</v>
      </c>
      <c r="AT87" s="94">
        <f t="shared" si="89"/>
        <v>0</v>
      </c>
      <c r="AU87" s="93">
        <f t="shared" si="90"/>
        <v>0</v>
      </c>
      <c r="AV87" s="93">
        <f t="shared" si="91"/>
        <v>0</v>
      </c>
      <c r="AW87" s="93">
        <f t="shared" si="92"/>
        <v>0</v>
      </c>
      <c r="AX87" s="93">
        <f t="shared" si="93"/>
        <v>0</v>
      </c>
      <c r="AY87" s="92">
        <f t="shared" si="94"/>
        <v>0</v>
      </c>
      <c r="BA87" s="63">
        <f>SUMIF('2026 AC'!$B$3:$B$254,"*"&amp;$D87&amp;"*",'2026 AC'!C$3:C$254)</f>
        <v>0</v>
      </c>
      <c r="BB87" s="53">
        <f>SUMIF('2026 AC'!$B$3:$B$254,"*"&amp;$D87&amp;"*",'2026 AC'!D$3:D$254)</f>
        <v>0</v>
      </c>
      <c r="BC87" s="53">
        <f>SUMIF('2026 AC'!$B$3:$B$254,"*"&amp;$D87&amp;"*",'2026 AC'!E$3:E$254)</f>
        <v>0</v>
      </c>
      <c r="BD87" s="53">
        <f>SUMIF('2026 AC'!$B$3:$B$254,"*"&amp;$D87&amp;"*",'2026 AC'!F$3:F$254)</f>
        <v>0</v>
      </c>
      <c r="BE87" s="53">
        <f>SUMIF('2026 AC'!$B$3:$B$254,"*"&amp;$D87&amp;"*",'2026 AC'!G$3:G$254)</f>
        <v>0</v>
      </c>
      <c r="BF87" s="53">
        <f>SUMIF('2026 AC'!$B$3:$B$254,"*"&amp;$D87&amp;"*",'2026 AC'!H$3:H$254)</f>
        <v>0</v>
      </c>
      <c r="BG87" s="53">
        <f>SUMIF('2026 AC'!$B$3:$B$254,"*"&amp;$D87&amp;"*",'2026 AC'!I$3:I$254)</f>
        <v>0</v>
      </c>
      <c r="BH87" s="53">
        <f>SUMIF('2026 AC'!$B$3:$B$254,"*"&amp;$D87&amp;"*",'2026 AC'!J$3:J$254)</f>
        <v>0</v>
      </c>
      <c r="BI87" s="53">
        <f>SUMIF('2026 AC'!$B$3:$B$254,"*"&amp;$D87&amp;"*",'2026 AC'!K$3:K$254)</f>
        <v>0</v>
      </c>
      <c r="BJ87" s="53">
        <f>SUMIF('2026 AC'!$B$3:$B$254,"*"&amp;$D87&amp;"*",'2026 AC'!L$3:L$254)</f>
        <v>0</v>
      </c>
      <c r="BK87" s="53">
        <f>SUMIF('2026 AC'!$B$3:$B$254,"*"&amp;$D87&amp;"*",'2026 AC'!M$3:M$254)</f>
        <v>0</v>
      </c>
      <c r="BL87" s="93">
        <f>SUMIF('2026 AC'!$B$3:$B$254,"*"&amp;$D87&amp;"*",'2026 AC'!N$3:N$254)</f>
        <v>0</v>
      </c>
      <c r="BM87" s="92">
        <f t="shared" si="95"/>
        <v>0</v>
      </c>
      <c r="BN87" s="93">
        <f t="shared" si="96"/>
        <v>0</v>
      </c>
      <c r="BO87" s="93">
        <f t="shared" si="97"/>
        <v>0</v>
      </c>
      <c r="BP87" s="93">
        <f t="shared" si="98"/>
        <v>0</v>
      </c>
      <c r="BQ87" s="93">
        <f t="shared" si="99"/>
        <v>0</v>
      </c>
      <c r="BR87" s="92">
        <f t="shared" si="100"/>
        <v>0</v>
      </c>
    </row>
    <row r="88" ht="15" customHeight="1" outlineLevel="1">
      <c r="A88" t="s">
        <v>186</v>
      </c>
      <c r="B88" t="s">
        <v>187</v>
      </c>
      <c r="C88" s="160" t="s">
        <v>188</v>
      </c>
      <c r="D88" s="35" t="s">
        <v>187</v>
      </c>
      <c r="E88" s="151">
        <f t="shared" si="49"/>
        <v>28190.810000000001</v>
      </c>
      <c r="F88" s="152">
        <f t="shared" si="50"/>
        <v>25438.849999999999</v>
      </c>
      <c r="G88" s="54">
        <f t="shared" ref="G88:G93" si="113">(E88-F88)/F88</f>
        <v>0.10817941848786415</v>
      </c>
      <c r="H88" s="153">
        <f t="shared" si="51"/>
        <v>79005.259999999995</v>
      </c>
      <c r="I88" s="153">
        <f t="shared" si="52"/>
        <v>105277.84</v>
      </c>
      <c r="J88" s="54">
        <f t="shared" ref="J88:J93" si="114">(H88-I88)/I88</f>
        <v>-0.24955470211014971</v>
      </c>
      <c r="K88" s="153">
        <f t="shared" si="53"/>
        <v>206626.83000000002</v>
      </c>
      <c r="L88" s="153">
        <f t="shared" si="54"/>
        <v>266927.17999999999</v>
      </c>
      <c r="M88" s="55">
        <f t="shared" ref="M88:M93" si="115">(K88-L88)/L88</f>
        <v>-0.22590561965252087</v>
      </c>
      <c r="O88" s="63">
        <f>SUMIF('2024 AC'!$B$3:$B$250,"*"&amp;$D88&amp;"*",'2024 AC'!C$3:C$250)</f>
        <v>29788.529999999999</v>
      </c>
      <c r="P88" s="53">
        <f>SUMIF('2024 AC'!$B$3:$B$250,"*"&amp;$D88&amp;"*",'2024 AC'!D$3:D$250)</f>
        <v>29491.43</v>
      </c>
      <c r="Q88" s="53">
        <f>SUMIF('2024 AC'!$B$3:$B$250,"*"&amp;$D88&amp;"*",'2024 AC'!E$3:E$250)</f>
        <v>55712.239999999998</v>
      </c>
      <c r="R88" s="53">
        <f>SUMIF('2024 AC'!$B$3:$B$250,"*"&amp;$D88&amp;"*",'2024 AC'!F$3:F$250)</f>
        <v>37724.129999999997</v>
      </c>
      <c r="S88" s="53">
        <f>SUMIF('2024 AC'!$B$3:$B$250,"*"&amp;$D88&amp;"*",'2024 AC'!G$3:G$250)</f>
        <v>41528.080000000002</v>
      </c>
      <c r="T88" s="53">
        <f>SUMIF('2024 AC'!$B$3:$B$250,"*"&amp;$D88&amp;"*",'2024 AC'!H$3:H$250)</f>
        <v>34919.510000000002</v>
      </c>
      <c r="U88" s="53">
        <f>SUMIF('2024 AC'!$B$3:$B$250,"*"&amp;$D88&amp;"*",'2024 AC'!I$3:I$250)</f>
        <v>34061.620000000003</v>
      </c>
      <c r="V88" s="53">
        <f>SUMIF('2024 AC'!$B$3:$B$250,"*"&amp;$D88&amp;"*",'2024 AC'!J$3:J$250)</f>
        <v>49193.620000000003</v>
      </c>
      <c r="W88" s="53">
        <f>SUMIF('2024 AC'!$B$3:$B$250,"*"&amp;$D88&amp;"*",'2024 AC'!K$3:K$250)</f>
        <v>36634.68</v>
      </c>
      <c r="X88" s="53">
        <f>SUMIF('2024 AC'!$B$3:$B$250,"*"&amp;$D88&amp;"*",'2024 AC'!L$3:L$250)</f>
        <v>36577.849999999999</v>
      </c>
      <c r="Y88" s="53">
        <f>SUMIF('2024 AC'!$B$3:$B$250,"*"&amp;$D88&amp;"*",'2024 AC'!M$3:M$250)</f>
        <v>51528.5</v>
      </c>
      <c r="Z88" s="93">
        <f>SUMIF('2024 AC'!$B$3:$B$250,"*"&amp;$D88&amp;"*",'2024 AC'!N$3:N$250)</f>
        <v>36482.510000000002</v>
      </c>
      <c r="AA88" s="92">
        <f t="shared" si="83"/>
        <v>473642.69999999995</v>
      </c>
      <c r="AB88" s="93">
        <f t="shared" si="84"/>
        <v>114992.2</v>
      </c>
      <c r="AC88" s="93">
        <f t="shared" si="85"/>
        <v>114171.72</v>
      </c>
      <c r="AD88" s="93">
        <f t="shared" si="86"/>
        <v>119889.92000000001</v>
      </c>
      <c r="AE88" s="93">
        <f t="shared" si="87"/>
        <v>124588.86000000002</v>
      </c>
      <c r="AF88" s="92">
        <f t="shared" si="88"/>
        <v>473642.69999999995</v>
      </c>
      <c r="AH88" s="63">
        <f>SUMIF('2025 AC'!$B$3:$B$250,"*"&amp;$D88&amp;"*",'2025 AC'!C$3:C$250)</f>
        <v>47566.769999999997</v>
      </c>
      <c r="AI88" s="53">
        <f>SUMIF('2025 AC'!$B$3:$B$250,"*"&amp;$D88&amp;"*",'2025 AC'!D$3:D$250)</f>
        <v>31316.32</v>
      </c>
      <c r="AJ88" s="53">
        <f>SUMIF('2025 AC'!$B$3:$B$250,"*"&amp;$D88&amp;"*",'2025 AC'!E$3:E$250)</f>
        <v>82766.25</v>
      </c>
      <c r="AK88" s="53">
        <f>SUMIF('2025 AC'!$B$3:$B$250,"*"&amp;$D88&amp;"*",'2025 AC'!F$3:F$250)</f>
        <v>31736.32</v>
      </c>
      <c r="AL88" s="53">
        <f>SUMIF('2025 AC'!$B$3:$B$250,"*"&amp;$D88&amp;"*",'2025 AC'!G$3:G$250)</f>
        <v>48102.669999999998</v>
      </c>
      <c r="AM88" s="53">
        <f>SUMIF('2025 AC'!$B$3:$B$250,"*"&amp;$D88&amp;"*",'2025 AC'!H$3:H$250)</f>
        <v>25438.849999999999</v>
      </c>
      <c r="AN88" s="53">
        <f>SUMIF('2025 AC'!$B$3:$B$250,"*"&amp;$D88&amp;"*",'2025 AC'!I$3:I$250)</f>
        <v>31307.540000000001</v>
      </c>
      <c r="AO88" s="53">
        <f>SUMIF('2025 AC'!$B$3:$B$250,"*"&amp;$D88&amp;"*",'2025 AC'!J$3:J$250)</f>
        <v>33134.879999999997</v>
      </c>
      <c r="AP88" s="53">
        <f>SUMIF('2025 AC'!$B$3:$B$250,"*"&amp;$D88&amp;"*",'2025 AC'!K$3:K$250)</f>
        <v>39689.970000000001</v>
      </c>
      <c r="AQ88" s="53">
        <f>SUMIF('2025 AC'!$B$3:$B$250,"*"&amp;$D88&amp;"*",'2025 AC'!L$3:L$250)</f>
        <v>23447.380000000001</v>
      </c>
      <c r="AR88" s="53">
        <f>SUMIF('2025 AC'!$B$3:$B$250,"*"&amp;$D88&amp;"*",'2025 AC'!M$3:M$250)</f>
        <v>41675.879999999997</v>
      </c>
      <c r="AS88" s="53">
        <f>SUMIF('2025 AC'!$B$3:$B$250,"*"&amp;$D88&amp;"*",'2025 AC'!N$3:N$250)</f>
        <v>43879.580000000002</v>
      </c>
      <c r="AT88" s="94">
        <f t="shared" si="89"/>
        <v>480062.40999999997</v>
      </c>
      <c r="AU88" s="93">
        <f t="shared" si="90"/>
        <v>161649.34</v>
      </c>
      <c r="AV88" s="93">
        <f t="shared" si="91"/>
        <v>105277.84</v>
      </c>
      <c r="AW88" s="93">
        <f t="shared" si="92"/>
        <v>104132.39</v>
      </c>
      <c r="AX88" s="93">
        <f t="shared" si="93"/>
        <v>109002.84</v>
      </c>
      <c r="AY88" s="92">
        <f t="shared" si="94"/>
        <v>480062.41000000003</v>
      </c>
      <c r="BA88" s="63">
        <f>SUMIF('2026 AC'!$B$3:$B$254,"*"&amp;$D88&amp;"*",'2026 AC'!C$3:C$254)</f>
        <v>34428.980000000003</v>
      </c>
      <c r="BB88" s="53">
        <f>SUMIF('2026 AC'!$B$3:$B$254,"*"&amp;$D88&amp;"*",'2026 AC'!D$3:D$254)</f>
        <v>43138.18</v>
      </c>
      <c r="BC88" s="53">
        <f>SUMIF('2026 AC'!$B$3:$B$254,"*"&amp;$D88&amp;"*",'2026 AC'!E$3:E$254)</f>
        <v>50054.410000000003</v>
      </c>
      <c r="BD88" s="53">
        <f>SUMIF('2026 AC'!$B$3:$B$254,"*"&amp;$D88&amp;"*",'2026 AC'!F$3:F$254)</f>
        <v>30865.200000000001</v>
      </c>
      <c r="BE88" s="53">
        <f>SUMIF('2026 AC'!$B$3:$B$254,"*"&amp;$D88&amp;"*",'2026 AC'!G$3:G$254)</f>
        <v>19949.25</v>
      </c>
      <c r="BF88" s="53">
        <f>SUMIF('2026 AC'!$B$3:$B$254,"*"&amp;$D88&amp;"*",'2026 AC'!H$3:H$254)</f>
        <v>28190.810000000001</v>
      </c>
      <c r="BG88" s="53">
        <f>SUMIF('2026 AC'!$B$3:$B$254,"*"&amp;$D88&amp;"*",'2026 AC'!I$3:I$254)</f>
        <v>0</v>
      </c>
      <c r="BH88" s="53">
        <f>SUMIF('2026 AC'!$B$3:$B$254,"*"&amp;$D88&amp;"*",'2026 AC'!J$3:J$254)</f>
        <v>0</v>
      </c>
      <c r="BI88" s="53">
        <f>SUMIF('2026 AC'!$B$3:$B$254,"*"&amp;$D88&amp;"*",'2026 AC'!K$3:K$254)</f>
        <v>0</v>
      </c>
      <c r="BJ88" s="53">
        <f>SUMIF('2026 AC'!$B$3:$B$254,"*"&amp;$D88&amp;"*",'2026 AC'!L$3:L$254)</f>
        <v>0</v>
      </c>
      <c r="BK88" s="53">
        <f>SUMIF('2026 AC'!$B$3:$B$254,"*"&amp;$D88&amp;"*",'2026 AC'!M$3:M$254)</f>
        <v>0</v>
      </c>
      <c r="BL88" s="93">
        <f>SUMIF('2026 AC'!$B$3:$B$254,"*"&amp;$D88&amp;"*",'2026 AC'!N$3:N$254)</f>
        <v>0</v>
      </c>
      <c r="BM88" s="92">
        <f t="shared" si="95"/>
        <v>206626.83000000002</v>
      </c>
      <c r="BN88" s="93">
        <f t="shared" si="96"/>
        <v>127621.57000000001</v>
      </c>
      <c r="BO88" s="93">
        <f t="shared" si="97"/>
        <v>79005.259999999995</v>
      </c>
      <c r="BP88" s="93">
        <f t="shared" si="98"/>
        <v>0</v>
      </c>
      <c r="BQ88" s="93">
        <f t="shared" si="99"/>
        <v>0</v>
      </c>
      <c r="BR88" s="92">
        <f t="shared" si="100"/>
        <v>206626.83000000002</v>
      </c>
    </row>
    <row r="89" ht="15" customHeight="1" outlineLevel="1">
      <c r="A89" t="s">
        <v>189</v>
      </c>
      <c r="B89" t="s">
        <v>190</v>
      </c>
      <c r="C89" s="52" t="s">
        <v>191</v>
      </c>
      <c r="D89" s="35" t="s">
        <v>190</v>
      </c>
      <c r="E89" s="151">
        <f t="shared" si="49"/>
        <v>0</v>
      </c>
      <c r="F89" s="152">
        <f t="shared" si="50"/>
        <v>0</v>
      </c>
      <c r="G89" s="154">
        <f t="shared" ref="G89:G95" si="116">IFERROR((E89-F89)/F89,0)</f>
        <v>0</v>
      </c>
      <c r="H89" s="153">
        <f t="shared" si="51"/>
        <v>0</v>
      </c>
      <c r="I89" s="153">
        <f t="shared" si="52"/>
        <v>0</v>
      </c>
      <c r="J89" s="154">
        <f t="shared" si="111"/>
        <v>0</v>
      </c>
      <c r="K89" s="153">
        <f t="shared" si="53"/>
        <v>0</v>
      </c>
      <c r="L89" s="153">
        <f t="shared" si="54"/>
        <v>0</v>
      </c>
      <c r="M89" s="155">
        <f t="shared" si="112"/>
        <v>0</v>
      </c>
      <c r="O89" s="63">
        <f>SUMIF('2024 AC'!$B$3:$B$250,"*"&amp;$D89&amp;"*",'2024 AC'!C$3:C$250)</f>
        <v>10073.780000000001</v>
      </c>
      <c r="P89" s="53">
        <f>SUMIF('2024 AC'!$B$3:$B$250,"*"&amp;$D89&amp;"*",'2024 AC'!D$3:D$250)</f>
        <v>15159.85</v>
      </c>
      <c r="Q89" s="53">
        <f>SUMIF('2024 AC'!$B$3:$B$250,"*"&amp;$D89&amp;"*",'2024 AC'!E$3:E$250)</f>
        <v>21490.759999999998</v>
      </c>
      <c r="R89" s="53">
        <f>SUMIF('2024 AC'!$B$3:$B$250,"*"&amp;$D89&amp;"*",'2024 AC'!F$3:F$250)</f>
        <v>12407.459999999999</v>
      </c>
      <c r="S89" s="53">
        <f>SUMIF('2024 AC'!$B$3:$B$250,"*"&amp;$D89&amp;"*",'2024 AC'!G$3:G$250)</f>
        <v>10317.15</v>
      </c>
      <c r="T89" s="53">
        <f>SUMIF('2024 AC'!$B$3:$B$250,"*"&amp;$D89&amp;"*",'2024 AC'!H$3:H$250)</f>
        <v>0</v>
      </c>
      <c r="U89" s="53">
        <f>SUMIF('2024 AC'!$B$3:$B$250,"*"&amp;$D89&amp;"*",'2024 AC'!I$3:I$250)</f>
        <v>0</v>
      </c>
      <c r="V89" s="53">
        <f>SUMIF('2024 AC'!$B$3:$B$250,"*"&amp;$D89&amp;"*",'2024 AC'!J$3:J$250)</f>
        <v>0</v>
      </c>
      <c r="W89" s="53">
        <f>SUMIF('2024 AC'!$B$3:$B$250,"*"&amp;$D89&amp;"*",'2024 AC'!K$3:K$250)</f>
        <v>0</v>
      </c>
      <c r="X89" s="53">
        <f>SUMIF('2024 AC'!$B$3:$B$250,"*"&amp;$D89&amp;"*",'2024 AC'!L$3:L$250)</f>
        <v>0</v>
      </c>
      <c r="Y89" s="53">
        <f>SUMIF('2024 AC'!$B$3:$B$250,"*"&amp;$D89&amp;"*",'2024 AC'!M$3:M$250)</f>
        <v>0</v>
      </c>
      <c r="Z89" s="93">
        <f>SUMIF('2024 AC'!$B$3:$B$250,"*"&amp;$D89&amp;"*",'2024 AC'!N$3:N$250)</f>
        <v>0</v>
      </c>
      <c r="AA89" s="92">
        <f t="shared" si="83"/>
        <v>69449</v>
      </c>
      <c r="AB89" s="93">
        <f t="shared" si="84"/>
        <v>46724.389999999999</v>
      </c>
      <c r="AC89" s="93">
        <f t="shared" si="85"/>
        <v>22724.610000000001</v>
      </c>
      <c r="AD89" s="93">
        <f t="shared" si="86"/>
        <v>0</v>
      </c>
      <c r="AE89" s="93">
        <f t="shared" si="87"/>
        <v>0</v>
      </c>
      <c r="AF89" s="92">
        <f t="shared" si="88"/>
        <v>69449</v>
      </c>
      <c r="AH89" s="63">
        <f>SUMIF('2025 AC'!$B$3:$B$250,"*"&amp;$D89&amp;"*",'2025 AC'!C$3:C$250)</f>
        <v>0</v>
      </c>
      <c r="AI89" s="53">
        <f>SUMIF('2025 AC'!$B$3:$B$250,"*"&amp;$D89&amp;"*",'2025 AC'!D$3:D$250)</f>
        <v>0</v>
      </c>
      <c r="AJ89" s="53">
        <f>SUMIF('2025 AC'!$B$3:$B$250,"*"&amp;$D89&amp;"*",'2025 AC'!E$3:E$250)</f>
        <v>0</v>
      </c>
      <c r="AK89" s="53">
        <f>SUMIF('2025 AC'!$B$3:$B$250,"*"&amp;$D89&amp;"*",'2025 AC'!F$3:F$250)</f>
        <v>0</v>
      </c>
      <c r="AL89" s="53">
        <f>SUMIF('2025 AC'!$B$3:$B$250,"*"&amp;$D89&amp;"*",'2025 AC'!G$3:G$250)</f>
        <v>0</v>
      </c>
      <c r="AM89" s="53">
        <f>SUMIF('2025 AC'!$B$3:$B$250,"*"&amp;$D89&amp;"*",'2025 AC'!H$3:H$250)</f>
        <v>0</v>
      </c>
      <c r="AN89" s="53">
        <f>SUMIF('2025 AC'!$B$3:$B$250,"*"&amp;$D89&amp;"*",'2025 AC'!I$3:I$250)</f>
        <v>0</v>
      </c>
      <c r="AO89" s="53">
        <f>SUMIF('2025 AC'!$B$3:$B$250,"*"&amp;$D89&amp;"*",'2025 AC'!J$3:J$250)</f>
        <v>0</v>
      </c>
      <c r="AP89" s="53">
        <f>SUMIF('2025 AC'!$B$3:$B$250,"*"&amp;$D89&amp;"*",'2025 AC'!K$3:K$250)</f>
        <v>0</v>
      </c>
      <c r="AQ89" s="53">
        <f>SUMIF('2025 AC'!$B$3:$B$250,"*"&amp;$D89&amp;"*",'2025 AC'!L$3:L$250)</f>
        <v>0</v>
      </c>
      <c r="AR89" s="53">
        <f>SUMIF('2025 AC'!$B$3:$B$250,"*"&amp;$D89&amp;"*",'2025 AC'!M$3:M$250)</f>
        <v>0</v>
      </c>
      <c r="AS89" s="53">
        <f>SUMIF('2025 AC'!$B$3:$B$250,"*"&amp;$D89&amp;"*",'2025 AC'!N$3:N$250)</f>
        <v>0</v>
      </c>
      <c r="AT89" s="94">
        <f t="shared" si="89"/>
        <v>0</v>
      </c>
      <c r="AU89" s="93">
        <f t="shared" si="90"/>
        <v>0</v>
      </c>
      <c r="AV89" s="93">
        <f t="shared" si="91"/>
        <v>0</v>
      </c>
      <c r="AW89" s="93">
        <f t="shared" si="92"/>
        <v>0</v>
      </c>
      <c r="AX89" s="93">
        <f t="shared" si="93"/>
        <v>0</v>
      </c>
      <c r="AY89" s="92">
        <f t="shared" si="94"/>
        <v>0</v>
      </c>
      <c r="BA89" s="63">
        <f>SUMIF('2026 AC'!$B$3:$B$254,"*"&amp;$D89&amp;"*",'2026 AC'!C$3:C$254)</f>
        <v>0</v>
      </c>
      <c r="BB89" s="53">
        <f>SUMIF('2026 AC'!$B$3:$B$254,"*"&amp;$D89&amp;"*",'2026 AC'!D$3:D$254)</f>
        <v>0</v>
      </c>
      <c r="BC89" s="53">
        <f>SUMIF('2026 AC'!$B$3:$B$254,"*"&amp;$D89&amp;"*",'2026 AC'!E$3:E$254)</f>
        <v>0</v>
      </c>
      <c r="BD89" s="53">
        <f>SUMIF('2026 AC'!$B$3:$B$254,"*"&amp;$D89&amp;"*",'2026 AC'!F$3:F$254)</f>
        <v>0</v>
      </c>
      <c r="BE89" s="53">
        <f>SUMIF('2026 AC'!$B$3:$B$254,"*"&amp;$D89&amp;"*",'2026 AC'!G$3:G$254)</f>
        <v>0</v>
      </c>
      <c r="BF89" s="53">
        <f>SUMIF('2026 AC'!$B$3:$B$254,"*"&amp;$D89&amp;"*",'2026 AC'!H$3:H$254)</f>
        <v>0</v>
      </c>
      <c r="BG89" s="53">
        <f>SUMIF('2026 AC'!$B$3:$B$254,"*"&amp;$D89&amp;"*",'2026 AC'!I$3:I$254)</f>
        <v>0</v>
      </c>
      <c r="BH89" s="53">
        <f>SUMIF('2026 AC'!$B$3:$B$254,"*"&amp;$D89&amp;"*",'2026 AC'!J$3:J$254)</f>
        <v>0</v>
      </c>
      <c r="BI89" s="53">
        <f>SUMIF('2026 AC'!$B$3:$B$254,"*"&amp;$D89&amp;"*",'2026 AC'!K$3:K$254)</f>
        <v>0</v>
      </c>
      <c r="BJ89" s="53">
        <f>SUMIF('2026 AC'!$B$3:$B$254,"*"&amp;$D89&amp;"*",'2026 AC'!L$3:L$254)</f>
        <v>0</v>
      </c>
      <c r="BK89" s="53">
        <f>SUMIF('2026 AC'!$B$3:$B$254,"*"&amp;$D89&amp;"*",'2026 AC'!M$3:M$254)</f>
        <v>0</v>
      </c>
      <c r="BL89" s="93">
        <f>SUMIF('2026 AC'!$B$3:$B$254,"*"&amp;$D89&amp;"*",'2026 AC'!N$3:N$254)</f>
        <v>0</v>
      </c>
      <c r="BM89" s="92">
        <f t="shared" si="95"/>
        <v>0</v>
      </c>
      <c r="BN89" s="93">
        <f t="shared" si="96"/>
        <v>0</v>
      </c>
      <c r="BO89" s="93">
        <f t="shared" si="97"/>
        <v>0</v>
      </c>
      <c r="BP89" s="93">
        <f t="shared" si="98"/>
        <v>0</v>
      </c>
      <c r="BQ89" s="93">
        <f t="shared" si="99"/>
        <v>0</v>
      </c>
      <c r="BR89" s="92">
        <f t="shared" si="100"/>
        <v>0</v>
      </c>
    </row>
    <row r="90" ht="15" customHeight="1" outlineLevel="1">
      <c r="A90" t="s">
        <v>192</v>
      </c>
      <c r="B90" t="s">
        <v>193</v>
      </c>
      <c r="C90" s="52" t="s">
        <v>194</v>
      </c>
      <c r="D90" s="35" t="s">
        <v>193</v>
      </c>
      <c r="E90" s="151">
        <f t="shared" si="49"/>
        <v>63.399999999999999</v>
      </c>
      <c r="F90" s="152">
        <f t="shared" si="50"/>
        <v>89.590000000000003</v>
      </c>
      <c r="G90" s="54">
        <f t="shared" si="113"/>
        <v>-0.29233173345239427</v>
      </c>
      <c r="H90" s="153">
        <f t="shared" si="51"/>
        <v>5024.6399999999994</v>
      </c>
      <c r="I90" s="153">
        <f t="shared" si="52"/>
        <v>1458.6399999999999</v>
      </c>
      <c r="J90" s="54">
        <f t="shared" si="114"/>
        <v>2.444743048318982</v>
      </c>
      <c r="K90" s="153">
        <f t="shared" si="53"/>
        <v>15144.230000000001</v>
      </c>
      <c r="L90" s="153">
        <f t="shared" si="54"/>
        <v>5141.1400000000003</v>
      </c>
      <c r="M90" s="55">
        <f t="shared" si="115"/>
        <v>1.9456949236939667</v>
      </c>
      <c r="O90" s="63">
        <f>SUMIF('2024 AC'!$B$3:$B$250,"*"&amp;$D90&amp;"*",'2024 AC'!C$3:C$250)</f>
        <v>393.94999999999999</v>
      </c>
      <c r="P90" s="53">
        <f>SUMIF('2024 AC'!$B$3:$B$250,"*"&amp;$D90&amp;"*",'2024 AC'!D$3:D$250)</f>
        <v>175.69999999999999</v>
      </c>
      <c r="Q90" s="53">
        <f>SUMIF('2024 AC'!$B$3:$B$250,"*"&amp;$D90&amp;"*",'2024 AC'!E$3:E$250)</f>
        <v>877.63999999999999</v>
      </c>
      <c r="R90" s="53">
        <f>SUMIF('2024 AC'!$B$3:$B$250,"*"&amp;$D90&amp;"*",'2024 AC'!F$3:F$250)</f>
        <v>1297.3699999999999</v>
      </c>
      <c r="S90" s="53">
        <f>SUMIF('2024 AC'!$B$3:$B$250,"*"&amp;$D90&amp;"*",'2024 AC'!G$3:G$250)</f>
        <v>1411.6500000000001</v>
      </c>
      <c r="T90" s="53">
        <f>SUMIF('2024 AC'!$B$3:$B$250,"*"&amp;$D90&amp;"*",'2024 AC'!H$3:H$250)</f>
        <v>1082.78</v>
      </c>
      <c r="U90" s="53">
        <f>SUMIF('2024 AC'!$B$3:$B$250,"*"&amp;$D90&amp;"*",'2024 AC'!I$3:I$250)</f>
        <v>143.38</v>
      </c>
      <c r="V90" s="53">
        <f>SUMIF('2024 AC'!$B$3:$B$250,"*"&amp;$D90&amp;"*",'2024 AC'!J$3:J$250)</f>
        <v>481.13999999999999</v>
      </c>
      <c r="W90" s="53">
        <f>SUMIF('2024 AC'!$B$3:$B$250,"*"&amp;$D90&amp;"*",'2024 AC'!K$3:K$250)</f>
        <v>166.80000000000001</v>
      </c>
      <c r="X90" s="53">
        <f>SUMIF('2024 AC'!$B$3:$B$250,"*"&amp;$D90&amp;"*",'2024 AC'!L$3:L$250)</f>
        <v>172.37</v>
      </c>
      <c r="Y90" s="53">
        <f>SUMIF('2024 AC'!$B$3:$B$250,"*"&amp;$D90&amp;"*",'2024 AC'!M$3:M$250)</f>
        <v>360.33999999999997</v>
      </c>
      <c r="Z90" s="93">
        <f>SUMIF('2024 AC'!$B$3:$B$250,"*"&amp;$D90&amp;"*",'2024 AC'!N$3:N$250)</f>
        <v>1183.3099999999999</v>
      </c>
      <c r="AA90" s="92">
        <f t="shared" si="83"/>
        <v>7746.4300000000003</v>
      </c>
      <c r="AB90" s="93">
        <f t="shared" si="84"/>
        <v>1447.29</v>
      </c>
      <c r="AC90" s="93">
        <f t="shared" si="85"/>
        <v>3791.8000000000002</v>
      </c>
      <c r="AD90" s="93">
        <f t="shared" si="86"/>
        <v>791.31999999999994</v>
      </c>
      <c r="AE90" s="93">
        <f t="shared" si="87"/>
        <v>1716.02</v>
      </c>
      <c r="AF90" s="92">
        <f t="shared" si="88"/>
        <v>7746.4300000000003</v>
      </c>
      <c r="AH90" s="63">
        <f>SUMIF('2025 AC'!$B$3:$B$250,"*"&amp;$D90&amp;"*",'2025 AC'!C$3:C$250)</f>
        <v>1106.0699999999999</v>
      </c>
      <c r="AI90" s="53">
        <f>SUMIF('2025 AC'!$B$3:$B$250,"*"&amp;$D90&amp;"*",'2025 AC'!D$3:D$250)</f>
        <v>929.55999999999995</v>
      </c>
      <c r="AJ90" s="53">
        <f>SUMIF('2025 AC'!$B$3:$B$250,"*"&amp;$D90&amp;"*",'2025 AC'!E$3:E$250)</f>
        <v>1646.8699999999999</v>
      </c>
      <c r="AK90" s="53">
        <f>SUMIF('2025 AC'!$B$3:$B$250,"*"&amp;$D90&amp;"*",'2025 AC'!F$3:F$250)</f>
        <v>261.50999999999999</v>
      </c>
      <c r="AL90" s="53">
        <f>SUMIF('2025 AC'!$B$3:$B$250,"*"&amp;$D90&amp;"*",'2025 AC'!G$3:G$250)</f>
        <v>1107.54</v>
      </c>
      <c r="AM90" s="53">
        <f>SUMIF('2025 AC'!$B$3:$B$250,"*"&amp;$D90&amp;"*",'2025 AC'!H$3:H$250)</f>
        <v>89.590000000000003</v>
      </c>
      <c r="AN90" s="53">
        <f>SUMIF('2025 AC'!$B$3:$B$250,"*"&amp;$D90&amp;"*",'2025 AC'!I$3:I$250)</f>
        <v>765</v>
      </c>
      <c r="AO90" s="53">
        <f>SUMIF('2025 AC'!$B$3:$B$250,"*"&amp;$D90&amp;"*",'2025 AC'!J$3:J$250)</f>
        <v>112.37</v>
      </c>
      <c r="AP90" s="53">
        <f>SUMIF('2025 AC'!$B$3:$B$250,"*"&amp;$D90&amp;"*",'2025 AC'!K$3:K$250)</f>
        <v>649.20000000000005</v>
      </c>
      <c r="AQ90" s="53">
        <f>SUMIF('2025 AC'!$B$3:$B$250,"*"&amp;$D90&amp;"*",'2025 AC'!L$3:L$250)</f>
        <v>37.259999999999998</v>
      </c>
      <c r="AR90" s="53">
        <f>SUMIF('2025 AC'!$B$3:$B$250,"*"&amp;$D90&amp;"*",'2025 AC'!M$3:M$250)</f>
        <v>808.15999999999997</v>
      </c>
      <c r="AS90" s="53">
        <f>SUMIF('2025 AC'!$B$3:$B$250,"*"&amp;$D90&amp;"*",'2025 AC'!N$3:N$250)</f>
        <v>957.47000000000003</v>
      </c>
      <c r="AT90" s="94">
        <f t="shared" si="89"/>
        <v>8470.6000000000004</v>
      </c>
      <c r="AU90" s="93">
        <f t="shared" si="90"/>
        <v>3682.5</v>
      </c>
      <c r="AV90" s="93">
        <f t="shared" si="91"/>
        <v>1458.6399999999999</v>
      </c>
      <c r="AW90" s="93">
        <f t="shared" si="92"/>
        <v>1526.5700000000002</v>
      </c>
      <c r="AX90" s="93">
        <f t="shared" si="93"/>
        <v>1802.8899999999999</v>
      </c>
      <c r="AY90" s="92">
        <f t="shared" si="94"/>
        <v>8470.5999999999985</v>
      </c>
      <c r="BA90" s="63">
        <f>SUMIF('2026 AC'!$B$3:$B$254,"*"&amp;$D90&amp;"*",'2026 AC'!C$3:C$254)</f>
        <v>1585.3199999999999</v>
      </c>
      <c r="BB90" s="53">
        <f>SUMIF('2026 AC'!$B$3:$B$254,"*"&amp;$D90&amp;"*",'2026 AC'!D$3:D$254)</f>
        <v>7003.9700000000003</v>
      </c>
      <c r="BC90" s="53">
        <f>SUMIF('2026 AC'!$B$3:$B$254,"*"&amp;$D90&amp;"*",'2026 AC'!E$3:E$254)</f>
        <v>1530.3</v>
      </c>
      <c r="BD90" s="53">
        <f>SUMIF('2026 AC'!$B$3:$B$254,"*"&amp;$D90&amp;"*",'2026 AC'!F$3:F$254)</f>
        <v>2071.3800000000001</v>
      </c>
      <c r="BE90" s="53">
        <f>SUMIF('2026 AC'!$B$3:$B$254,"*"&amp;$D90&amp;"*",'2026 AC'!G$3:G$254)</f>
        <v>2889.8600000000001</v>
      </c>
      <c r="BF90" s="53">
        <f>SUMIF('2026 AC'!$B$3:$B$254,"*"&amp;$D90&amp;"*",'2026 AC'!H$3:H$254)</f>
        <v>63.399999999999999</v>
      </c>
      <c r="BG90" s="53">
        <f>SUMIF('2026 AC'!$B$3:$B$254,"*"&amp;$D90&amp;"*",'2026 AC'!I$3:I$254)</f>
        <v>0</v>
      </c>
      <c r="BH90" s="53">
        <f>SUMIF('2026 AC'!$B$3:$B$254,"*"&amp;$D90&amp;"*",'2026 AC'!J$3:J$254)</f>
        <v>0</v>
      </c>
      <c r="BI90" s="53">
        <f>SUMIF('2026 AC'!$B$3:$B$254,"*"&amp;$D90&amp;"*",'2026 AC'!K$3:K$254)</f>
        <v>0</v>
      </c>
      <c r="BJ90" s="53">
        <f>SUMIF('2026 AC'!$B$3:$B$254,"*"&amp;$D90&amp;"*",'2026 AC'!L$3:L$254)</f>
        <v>0</v>
      </c>
      <c r="BK90" s="53">
        <f>SUMIF('2026 AC'!$B$3:$B$254,"*"&amp;$D90&amp;"*",'2026 AC'!M$3:M$254)</f>
        <v>0</v>
      </c>
      <c r="BL90" s="93">
        <f>SUMIF('2026 AC'!$B$3:$B$254,"*"&amp;$D90&amp;"*",'2026 AC'!N$3:N$254)</f>
        <v>0</v>
      </c>
      <c r="BM90" s="92">
        <f t="shared" si="95"/>
        <v>15144.230000000001</v>
      </c>
      <c r="BN90" s="93">
        <f t="shared" si="96"/>
        <v>10119.59</v>
      </c>
      <c r="BO90" s="93">
        <f t="shared" si="97"/>
        <v>5024.6399999999994</v>
      </c>
      <c r="BP90" s="93">
        <f t="shared" si="98"/>
        <v>0</v>
      </c>
      <c r="BQ90" s="93">
        <f t="shared" si="99"/>
        <v>0</v>
      </c>
      <c r="BR90" s="92">
        <f t="shared" si="100"/>
        <v>15144.23</v>
      </c>
    </row>
    <row r="91" ht="15" customHeight="1" outlineLevel="1">
      <c r="A91" t="s">
        <v>195</v>
      </c>
      <c r="B91" t="s">
        <v>196</v>
      </c>
      <c r="C91" s="34" t="s">
        <v>197</v>
      </c>
      <c r="D91" s="35" t="s">
        <v>196</v>
      </c>
      <c r="E91" s="151">
        <f t="shared" ref="E91:E154" si="117">SUMIF($BA$6:$BL$6,$E$6,$BA91:$BL91)</f>
        <v>0</v>
      </c>
      <c r="F91" s="152">
        <f t="shared" ref="F91:F154" si="118">SUMIF($AH$6:$AS$6,$F$6,$AH91:$AS91)</f>
        <v>0</v>
      </c>
      <c r="G91" s="154">
        <f t="shared" si="116"/>
        <v>0</v>
      </c>
      <c r="H91" s="153">
        <f t="shared" ref="H91:H154" si="119">SUMIF($BN$6:$BR$6,$H$6,$BN91:$BR91)</f>
        <v>0</v>
      </c>
      <c r="I91" s="153">
        <f t="shared" ref="I91:I154" si="120">SUMIF($AU$6:$AY$6,$I$6,$AU91:$AY91)</f>
        <v>0</v>
      </c>
      <c r="J91" s="154">
        <f t="shared" ref="J91:J95" si="121">IFERROR((H91-I91)/I91,0)</f>
        <v>0</v>
      </c>
      <c r="K91" s="153">
        <f t="shared" ref="K91:K154" si="122">BM91</f>
        <v>0</v>
      </c>
      <c r="L91" s="153">
        <f t="shared" ref="L91:L154" si="123">SUM(AH91:AM91)</f>
        <v>0</v>
      </c>
      <c r="M91" s="155">
        <f t="shared" ref="M91:M95" si="124">IFERROR((K91-L91)/L91,0)</f>
        <v>0</v>
      </c>
      <c r="O91" s="63">
        <f>SUMIF('2024 AC'!$B$3:$B$250,"*"&amp;$D91&amp;"*",'2024 AC'!C$3:C$250)</f>
        <v>0</v>
      </c>
      <c r="P91" s="53">
        <f>SUMIF('2024 AC'!$B$3:$B$250,"*"&amp;$D91&amp;"*",'2024 AC'!D$3:D$250)</f>
        <v>0</v>
      </c>
      <c r="Q91" s="53">
        <f>SUMIF('2024 AC'!$B$3:$B$250,"*"&amp;$D91&amp;"*",'2024 AC'!E$3:E$250)</f>
        <v>0</v>
      </c>
      <c r="R91" s="53">
        <f>SUMIF('2024 AC'!$B$3:$B$250,"*"&amp;$D91&amp;"*",'2024 AC'!F$3:F$250)</f>
        <v>0</v>
      </c>
      <c r="S91" s="53">
        <f>SUMIF('2024 AC'!$B$3:$B$250,"*"&amp;$D91&amp;"*",'2024 AC'!G$3:G$250)</f>
        <v>0</v>
      </c>
      <c r="T91" s="53">
        <f>SUMIF('2024 AC'!$B$3:$B$250,"*"&amp;$D91&amp;"*",'2024 AC'!H$3:H$250)</f>
        <v>0</v>
      </c>
      <c r="U91" s="53">
        <f>SUMIF('2024 AC'!$B$3:$B$250,"*"&amp;$D91&amp;"*",'2024 AC'!I$3:I$250)</f>
        <v>1750</v>
      </c>
      <c r="V91" s="53">
        <f>SUMIF('2024 AC'!$B$3:$B$250,"*"&amp;$D91&amp;"*",'2024 AC'!J$3:J$250)</f>
        <v>0</v>
      </c>
      <c r="W91" s="53">
        <f>SUMIF('2024 AC'!$B$3:$B$250,"*"&amp;$D91&amp;"*",'2024 AC'!K$3:K$250)</f>
        <v>363.14999999999998</v>
      </c>
      <c r="X91" s="53">
        <f>SUMIF('2024 AC'!$B$3:$B$250,"*"&amp;$D91&amp;"*",'2024 AC'!L$3:L$250)</f>
        <v>0</v>
      </c>
      <c r="Y91" s="53">
        <f>SUMIF('2024 AC'!$B$3:$B$250,"*"&amp;$D91&amp;"*",'2024 AC'!M$3:M$250)</f>
        <v>0</v>
      </c>
      <c r="Z91" s="93">
        <f>SUMIF('2024 AC'!$B$3:$B$250,"*"&amp;$D91&amp;"*",'2024 AC'!N$3:N$250)</f>
        <v>0</v>
      </c>
      <c r="AA91" s="92">
        <f t="shared" si="83"/>
        <v>2113.1500000000001</v>
      </c>
      <c r="AB91" s="93">
        <f t="shared" si="84"/>
        <v>0</v>
      </c>
      <c r="AC91" s="93">
        <f t="shared" si="85"/>
        <v>0</v>
      </c>
      <c r="AD91" s="93">
        <f t="shared" si="86"/>
        <v>2113.1500000000001</v>
      </c>
      <c r="AE91" s="93">
        <f t="shared" si="87"/>
        <v>0</v>
      </c>
      <c r="AF91" s="92">
        <f t="shared" si="88"/>
        <v>2113.1500000000001</v>
      </c>
      <c r="AH91" s="63">
        <f>SUMIF('2025 AC'!$B$3:$B$250,"*"&amp;$D91&amp;"*",'2025 AC'!C$3:C$250)</f>
        <v>0</v>
      </c>
      <c r="AI91" s="53">
        <f>SUMIF('2025 AC'!$B$3:$B$250,"*"&amp;$D91&amp;"*",'2025 AC'!D$3:D$250)</f>
        <v>0</v>
      </c>
      <c r="AJ91" s="53">
        <f>SUMIF('2025 AC'!$B$3:$B$250,"*"&amp;$D91&amp;"*",'2025 AC'!E$3:E$250)</f>
        <v>0</v>
      </c>
      <c r="AK91" s="53">
        <f>SUMIF('2025 AC'!$B$3:$B$250,"*"&amp;$D91&amp;"*",'2025 AC'!F$3:F$250)</f>
        <v>0</v>
      </c>
      <c r="AL91" s="53">
        <f>SUMIF('2025 AC'!$B$3:$B$250,"*"&amp;$D91&amp;"*",'2025 AC'!G$3:G$250)</f>
        <v>0</v>
      </c>
      <c r="AM91" s="53">
        <f>SUMIF('2025 AC'!$B$3:$B$250,"*"&amp;$D91&amp;"*",'2025 AC'!H$3:H$250)</f>
        <v>0</v>
      </c>
      <c r="AN91" s="53">
        <f>SUMIF('2025 AC'!$B$3:$B$250,"*"&amp;$D91&amp;"*",'2025 AC'!I$3:I$250)</f>
        <v>0</v>
      </c>
      <c r="AO91" s="53">
        <f>SUMIF('2025 AC'!$B$3:$B$250,"*"&amp;$D91&amp;"*",'2025 AC'!J$3:J$250)</f>
        <v>0</v>
      </c>
      <c r="AP91" s="53">
        <f>SUMIF('2025 AC'!$B$3:$B$250,"*"&amp;$D91&amp;"*",'2025 AC'!K$3:K$250)</f>
        <v>0</v>
      </c>
      <c r="AQ91" s="53">
        <f>SUMIF('2025 AC'!$B$3:$B$250,"*"&amp;$D91&amp;"*",'2025 AC'!L$3:L$250)</f>
        <v>0</v>
      </c>
      <c r="AR91" s="53">
        <f>SUMIF('2025 AC'!$B$3:$B$250,"*"&amp;$D91&amp;"*",'2025 AC'!M$3:M$250)</f>
        <v>0</v>
      </c>
      <c r="AS91" s="53">
        <f>SUMIF('2025 AC'!$B$3:$B$250,"*"&amp;$D91&amp;"*",'2025 AC'!N$3:N$250)</f>
        <v>0</v>
      </c>
      <c r="AT91" s="94">
        <f t="shared" si="89"/>
        <v>0</v>
      </c>
      <c r="AU91" s="93">
        <f t="shared" si="90"/>
        <v>0</v>
      </c>
      <c r="AV91" s="93">
        <f t="shared" si="91"/>
        <v>0</v>
      </c>
      <c r="AW91" s="93">
        <f t="shared" si="92"/>
        <v>0</v>
      </c>
      <c r="AX91" s="93">
        <f t="shared" si="93"/>
        <v>0</v>
      </c>
      <c r="AY91" s="92">
        <f t="shared" si="94"/>
        <v>0</v>
      </c>
      <c r="BA91" s="63">
        <f>SUMIF('2026 AC'!$B$3:$B$254,"*"&amp;$D91&amp;"*",'2026 AC'!C$3:C$254)</f>
        <v>0</v>
      </c>
      <c r="BB91" s="53">
        <f>SUMIF('2026 AC'!$B$3:$B$254,"*"&amp;$D91&amp;"*",'2026 AC'!D$3:D$254)</f>
        <v>0</v>
      </c>
      <c r="BC91" s="53">
        <f>SUMIF('2026 AC'!$B$3:$B$254,"*"&amp;$D91&amp;"*",'2026 AC'!E$3:E$254)</f>
        <v>0</v>
      </c>
      <c r="BD91" s="53">
        <f>SUMIF('2026 AC'!$B$3:$B$254,"*"&amp;$D91&amp;"*",'2026 AC'!F$3:F$254)</f>
        <v>0</v>
      </c>
      <c r="BE91" s="53">
        <f>SUMIF('2026 AC'!$B$3:$B$254,"*"&amp;$D91&amp;"*",'2026 AC'!G$3:G$254)</f>
        <v>0</v>
      </c>
      <c r="BF91" s="53">
        <f>SUMIF('2026 AC'!$B$3:$B$254,"*"&amp;$D91&amp;"*",'2026 AC'!H$3:H$254)</f>
        <v>0</v>
      </c>
      <c r="BG91" s="53">
        <f>SUMIF('2026 AC'!$B$3:$B$254,"*"&amp;$D91&amp;"*",'2026 AC'!I$3:I$254)</f>
        <v>0</v>
      </c>
      <c r="BH91" s="53">
        <f>SUMIF('2026 AC'!$B$3:$B$254,"*"&amp;$D91&amp;"*",'2026 AC'!J$3:J$254)</f>
        <v>0</v>
      </c>
      <c r="BI91" s="53">
        <f>SUMIF('2026 AC'!$B$3:$B$254,"*"&amp;$D91&amp;"*",'2026 AC'!K$3:K$254)</f>
        <v>0</v>
      </c>
      <c r="BJ91" s="53">
        <f>SUMIF('2026 AC'!$B$3:$B$254,"*"&amp;$D91&amp;"*",'2026 AC'!L$3:L$254)</f>
        <v>0</v>
      </c>
      <c r="BK91" s="53">
        <f>SUMIF('2026 AC'!$B$3:$B$254,"*"&amp;$D91&amp;"*",'2026 AC'!M$3:M$254)</f>
        <v>0</v>
      </c>
      <c r="BL91" s="93">
        <f>SUMIF('2026 AC'!$B$3:$B$254,"*"&amp;$D91&amp;"*",'2026 AC'!N$3:N$254)</f>
        <v>0</v>
      </c>
      <c r="BM91" s="92">
        <f t="shared" si="95"/>
        <v>0</v>
      </c>
      <c r="BN91" s="93">
        <f t="shared" si="96"/>
        <v>0</v>
      </c>
      <c r="BO91" s="93">
        <f t="shared" si="97"/>
        <v>0</v>
      </c>
      <c r="BP91" s="93">
        <f t="shared" si="98"/>
        <v>0</v>
      </c>
      <c r="BQ91" s="93">
        <f t="shared" si="99"/>
        <v>0</v>
      </c>
      <c r="BR91" s="92">
        <f t="shared" si="100"/>
        <v>0</v>
      </c>
    </row>
    <row r="92" s="137" customFormat="1" ht="15" customHeight="1">
      <c r="A92" s="137" t="s">
        <v>198</v>
      </c>
      <c r="B92" s="137" t="s">
        <v>199</v>
      </c>
      <c r="C92" s="173" t="s">
        <v>200</v>
      </c>
      <c r="D92" s="139" t="s">
        <v>199</v>
      </c>
      <c r="E92" s="159">
        <f t="shared" si="117"/>
        <v>4280</v>
      </c>
      <c r="F92" s="141">
        <f t="shared" si="118"/>
        <v>-180</v>
      </c>
      <c r="G92" s="142">
        <f t="shared" si="113"/>
        <v>-24.777777777777779</v>
      </c>
      <c r="H92" s="143">
        <f t="shared" si="119"/>
        <v>7672</v>
      </c>
      <c r="I92" s="143">
        <f t="shared" si="120"/>
        <v>3292</v>
      </c>
      <c r="J92" s="142">
        <f t="shared" si="114"/>
        <v>1.3304981773997571</v>
      </c>
      <c r="K92" s="143">
        <f t="shared" si="122"/>
        <v>12280</v>
      </c>
      <c r="L92" s="143">
        <f t="shared" si="123"/>
        <v>10872</v>
      </c>
      <c r="M92" s="144">
        <f t="shared" si="115"/>
        <v>0.12950699043414277</v>
      </c>
      <c r="O92" s="145">
        <f>SUMIF('2024 AC'!$B$3:$B$250,"*"&amp;$D92&amp;"*",'2024 AC'!C$3:C$250)</f>
        <v>0</v>
      </c>
      <c r="P92" s="146">
        <f>SUMIF('2024 AC'!$B$3:$B$250,"*"&amp;$D92&amp;"*",'2024 AC'!D$3:D$250)</f>
        <v>3880</v>
      </c>
      <c r="Q92" s="146">
        <f>SUMIF('2024 AC'!$B$3:$B$250,"*"&amp;$D92&amp;"*",'2024 AC'!E$3:E$250)</f>
        <v>3880</v>
      </c>
      <c r="R92" s="146">
        <f>SUMIF('2024 AC'!$B$3:$B$250,"*"&amp;$D92&amp;"*",'2024 AC'!F$3:F$250)</f>
        <v>0</v>
      </c>
      <c r="S92" s="146">
        <f>SUMIF('2024 AC'!$B$3:$B$250,"*"&amp;$D92&amp;"*",'2024 AC'!G$3:G$250)</f>
        <v>3880</v>
      </c>
      <c r="T92" s="146">
        <f>SUMIF('2024 AC'!$B$3:$B$250,"*"&amp;$D92&amp;"*",'2024 AC'!H$3:H$250)</f>
        <v>0</v>
      </c>
      <c r="U92" s="146">
        <f>SUMIF('2024 AC'!$B$3:$B$250,"*"&amp;$D92&amp;"*",'2024 AC'!I$3:I$250)</f>
        <v>0</v>
      </c>
      <c r="V92" s="146">
        <f>SUMIF('2024 AC'!$B$3:$B$250,"*"&amp;$D92&amp;"*",'2024 AC'!J$3:J$250)</f>
        <v>5820</v>
      </c>
      <c r="W92" s="146">
        <f>SUMIF('2024 AC'!$B$3:$B$250,"*"&amp;$D92&amp;"*",'2024 AC'!K$3:K$250)</f>
        <v>1940</v>
      </c>
      <c r="X92" s="146">
        <f>SUMIF('2024 AC'!$B$3:$B$250,"*"&amp;$D92&amp;"*",'2024 AC'!L$3:L$250)</f>
        <v>1940</v>
      </c>
      <c r="Y92" s="146">
        <f>SUMIF('2024 AC'!$B$3:$B$250,"*"&amp;$D92&amp;"*",'2024 AC'!M$3:M$250)</f>
        <v>0</v>
      </c>
      <c r="Z92" s="147">
        <f>SUMIF('2024 AC'!$B$3:$B$250,"*"&amp;$D92&amp;"*",'2024 AC'!N$3:N$250)</f>
        <v>0</v>
      </c>
      <c r="AA92" s="148">
        <f t="shared" si="83"/>
        <v>21340</v>
      </c>
      <c r="AB92" s="147">
        <f t="shared" si="84"/>
        <v>7760</v>
      </c>
      <c r="AC92" s="147">
        <f t="shared" si="85"/>
        <v>3880</v>
      </c>
      <c r="AD92" s="147">
        <f t="shared" si="86"/>
        <v>7760</v>
      </c>
      <c r="AE92" s="147">
        <f t="shared" si="87"/>
        <v>1940</v>
      </c>
      <c r="AF92" s="148">
        <f t="shared" si="88"/>
        <v>21340</v>
      </c>
      <c r="AH92" s="145">
        <f>SUMIF('2025 AC'!$B$3:$B$250,"*"&amp;$D92&amp;"*",'2025 AC'!C$3:C$250)</f>
        <v>3740</v>
      </c>
      <c r="AI92" s="146">
        <f>SUMIF('2025 AC'!$B$3:$B$250,"*"&amp;$D92&amp;"*",'2025 AC'!D$3:D$250)</f>
        <v>1900</v>
      </c>
      <c r="AJ92" s="146">
        <f>SUMIF('2025 AC'!$B$3:$B$250,"*"&amp;$D92&amp;"*",'2025 AC'!E$3:E$250)</f>
        <v>1940</v>
      </c>
      <c r="AK92" s="146">
        <f>SUMIF('2025 AC'!$B$3:$B$250,"*"&amp;$D92&amp;"*",'2025 AC'!F$3:F$250)</f>
        <v>1860</v>
      </c>
      <c r="AL92" s="146">
        <f>SUMIF('2025 AC'!$B$3:$B$250,"*"&amp;$D92&amp;"*",'2025 AC'!G$3:G$250)</f>
        <v>1612</v>
      </c>
      <c r="AM92" s="146">
        <f>SUMIF('2025 AC'!$B$3:$B$250,"*"&amp;$D92&amp;"*",'2025 AC'!H$3:H$250)</f>
        <v>-180</v>
      </c>
      <c r="AN92" s="146">
        <f>SUMIF('2025 AC'!$B$3:$B$250,"*"&amp;$D92&amp;"*",'2025 AC'!I$3:I$250)</f>
        <v>1710</v>
      </c>
      <c r="AO92" s="146">
        <f>SUMIF('2025 AC'!$B$3:$B$250,"*"&amp;$D92&amp;"*",'2025 AC'!J$3:J$250)</f>
        <v>1720</v>
      </c>
      <c r="AP92" s="146">
        <f>SUMIF('2025 AC'!$B$3:$B$250,"*"&amp;$D92&amp;"*",'2025 AC'!K$3:K$250)</f>
        <v>1760</v>
      </c>
      <c r="AQ92" s="146">
        <f>SUMIF('2025 AC'!$B$3:$B$250,"*"&amp;$D92&amp;"*",'2025 AC'!L$3:L$250)</f>
        <v>1690</v>
      </c>
      <c r="AR92" s="146">
        <f>SUMIF('2025 AC'!$B$3:$B$250,"*"&amp;$D92&amp;"*",'2025 AC'!M$3:M$250)</f>
        <v>1800</v>
      </c>
      <c r="AS92" s="146">
        <f>SUMIF('2025 AC'!$B$3:$B$250,"*"&amp;$D92&amp;"*",'2025 AC'!N$3:N$250)</f>
        <v>196</v>
      </c>
      <c r="AT92" s="149">
        <f t="shared" si="89"/>
        <v>19748</v>
      </c>
      <c r="AU92" s="147">
        <f t="shared" si="90"/>
        <v>7580</v>
      </c>
      <c r="AV92" s="147">
        <f t="shared" si="91"/>
        <v>3292</v>
      </c>
      <c r="AW92" s="147">
        <f t="shared" si="92"/>
        <v>5190</v>
      </c>
      <c r="AX92" s="147">
        <f t="shared" si="93"/>
        <v>3686</v>
      </c>
      <c r="AY92" s="148">
        <f t="shared" si="94"/>
        <v>19748</v>
      </c>
      <c r="BA92" s="145">
        <f>SUMIF('2026 AC'!$B$3:$B$254,"*"&amp;$D92&amp;"*",'2026 AC'!C$3:C$254)</f>
        <v>1196</v>
      </c>
      <c r="BB92" s="146">
        <f>SUMIF('2026 AC'!$B$3:$B$254,"*"&amp;$D92&amp;"*",'2026 AC'!D$3:D$254)</f>
        <v>1592</v>
      </c>
      <c r="BC92" s="146">
        <f>SUMIF('2026 AC'!$B$3:$B$254,"*"&amp;$D92&amp;"*",'2026 AC'!E$3:E$254)</f>
        <v>1820</v>
      </c>
      <c r="BD92" s="146">
        <f>SUMIF('2026 AC'!$B$3:$B$254,"*"&amp;$D92&amp;"*",'2026 AC'!F$3:F$254)</f>
        <v>1740</v>
      </c>
      <c r="BE92" s="146">
        <f>SUMIF('2026 AC'!$B$3:$B$254,"*"&amp;$D92&amp;"*",'2026 AC'!G$3:G$254)</f>
        <v>1652</v>
      </c>
      <c r="BF92" s="146">
        <f>SUMIF('2026 AC'!$B$3:$B$254,"*"&amp;$D92&amp;"*",'2026 AC'!H$3:H$254)</f>
        <v>4280</v>
      </c>
      <c r="BG92" s="146">
        <f>SUMIF('2026 AC'!$B$3:$B$254,"*"&amp;$D92&amp;"*",'2026 AC'!I$3:I$254)</f>
        <v>0</v>
      </c>
      <c r="BH92" s="146">
        <f>SUMIF('2026 AC'!$B$3:$B$254,"*"&amp;$D92&amp;"*",'2026 AC'!J$3:J$254)</f>
        <v>0</v>
      </c>
      <c r="BI92" s="146">
        <f>SUMIF('2026 AC'!$B$3:$B$254,"*"&amp;$D92&amp;"*",'2026 AC'!K$3:K$254)</f>
        <v>0</v>
      </c>
      <c r="BJ92" s="146">
        <f>SUMIF('2026 AC'!$B$3:$B$254,"*"&amp;$D92&amp;"*",'2026 AC'!L$3:L$254)</f>
        <v>0</v>
      </c>
      <c r="BK92" s="146">
        <f>SUMIF('2026 AC'!$B$3:$B$254,"*"&amp;$D92&amp;"*",'2026 AC'!M$3:M$254)</f>
        <v>0</v>
      </c>
      <c r="BL92" s="147">
        <f>SUMIF('2026 AC'!$B$3:$B$254,"*"&amp;$D92&amp;"*",'2026 AC'!N$3:N$254)</f>
        <v>0</v>
      </c>
      <c r="BM92" s="148">
        <f t="shared" si="95"/>
        <v>12280</v>
      </c>
      <c r="BN92" s="147">
        <f t="shared" si="96"/>
        <v>4608</v>
      </c>
      <c r="BO92" s="147">
        <f t="shared" si="97"/>
        <v>7672</v>
      </c>
      <c r="BP92" s="147">
        <f t="shared" si="98"/>
        <v>0</v>
      </c>
      <c r="BQ92" s="147">
        <f t="shared" si="99"/>
        <v>0</v>
      </c>
      <c r="BR92" s="148">
        <f t="shared" si="100"/>
        <v>12280</v>
      </c>
    </row>
    <row r="93" ht="15" customHeight="1" outlineLevel="1">
      <c r="A93" t="s">
        <v>201</v>
      </c>
      <c r="B93" t="s">
        <v>202</v>
      </c>
      <c r="C93" s="34" t="s">
        <v>200</v>
      </c>
      <c r="D93" s="35" t="s">
        <v>202</v>
      </c>
      <c r="E93" s="151">
        <f t="shared" si="117"/>
        <v>4280</v>
      </c>
      <c r="F93" s="152">
        <f t="shared" si="118"/>
        <v>-180</v>
      </c>
      <c r="G93" s="54">
        <f t="shared" si="113"/>
        <v>-24.777777777777779</v>
      </c>
      <c r="H93" s="153">
        <f t="shared" si="119"/>
        <v>7672</v>
      </c>
      <c r="I93" s="153">
        <f t="shared" si="120"/>
        <v>3292</v>
      </c>
      <c r="J93" s="54">
        <f t="shared" si="114"/>
        <v>1.3304981773997571</v>
      </c>
      <c r="K93" s="153">
        <f t="shared" si="122"/>
        <v>12280</v>
      </c>
      <c r="L93" s="153">
        <f t="shared" si="123"/>
        <v>10872</v>
      </c>
      <c r="M93" s="55">
        <f t="shared" si="115"/>
        <v>0.12950699043414277</v>
      </c>
      <c r="O93" s="63">
        <f>SUMIF('2024 AC'!$B$3:$B$250,"*"&amp;$D93&amp;"*",'2024 AC'!C$3:C$250)</f>
        <v>0</v>
      </c>
      <c r="P93" s="53">
        <f>SUMIF('2024 AC'!$B$3:$B$250,"*"&amp;$D93&amp;"*",'2024 AC'!D$3:D$250)</f>
        <v>3880</v>
      </c>
      <c r="Q93" s="53">
        <f>SUMIF('2024 AC'!$B$3:$B$250,"*"&amp;$D93&amp;"*",'2024 AC'!E$3:E$250)</f>
        <v>3880</v>
      </c>
      <c r="R93" s="53">
        <f>SUMIF('2024 AC'!$B$3:$B$250,"*"&amp;$D93&amp;"*",'2024 AC'!F$3:F$250)</f>
        <v>0</v>
      </c>
      <c r="S93" s="53">
        <f>SUMIF('2024 AC'!$B$3:$B$250,"*"&amp;$D93&amp;"*",'2024 AC'!G$3:G$250)</f>
        <v>3880</v>
      </c>
      <c r="T93" s="53">
        <f>SUMIF('2024 AC'!$B$3:$B$250,"*"&amp;$D93&amp;"*",'2024 AC'!H$3:H$250)</f>
        <v>0</v>
      </c>
      <c r="U93" s="53">
        <f>SUMIF('2024 AC'!$B$3:$B$250,"*"&amp;$D93&amp;"*",'2024 AC'!I$3:I$250)</f>
        <v>0</v>
      </c>
      <c r="V93" s="53">
        <f>SUMIF('2024 AC'!$B$3:$B$250,"*"&amp;$D93&amp;"*",'2024 AC'!J$3:J$250)</f>
        <v>5820</v>
      </c>
      <c r="W93" s="53">
        <f>SUMIF('2024 AC'!$B$3:$B$250,"*"&amp;$D93&amp;"*",'2024 AC'!K$3:K$250)</f>
        <v>1940</v>
      </c>
      <c r="X93" s="53">
        <f>SUMIF('2024 AC'!$B$3:$B$250,"*"&amp;$D93&amp;"*",'2024 AC'!L$3:L$250)</f>
        <v>1940</v>
      </c>
      <c r="Y93" s="53">
        <f>SUMIF('2024 AC'!$B$3:$B$250,"*"&amp;$D93&amp;"*",'2024 AC'!M$3:M$250)</f>
        <v>0</v>
      </c>
      <c r="Z93" s="93">
        <f>SUMIF('2024 AC'!$B$3:$B$250,"*"&amp;$D93&amp;"*",'2024 AC'!N$3:N$250)</f>
        <v>0</v>
      </c>
      <c r="AA93" s="92">
        <f t="shared" si="83"/>
        <v>21340</v>
      </c>
      <c r="AB93" s="93">
        <f t="shared" si="84"/>
        <v>7760</v>
      </c>
      <c r="AC93" s="93">
        <f t="shared" si="85"/>
        <v>3880</v>
      </c>
      <c r="AD93" s="93">
        <f t="shared" si="86"/>
        <v>7760</v>
      </c>
      <c r="AE93" s="93">
        <f t="shared" si="87"/>
        <v>1940</v>
      </c>
      <c r="AF93" s="92">
        <f t="shared" si="88"/>
        <v>21340</v>
      </c>
      <c r="AH93" s="63">
        <f>SUMIF('2025 AC'!$B$3:$B$250,"*"&amp;$D93&amp;"*",'2025 AC'!C$3:C$250)</f>
        <v>3740</v>
      </c>
      <c r="AI93" s="53">
        <f>SUMIF('2025 AC'!$B$3:$B$250,"*"&amp;$D93&amp;"*",'2025 AC'!D$3:D$250)</f>
        <v>1900</v>
      </c>
      <c r="AJ93" s="53">
        <f>SUMIF('2025 AC'!$B$3:$B$250,"*"&amp;$D93&amp;"*",'2025 AC'!E$3:E$250)</f>
        <v>1940</v>
      </c>
      <c r="AK93" s="53">
        <f>SUMIF('2025 AC'!$B$3:$B$250,"*"&amp;$D93&amp;"*",'2025 AC'!F$3:F$250)</f>
        <v>1860</v>
      </c>
      <c r="AL93" s="53">
        <f>SUMIF('2025 AC'!$B$3:$B$250,"*"&amp;$D93&amp;"*",'2025 AC'!G$3:G$250)</f>
        <v>1612</v>
      </c>
      <c r="AM93" s="53">
        <f>SUMIF('2025 AC'!$B$3:$B$250,"*"&amp;$D93&amp;"*",'2025 AC'!H$3:H$250)</f>
        <v>-180</v>
      </c>
      <c r="AN93" s="53">
        <f>SUMIF('2025 AC'!$B$3:$B$250,"*"&amp;$D93&amp;"*",'2025 AC'!I$3:I$250)</f>
        <v>1710</v>
      </c>
      <c r="AO93" s="53">
        <f>SUMIF('2025 AC'!$B$3:$B$250,"*"&amp;$D93&amp;"*",'2025 AC'!J$3:J$250)</f>
        <v>1720</v>
      </c>
      <c r="AP93" s="53">
        <f>SUMIF('2025 AC'!$B$3:$B$250,"*"&amp;$D93&amp;"*",'2025 AC'!K$3:K$250)</f>
        <v>1760</v>
      </c>
      <c r="AQ93" s="53">
        <f>SUMIF('2025 AC'!$B$3:$B$250,"*"&amp;$D93&amp;"*",'2025 AC'!L$3:L$250)</f>
        <v>1690</v>
      </c>
      <c r="AR93" s="53">
        <f>SUMIF('2025 AC'!$B$3:$B$250,"*"&amp;$D93&amp;"*",'2025 AC'!M$3:M$250)</f>
        <v>1800</v>
      </c>
      <c r="AS93" s="53">
        <f>SUMIF('2025 AC'!$B$3:$B$250,"*"&amp;$D93&amp;"*",'2025 AC'!N$3:N$250)</f>
        <v>196</v>
      </c>
      <c r="AT93" s="94">
        <f t="shared" si="89"/>
        <v>19748</v>
      </c>
      <c r="AU93" s="93">
        <f t="shared" si="90"/>
        <v>7580</v>
      </c>
      <c r="AV93" s="93">
        <f t="shared" si="91"/>
        <v>3292</v>
      </c>
      <c r="AW93" s="93">
        <f t="shared" si="92"/>
        <v>5190</v>
      </c>
      <c r="AX93" s="93">
        <f t="shared" si="93"/>
        <v>3686</v>
      </c>
      <c r="AY93" s="92">
        <f t="shared" si="94"/>
        <v>19748</v>
      </c>
      <c r="BA93" s="63">
        <f>SUMIF('2026 AC'!$B$3:$B$254,"*"&amp;$D93&amp;"*",'2026 AC'!C$3:C$254)</f>
        <v>1196</v>
      </c>
      <c r="BB93" s="53">
        <f>SUMIF('2026 AC'!$B$3:$B$254,"*"&amp;$D93&amp;"*",'2026 AC'!D$3:D$254)</f>
        <v>1592</v>
      </c>
      <c r="BC93" s="53">
        <f>SUMIF('2026 AC'!$B$3:$B$254,"*"&amp;$D93&amp;"*",'2026 AC'!E$3:E$254)</f>
        <v>1820</v>
      </c>
      <c r="BD93" s="53">
        <f>SUMIF('2026 AC'!$B$3:$B$254,"*"&amp;$D93&amp;"*",'2026 AC'!F$3:F$254)</f>
        <v>1740</v>
      </c>
      <c r="BE93" s="53">
        <f>SUMIF('2026 AC'!$B$3:$B$254,"*"&amp;$D93&amp;"*",'2026 AC'!G$3:G$254)</f>
        <v>1652</v>
      </c>
      <c r="BF93" s="53">
        <f>SUMIF('2026 AC'!$B$3:$B$254,"*"&amp;$D93&amp;"*",'2026 AC'!H$3:H$254)</f>
        <v>4280</v>
      </c>
      <c r="BG93" s="53">
        <f>SUMIF('2026 AC'!$B$3:$B$254,"*"&amp;$D93&amp;"*",'2026 AC'!I$3:I$254)</f>
        <v>0</v>
      </c>
      <c r="BH93" s="53">
        <f>SUMIF('2026 AC'!$B$3:$B$254,"*"&amp;$D93&amp;"*",'2026 AC'!J$3:J$254)</f>
        <v>0</v>
      </c>
      <c r="BI93" s="53">
        <f>SUMIF('2026 AC'!$B$3:$B$254,"*"&amp;$D93&amp;"*",'2026 AC'!K$3:K$254)</f>
        <v>0</v>
      </c>
      <c r="BJ93" s="53">
        <f>SUMIF('2026 AC'!$B$3:$B$254,"*"&amp;$D93&amp;"*",'2026 AC'!L$3:L$254)</f>
        <v>0</v>
      </c>
      <c r="BK93" s="53">
        <f>SUMIF('2026 AC'!$B$3:$B$254,"*"&amp;$D93&amp;"*",'2026 AC'!M$3:M$254)</f>
        <v>0</v>
      </c>
      <c r="BL93" s="93">
        <f>SUMIF('2026 AC'!$B$3:$B$254,"*"&amp;$D93&amp;"*",'2026 AC'!N$3:N$254)</f>
        <v>0</v>
      </c>
      <c r="BM93" s="92">
        <f t="shared" si="95"/>
        <v>12280</v>
      </c>
      <c r="BN93" s="93">
        <f t="shared" si="96"/>
        <v>4608</v>
      </c>
      <c r="BO93" s="93">
        <f t="shared" si="97"/>
        <v>7672</v>
      </c>
      <c r="BP93" s="93">
        <f t="shared" si="98"/>
        <v>0</v>
      </c>
      <c r="BQ93" s="93">
        <f t="shared" si="99"/>
        <v>0</v>
      </c>
      <c r="BR93" s="92">
        <f t="shared" si="100"/>
        <v>12280</v>
      </c>
    </row>
    <row r="94" s="137" customFormat="1" ht="15" customHeight="1">
      <c r="A94" s="137" t="s">
        <v>203</v>
      </c>
      <c r="B94" s="137" t="s">
        <v>204</v>
      </c>
      <c r="C94" s="187" t="s">
        <v>205</v>
      </c>
      <c r="D94" s="139" t="s">
        <v>204</v>
      </c>
      <c r="E94" s="159">
        <f t="shared" si="117"/>
        <v>0</v>
      </c>
      <c r="F94" s="141">
        <f t="shared" si="118"/>
        <v>0</v>
      </c>
      <c r="G94" s="161">
        <f t="shared" si="116"/>
        <v>0</v>
      </c>
      <c r="H94" s="143">
        <f t="shared" si="119"/>
        <v>0</v>
      </c>
      <c r="I94" s="143">
        <f t="shared" si="120"/>
        <v>0</v>
      </c>
      <c r="J94" s="161">
        <f t="shared" si="121"/>
        <v>0</v>
      </c>
      <c r="K94" s="143">
        <f t="shared" si="122"/>
        <v>0</v>
      </c>
      <c r="L94" s="143">
        <f t="shared" si="123"/>
        <v>0</v>
      </c>
      <c r="M94" s="163">
        <f t="shared" si="124"/>
        <v>0</v>
      </c>
      <c r="O94" s="145">
        <f>SUMIF('2024 AC'!$B$3:$B$250,"*"&amp;$D94&amp;"*",'2024 AC'!C$3:C$250)</f>
        <v>0</v>
      </c>
      <c r="P94" s="146">
        <f>SUMIF('2024 AC'!$B$3:$B$250,"*"&amp;$D94&amp;"*",'2024 AC'!D$3:D$250)</f>
        <v>0</v>
      </c>
      <c r="Q94" s="146">
        <f>SUMIF('2024 AC'!$B$3:$B$250,"*"&amp;$D94&amp;"*",'2024 AC'!E$3:E$250)</f>
        <v>0</v>
      </c>
      <c r="R94" s="146">
        <f>SUMIF('2024 AC'!$B$3:$B$250,"*"&amp;$D94&amp;"*",'2024 AC'!F$3:F$250)</f>
        <v>0</v>
      </c>
      <c r="S94" s="146">
        <f>SUMIF('2024 AC'!$B$3:$B$250,"*"&amp;$D94&amp;"*",'2024 AC'!G$3:G$250)</f>
        <v>0</v>
      </c>
      <c r="T94" s="146">
        <f>SUMIF('2024 AC'!$B$3:$B$250,"*"&amp;$D94&amp;"*",'2024 AC'!H$3:H$250)</f>
        <v>0</v>
      </c>
      <c r="U94" s="146">
        <f>SUMIF('2024 AC'!$B$3:$B$250,"*"&amp;$D94&amp;"*",'2024 AC'!I$3:I$250)</f>
        <v>0</v>
      </c>
      <c r="V94" s="146">
        <f>SUMIF('2024 AC'!$B$3:$B$250,"*"&amp;$D94&amp;"*",'2024 AC'!J$3:J$250)</f>
        <v>0</v>
      </c>
      <c r="W94" s="146">
        <f>SUMIF('2024 AC'!$B$3:$B$250,"*"&amp;$D94&amp;"*",'2024 AC'!K$3:K$250)</f>
        <v>0</v>
      </c>
      <c r="X94" s="146">
        <f>SUMIF('2024 AC'!$B$3:$B$250,"*"&amp;$D94&amp;"*",'2024 AC'!L$3:L$250)</f>
        <v>0</v>
      </c>
      <c r="Y94" s="146">
        <f>SUMIF('2024 AC'!$B$3:$B$250,"*"&amp;$D94&amp;"*",'2024 AC'!M$3:M$250)</f>
        <v>0</v>
      </c>
      <c r="Z94" s="147">
        <f>SUMIF('2024 AC'!$B$3:$B$250,"*"&amp;$D94&amp;"*",'2024 AC'!N$3:N$250)</f>
        <v>0</v>
      </c>
      <c r="AA94" s="148">
        <f t="shared" si="83"/>
        <v>0</v>
      </c>
      <c r="AB94" s="147">
        <f t="shared" si="84"/>
        <v>0</v>
      </c>
      <c r="AC94" s="147">
        <f t="shared" si="85"/>
        <v>0</v>
      </c>
      <c r="AD94" s="147">
        <f t="shared" si="86"/>
        <v>0</v>
      </c>
      <c r="AE94" s="147">
        <f t="shared" si="87"/>
        <v>0</v>
      </c>
      <c r="AF94" s="148">
        <f t="shared" si="88"/>
        <v>0</v>
      </c>
      <c r="AH94" s="145">
        <f>SUMIF('2025 AC'!$B$3:$B$250,"*"&amp;$D94&amp;"*",'2025 AC'!C$3:C$250)</f>
        <v>0</v>
      </c>
      <c r="AI94" s="146">
        <f>SUMIF('2025 AC'!$B$3:$B$250,"*"&amp;$D94&amp;"*",'2025 AC'!D$3:D$250)</f>
        <v>0</v>
      </c>
      <c r="AJ94" s="146">
        <f>SUMIF('2025 AC'!$B$3:$B$250,"*"&amp;$D94&amp;"*",'2025 AC'!E$3:E$250)</f>
        <v>0</v>
      </c>
      <c r="AK94" s="146">
        <f>SUMIF('2025 AC'!$B$3:$B$250,"*"&amp;$D94&amp;"*",'2025 AC'!F$3:F$250)</f>
        <v>0</v>
      </c>
      <c r="AL94" s="146">
        <f>SUMIF('2025 AC'!$B$3:$B$250,"*"&amp;$D94&amp;"*",'2025 AC'!G$3:G$250)</f>
        <v>0</v>
      </c>
      <c r="AM94" s="146">
        <f>SUMIF('2025 AC'!$B$3:$B$250,"*"&amp;$D94&amp;"*",'2025 AC'!H$3:H$250)</f>
        <v>0</v>
      </c>
      <c r="AN94" s="146">
        <f>SUMIF('2025 AC'!$B$3:$B$250,"*"&amp;$D94&amp;"*",'2025 AC'!I$3:I$250)</f>
        <v>0</v>
      </c>
      <c r="AO94" s="146">
        <f>SUMIF('2025 AC'!$B$3:$B$250,"*"&amp;$D94&amp;"*",'2025 AC'!J$3:J$250)</f>
        <v>0</v>
      </c>
      <c r="AP94" s="146">
        <f>SUMIF('2025 AC'!$B$3:$B$250,"*"&amp;$D94&amp;"*",'2025 AC'!K$3:K$250)</f>
        <v>0</v>
      </c>
      <c r="AQ94" s="146">
        <f>SUMIF('2025 AC'!$B$3:$B$250,"*"&amp;$D94&amp;"*",'2025 AC'!L$3:L$250)</f>
        <v>0</v>
      </c>
      <c r="AR94" s="146">
        <f>SUMIF('2025 AC'!$B$3:$B$250,"*"&amp;$D94&amp;"*",'2025 AC'!M$3:M$250)</f>
        <v>0</v>
      </c>
      <c r="AS94" s="146">
        <f>SUMIF('2025 AC'!$B$3:$B$250,"*"&amp;$D94&amp;"*",'2025 AC'!N$3:N$250)</f>
        <v>0</v>
      </c>
      <c r="AT94" s="149">
        <f t="shared" si="89"/>
        <v>0</v>
      </c>
      <c r="AU94" s="147">
        <f t="shared" si="90"/>
        <v>0</v>
      </c>
      <c r="AV94" s="147">
        <f t="shared" si="91"/>
        <v>0</v>
      </c>
      <c r="AW94" s="147">
        <f t="shared" si="92"/>
        <v>0</v>
      </c>
      <c r="AX94" s="147">
        <f t="shared" si="93"/>
        <v>0</v>
      </c>
      <c r="AY94" s="148">
        <f t="shared" si="94"/>
        <v>0</v>
      </c>
      <c r="BA94" s="145">
        <f>SUMIF('2026 AC'!$B$3:$B$254,"*"&amp;$D94&amp;"*",'2026 AC'!C$3:C$254)</f>
        <v>0</v>
      </c>
      <c r="BB94" s="146">
        <f>SUMIF('2026 AC'!$B$3:$B$254,"*"&amp;$D94&amp;"*",'2026 AC'!D$3:D$254)</f>
        <v>0</v>
      </c>
      <c r="BC94" s="146">
        <f>SUMIF('2026 AC'!$B$3:$B$254,"*"&amp;$D94&amp;"*",'2026 AC'!E$3:E$254)</f>
        <v>0</v>
      </c>
      <c r="BD94" s="146">
        <f>SUMIF('2026 AC'!$B$3:$B$254,"*"&amp;$D94&amp;"*",'2026 AC'!F$3:F$254)</f>
        <v>0</v>
      </c>
      <c r="BE94" s="146">
        <f>SUMIF('2026 AC'!$B$3:$B$254,"*"&amp;$D94&amp;"*",'2026 AC'!G$3:G$254)</f>
        <v>0</v>
      </c>
      <c r="BF94" s="146">
        <f>SUMIF('2026 AC'!$B$3:$B$254,"*"&amp;$D94&amp;"*",'2026 AC'!H$3:H$254)</f>
        <v>0</v>
      </c>
      <c r="BG94" s="146">
        <f>SUMIF('2026 AC'!$B$3:$B$254,"*"&amp;$D94&amp;"*",'2026 AC'!I$3:I$254)</f>
        <v>0</v>
      </c>
      <c r="BH94" s="146">
        <f>SUMIF('2026 AC'!$B$3:$B$254,"*"&amp;$D94&amp;"*",'2026 AC'!J$3:J$254)</f>
        <v>0</v>
      </c>
      <c r="BI94" s="146">
        <f>SUMIF('2026 AC'!$B$3:$B$254,"*"&amp;$D94&amp;"*",'2026 AC'!K$3:K$254)</f>
        <v>0</v>
      </c>
      <c r="BJ94" s="146">
        <f>SUMIF('2026 AC'!$B$3:$B$254,"*"&amp;$D94&amp;"*",'2026 AC'!L$3:L$254)</f>
        <v>0</v>
      </c>
      <c r="BK94" s="146">
        <f>SUMIF('2026 AC'!$B$3:$B$254,"*"&amp;$D94&amp;"*",'2026 AC'!M$3:M$254)</f>
        <v>0</v>
      </c>
      <c r="BL94" s="147">
        <f>SUMIF('2026 AC'!$B$3:$B$254,"*"&amp;$D94&amp;"*",'2026 AC'!N$3:N$254)</f>
        <v>0</v>
      </c>
      <c r="BM94" s="148">
        <f t="shared" si="95"/>
        <v>0</v>
      </c>
      <c r="BN94" s="147">
        <f t="shared" si="96"/>
        <v>0</v>
      </c>
      <c r="BO94" s="147">
        <f t="shared" si="97"/>
        <v>0</v>
      </c>
      <c r="BP94" s="147">
        <f t="shared" si="98"/>
        <v>0</v>
      </c>
      <c r="BQ94" s="147">
        <f t="shared" si="99"/>
        <v>0</v>
      </c>
      <c r="BR94" s="148">
        <f t="shared" si="100"/>
        <v>0</v>
      </c>
    </row>
    <row r="95" s="137" customFormat="1" ht="15" customHeight="1">
      <c r="A95" s="137" t="s">
        <v>206</v>
      </c>
      <c r="B95" s="137" t="s">
        <v>207</v>
      </c>
      <c r="C95" s="187" t="s">
        <v>208</v>
      </c>
      <c r="D95" s="139" t="s">
        <v>207</v>
      </c>
      <c r="E95" s="159">
        <f t="shared" si="117"/>
        <v>0</v>
      </c>
      <c r="F95" s="141">
        <f t="shared" si="118"/>
        <v>0</v>
      </c>
      <c r="G95" s="161">
        <f t="shared" si="116"/>
        <v>0</v>
      </c>
      <c r="H95" s="143">
        <f t="shared" si="119"/>
        <v>0</v>
      </c>
      <c r="I95" s="143">
        <f t="shared" si="120"/>
        <v>0</v>
      </c>
      <c r="J95" s="161">
        <f t="shared" si="121"/>
        <v>0</v>
      </c>
      <c r="K95" s="143">
        <f t="shared" si="122"/>
        <v>0</v>
      </c>
      <c r="L95" s="143">
        <f t="shared" si="123"/>
        <v>0</v>
      </c>
      <c r="M95" s="163">
        <f t="shared" si="124"/>
        <v>0</v>
      </c>
      <c r="O95" s="145">
        <f>SUMIF('2024 AC'!$B$3:$B$250,"*"&amp;$D95&amp;"*",'2024 AC'!C$3:C$250)</f>
        <v>0</v>
      </c>
      <c r="P95" s="146">
        <f>SUMIF('2024 AC'!$B$3:$B$250,"*"&amp;$D95&amp;"*",'2024 AC'!D$3:D$250)</f>
        <v>0</v>
      </c>
      <c r="Q95" s="146">
        <f>SUMIF('2024 AC'!$B$3:$B$250,"*"&amp;$D95&amp;"*",'2024 AC'!E$3:E$250)</f>
        <v>0</v>
      </c>
      <c r="R95" s="146">
        <f>SUMIF('2024 AC'!$B$3:$B$250,"*"&amp;$D95&amp;"*",'2024 AC'!F$3:F$250)</f>
        <v>0</v>
      </c>
      <c r="S95" s="146">
        <f>SUMIF('2024 AC'!$B$3:$B$250,"*"&amp;$D95&amp;"*",'2024 AC'!G$3:G$250)</f>
        <v>0</v>
      </c>
      <c r="T95" s="146">
        <f>SUMIF('2024 AC'!$B$3:$B$250,"*"&amp;$D95&amp;"*",'2024 AC'!H$3:H$250)</f>
        <v>0</v>
      </c>
      <c r="U95" s="146">
        <f>SUMIF('2024 AC'!$B$3:$B$250,"*"&amp;$D95&amp;"*",'2024 AC'!I$3:I$250)</f>
        <v>0</v>
      </c>
      <c r="V95" s="146">
        <f>SUMIF('2024 AC'!$B$3:$B$250,"*"&amp;$D95&amp;"*",'2024 AC'!J$3:J$250)</f>
        <v>0</v>
      </c>
      <c r="W95" s="146">
        <f>SUMIF('2024 AC'!$B$3:$B$250,"*"&amp;$D95&amp;"*",'2024 AC'!K$3:K$250)</f>
        <v>0</v>
      </c>
      <c r="X95" s="146">
        <f>SUMIF('2024 AC'!$B$3:$B$250,"*"&amp;$D95&amp;"*",'2024 AC'!L$3:L$250)</f>
        <v>0</v>
      </c>
      <c r="Y95" s="146">
        <f>SUMIF('2024 AC'!$B$3:$B$250,"*"&amp;$D95&amp;"*",'2024 AC'!M$3:M$250)</f>
        <v>0</v>
      </c>
      <c r="Z95" s="147">
        <f>SUMIF('2024 AC'!$B$3:$B$250,"*"&amp;$D95&amp;"*",'2024 AC'!N$3:N$250)</f>
        <v>0</v>
      </c>
      <c r="AA95" s="148">
        <f t="shared" si="83"/>
        <v>0</v>
      </c>
      <c r="AB95" s="147">
        <f t="shared" si="84"/>
        <v>0</v>
      </c>
      <c r="AC95" s="147">
        <f t="shared" si="85"/>
        <v>0</v>
      </c>
      <c r="AD95" s="147">
        <f t="shared" si="86"/>
        <v>0</v>
      </c>
      <c r="AE95" s="147">
        <f t="shared" si="87"/>
        <v>0</v>
      </c>
      <c r="AF95" s="148">
        <f t="shared" si="88"/>
        <v>0</v>
      </c>
      <c r="AH95" s="145">
        <f>SUMIF('2025 AC'!$B$3:$B$250,"*"&amp;$D95&amp;"*",'2025 AC'!C$3:C$250)</f>
        <v>0</v>
      </c>
      <c r="AI95" s="146">
        <f>SUMIF('2025 AC'!$B$3:$B$250,"*"&amp;$D95&amp;"*",'2025 AC'!D$3:D$250)</f>
        <v>0</v>
      </c>
      <c r="AJ95" s="146">
        <f>SUMIF('2025 AC'!$B$3:$B$250,"*"&amp;$D95&amp;"*",'2025 AC'!E$3:E$250)</f>
        <v>0</v>
      </c>
      <c r="AK95" s="146">
        <f>SUMIF('2025 AC'!$B$3:$B$250,"*"&amp;$D95&amp;"*",'2025 AC'!F$3:F$250)</f>
        <v>0</v>
      </c>
      <c r="AL95" s="146">
        <f>SUMIF('2025 AC'!$B$3:$B$250,"*"&amp;$D95&amp;"*",'2025 AC'!G$3:G$250)</f>
        <v>0</v>
      </c>
      <c r="AM95" s="146">
        <f>SUMIF('2025 AC'!$B$3:$B$250,"*"&amp;$D95&amp;"*",'2025 AC'!H$3:H$250)</f>
        <v>0</v>
      </c>
      <c r="AN95" s="146">
        <f>SUMIF('2025 AC'!$B$3:$B$250,"*"&amp;$D95&amp;"*",'2025 AC'!I$3:I$250)</f>
        <v>0</v>
      </c>
      <c r="AO95" s="146">
        <f>SUMIF('2025 AC'!$B$3:$B$250,"*"&amp;$D95&amp;"*",'2025 AC'!J$3:J$250)</f>
        <v>0</v>
      </c>
      <c r="AP95" s="146">
        <f>SUMIF('2025 AC'!$B$3:$B$250,"*"&amp;$D95&amp;"*",'2025 AC'!K$3:K$250)</f>
        <v>0</v>
      </c>
      <c r="AQ95" s="146">
        <f>SUMIF('2025 AC'!$B$3:$B$250,"*"&amp;$D95&amp;"*",'2025 AC'!L$3:L$250)</f>
        <v>0</v>
      </c>
      <c r="AR95" s="146">
        <f>SUMIF('2025 AC'!$B$3:$B$250,"*"&amp;$D95&amp;"*",'2025 AC'!M$3:M$250)</f>
        <v>0</v>
      </c>
      <c r="AS95" s="146">
        <f>SUMIF('2025 AC'!$B$3:$B$250,"*"&amp;$D95&amp;"*",'2025 AC'!N$3:N$250)</f>
        <v>0</v>
      </c>
      <c r="AT95" s="149">
        <f t="shared" si="89"/>
        <v>0</v>
      </c>
      <c r="AU95" s="147">
        <f t="shared" si="90"/>
        <v>0</v>
      </c>
      <c r="AV95" s="147">
        <f t="shared" si="91"/>
        <v>0</v>
      </c>
      <c r="AW95" s="147">
        <f t="shared" si="92"/>
        <v>0</v>
      </c>
      <c r="AX95" s="147">
        <f t="shared" si="93"/>
        <v>0</v>
      </c>
      <c r="AY95" s="148">
        <f t="shared" si="94"/>
        <v>0</v>
      </c>
      <c r="BA95" s="145">
        <f>SUMIF('2026 AC'!$B$3:$B$254,"*"&amp;$D95&amp;"*",'2026 AC'!C$3:C$254)</f>
        <v>0</v>
      </c>
      <c r="BB95" s="146">
        <f>SUMIF('2026 AC'!$B$3:$B$254,"*"&amp;$D95&amp;"*",'2026 AC'!D$3:D$254)</f>
        <v>0</v>
      </c>
      <c r="BC95" s="146">
        <f>SUMIF('2026 AC'!$B$3:$B$254,"*"&amp;$D95&amp;"*",'2026 AC'!E$3:E$254)</f>
        <v>0</v>
      </c>
      <c r="BD95" s="146">
        <f>SUMIF('2026 AC'!$B$3:$B$254,"*"&amp;$D95&amp;"*",'2026 AC'!F$3:F$254)</f>
        <v>0</v>
      </c>
      <c r="BE95" s="146">
        <f>SUMIF('2026 AC'!$B$3:$B$254,"*"&amp;$D95&amp;"*",'2026 AC'!G$3:G$254)</f>
        <v>0</v>
      </c>
      <c r="BF95" s="146">
        <f>SUMIF('2026 AC'!$B$3:$B$254,"*"&amp;$D95&amp;"*",'2026 AC'!H$3:H$254)</f>
        <v>0</v>
      </c>
      <c r="BG95" s="146">
        <f>SUMIF('2026 AC'!$B$3:$B$254,"*"&amp;$D95&amp;"*",'2026 AC'!I$3:I$254)</f>
        <v>0</v>
      </c>
      <c r="BH95" s="146">
        <f>SUMIF('2026 AC'!$B$3:$B$254,"*"&amp;$D95&amp;"*",'2026 AC'!J$3:J$254)</f>
        <v>0</v>
      </c>
      <c r="BI95" s="146">
        <f>SUMIF('2026 AC'!$B$3:$B$254,"*"&amp;$D95&amp;"*",'2026 AC'!K$3:K$254)</f>
        <v>0</v>
      </c>
      <c r="BJ95" s="146">
        <f>SUMIF('2026 AC'!$B$3:$B$254,"*"&amp;$D95&amp;"*",'2026 AC'!L$3:L$254)</f>
        <v>0</v>
      </c>
      <c r="BK95" s="146">
        <f>SUMIF('2026 AC'!$B$3:$B$254,"*"&amp;$D95&amp;"*",'2026 AC'!M$3:M$254)</f>
        <v>0</v>
      </c>
      <c r="BL95" s="147">
        <f>SUMIF('2026 AC'!$B$3:$B$254,"*"&amp;$D95&amp;"*",'2026 AC'!N$3:N$254)</f>
        <v>0</v>
      </c>
      <c r="BM95" s="148">
        <f t="shared" si="95"/>
        <v>0</v>
      </c>
      <c r="BN95" s="147">
        <f t="shared" si="96"/>
        <v>0</v>
      </c>
      <c r="BO95" s="147">
        <f t="shared" si="97"/>
        <v>0</v>
      </c>
      <c r="BP95" s="147">
        <f t="shared" si="98"/>
        <v>0</v>
      </c>
      <c r="BQ95" s="147">
        <f t="shared" si="99"/>
        <v>0</v>
      </c>
      <c r="BR95" s="148">
        <f t="shared" si="100"/>
        <v>0</v>
      </c>
    </row>
    <row r="96" s="137" customFormat="1" ht="15" customHeight="1">
      <c r="A96" s="137" t="s">
        <v>209</v>
      </c>
      <c r="B96" s="137" t="s">
        <v>210</v>
      </c>
      <c r="C96" s="187" t="s">
        <v>211</v>
      </c>
      <c r="D96" s="139" t="s">
        <v>210</v>
      </c>
      <c r="E96" s="159">
        <f t="shared" si="117"/>
        <v>-35738.370000000003</v>
      </c>
      <c r="F96" s="141">
        <f t="shared" si="118"/>
        <v>0</v>
      </c>
      <c r="G96" s="161">
        <f>IFERROR((E96-F96)/F96,1)</f>
        <v>1</v>
      </c>
      <c r="H96" s="143">
        <f t="shared" si="119"/>
        <v>-111979.91</v>
      </c>
      <c r="I96" s="143">
        <f t="shared" si="120"/>
        <v>0</v>
      </c>
      <c r="J96" s="161">
        <f>IFERROR((H96-I96)/I96,1)</f>
        <v>1</v>
      </c>
      <c r="K96" s="143">
        <f t="shared" si="122"/>
        <v>-235316.22999999998</v>
      </c>
      <c r="L96" s="143">
        <f t="shared" si="123"/>
        <v>0</v>
      </c>
      <c r="M96" s="163">
        <f>IFERROR((K96-L96)/L96,1)</f>
        <v>1</v>
      </c>
      <c r="O96" s="145">
        <f>SUMIF('2024 AC'!$B$3:$B$250,"*"&amp;$D96&amp;"*",'2024 AC'!C$3:C$250)</f>
        <v>0</v>
      </c>
      <c r="P96" s="146">
        <f>SUMIF('2024 AC'!$B$3:$B$250,"*"&amp;$D96&amp;"*",'2024 AC'!D$3:D$250)</f>
        <v>0</v>
      </c>
      <c r="Q96" s="146">
        <f>SUMIF('2024 AC'!$B$3:$B$250,"*"&amp;$D96&amp;"*",'2024 AC'!E$3:E$250)</f>
        <v>0</v>
      </c>
      <c r="R96" s="146">
        <f>SUMIF('2024 AC'!$B$3:$B$250,"*"&amp;$D96&amp;"*",'2024 AC'!F$3:F$250)</f>
        <v>0</v>
      </c>
      <c r="S96" s="146">
        <f>SUMIF('2024 AC'!$B$3:$B$250,"*"&amp;$D96&amp;"*",'2024 AC'!G$3:G$250)</f>
        <v>0</v>
      </c>
      <c r="T96" s="146">
        <f>SUMIF('2024 AC'!$B$3:$B$250,"*"&amp;$D96&amp;"*",'2024 AC'!H$3:H$250)</f>
        <v>0</v>
      </c>
      <c r="U96" s="146">
        <f>SUMIF('2024 AC'!$B$3:$B$250,"*"&amp;$D96&amp;"*",'2024 AC'!I$3:I$250)</f>
        <v>0</v>
      </c>
      <c r="V96" s="146">
        <f>SUMIF('2024 AC'!$B$3:$B$250,"*"&amp;$D96&amp;"*",'2024 AC'!J$3:J$250)</f>
        <v>0</v>
      </c>
      <c r="W96" s="146">
        <f>SUMIF('2024 AC'!$B$3:$B$250,"*"&amp;$D96&amp;"*",'2024 AC'!K$3:K$250)</f>
        <v>0</v>
      </c>
      <c r="X96" s="146">
        <f>SUMIF('2024 AC'!$B$3:$B$250,"*"&amp;$D96&amp;"*",'2024 AC'!L$3:L$250)</f>
        <v>0</v>
      </c>
      <c r="Y96" s="146">
        <f>SUMIF('2024 AC'!$B$3:$B$250,"*"&amp;$D96&amp;"*",'2024 AC'!M$3:M$250)</f>
        <v>0</v>
      </c>
      <c r="Z96" s="147">
        <f>SUMIF('2024 AC'!$B$3:$B$250,"*"&amp;$D96&amp;"*",'2024 AC'!N$3:N$250)</f>
        <v>0</v>
      </c>
      <c r="AA96" s="148">
        <f t="shared" si="83"/>
        <v>0</v>
      </c>
      <c r="AB96" s="147">
        <f t="shared" si="84"/>
        <v>0</v>
      </c>
      <c r="AC96" s="147">
        <f t="shared" si="85"/>
        <v>0</v>
      </c>
      <c r="AD96" s="147">
        <f t="shared" si="86"/>
        <v>0</v>
      </c>
      <c r="AE96" s="147">
        <f t="shared" si="87"/>
        <v>0</v>
      </c>
      <c r="AF96" s="148">
        <f t="shared" si="88"/>
        <v>0</v>
      </c>
      <c r="AH96" s="145">
        <f>SUMIF('2025 AC'!$B$3:$B$250,"*"&amp;$D96&amp;"*",'2025 AC'!C$3:C$250)</f>
        <v>0</v>
      </c>
      <c r="AI96" s="146">
        <f>SUMIF('2025 AC'!$B$3:$B$250,"*"&amp;$D96&amp;"*",'2025 AC'!D$3:D$250)</f>
        <v>0</v>
      </c>
      <c r="AJ96" s="146">
        <f>SUMIF('2025 AC'!$B$3:$B$250,"*"&amp;$D96&amp;"*",'2025 AC'!E$3:E$250)</f>
        <v>0</v>
      </c>
      <c r="AK96" s="146">
        <f>SUMIF('2025 AC'!$B$3:$B$250,"*"&amp;$D96&amp;"*",'2025 AC'!F$3:F$250)</f>
        <v>0</v>
      </c>
      <c r="AL96" s="146">
        <f>SUMIF('2025 AC'!$B$3:$B$250,"*"&amp;$D96&amp;"*",'2025 AC'!G$3:G$250)</f>
        <v>0</v>
      </c>
      <c r="AM96" s="146">
        <f>SUMIF('2025 AC'!$B$3:$B$250,"*"&amp;$D96&amp;"*",'2025 AC'!H$3:H$250)</f>
        <v>0</v>
      </c>
      <c r="AN96" s="146">
        <f>SUMIF('2025 AC'!$B$3:$B$250,"*"&amp;$D96&amp;"*",'2025 AC'!I$3:I$250)</f>
        <v>0</v>
      </c>
      <c r="AO96" s="146">
        <f>SUMIF('2025 AC'!$B$3:$B$250,"*"&amp;$D96&amp;"*",'2025 AC'!J$3:J$250)</f>
        <v>0</v>
      </c>
      <c r="AP96" s="146">
        <f>SUMIF('2025 AC'!$B$3:$B$250,"*"&amp;$D96&amp;"*",'2025 AC'!K$3:K$250)</f>
        <v>0</v>
      </c>
      <c r="AQ96" s="146">
        <f>SUMIF('2025 AC'!$B$3:$B$250,"*"&amp;$D96&amp;"*",'2025 AC'!L$3:L$250)</f>
        <v>0</v>
      </c>
      <c r="AR96" s="146">
        <f>SUMIF('2025 AC'!$B$3:$B$250,"*"&amp;$D96&amp;"*",'2025 AC'!M$3:M$250)</f>
        <v>0</v>
      </c>
      <c r="AS96" s="146">
        <f>SUMIF('2025 AC'!$B$3:$B$250,"*"&amp;$D96&amp;"*",'2025 AC'!N$3:N$250)</f>
        <v>-41167.699999999997</v>
      </c>
      <c r="AT96" s="149">
        <f t="shared" si="89"/>
        <v>-41167.699999999997</v>
      </c>
      <c r="AU96" s="147">
        <f t="shared" si="90"/>
        <v>0</v>
      </c>
      <c r="AV96" s="147">
        <f t="shared" si="91"/>
        <v>0</v>
      </c>
      <c r="AW96" s="147">
        <f t="shared" si="92"/>
        <v>0</v>
      </c>
      <c r="AX96" s="147">
        <f t="shared" si="93"/>
        <v>-41167.699999999997</v>
      </c>
      <c r="AY96" s="148">
        <f t="shared" si="94"/>
        <v>-41167.699999999997</v>
      </c>
      <c r="BA96" s="145">
        <f>SUMIF('2026 AC'!$B$3:$B$254,"*"&amp;$D96&amp;"*",'2026 AC'!C$3:C$254)</f>
        <v>-40202.099999999999</v>
      </c>
      <c r="BB96" s="146">
        <f>SUMIF('2026 AC'!$B$3:$B$254,"*"&amp;$D96&amp;"*",'2026 AC'!D$3:D$254)</f>
        <v>-44444.290000000001</v>
      </c>
      <c r="BC96" s="146">
        <f>SUMIF('2026 AC'!$B$3:$B$254,"*"&amp;$D96&amp;"*",'2026 AC'!E$3:E$254)</f>
        <v>-38689.93</v>
      </c>
      <c r="BD96" s="146">
        <f>SUMIF('2026 AC'!$B$3:$B$254,"*"&amp;$D96&amp;"*",'2026 AC'!F$3:F$254)</f>
        <v>-39319.489999999998</v>
      </c>
      <c r="BE96" s="146">
        <f>SUMIF('2026 AC'!$B$3:$B$254,"*"&amp;$D96&amp;"*",'2026 AC'!G$3:G$254)</f>
        <v>-36922.050000000003</v>
      </c>
      <c r="BF96" s="146">
        <f>SUMIF('2026 AC'!$B$3:$B$254,"*"&amp;$D96&amp;"*",'2026 AC'!H$3:H$254)</f>
        <v>-35738.370000000003</v>
      </c>
      <c r="BG96" s="146">
        <f>SUMIF('2026 AC'!$B$3:$B$254,"*"&amp;$D96&amp;"*",'2026 AC'!I$3:I$254)</f>
        <v>0</v>
      </c>
      <c r="BH96" s="146">
        <f>SUMIF('2026 AC'!$B$3:$B$254,"*"&amp;$D96&amp;"*",'2026 AC'!J$3:J$254)</f>
        <v>0</v>
      </c>
      <c r="BI96" s="146">
        <f>SUMIF('2026 AC'!$B$3:$B$254,"*"&amp;$D96&amp;"*",'2026 AC'!K$3:K$254)</f>
        <v>0</v>
      </c>
      <c r="BJ96" s="146">
        <f>SUMIF('2026 AC'!$B$3:$B$254,"*"&amp;$D96&amp;"*",'2026 AC'!L$3:L$254)</f>
        <v>0</v>
      </c>
      <c r="BK96" s="146">
        <f>SUMIF('2026 AC'!$B$3:$B$254,"*"&amp;$D96&amp;"*",'2026 AC'!M$3:M$254)</f>
        <v>0</v>
      </c>
      <c r="BL96" s="147">
        <f>SUMIF('2026 AC'!$B$3:$B$254,"*"&amp;$D96&amp;"*",'2026 AC'!N$3:N$254)</f>
        <v>0</v>
      </c>
      <c r="BM96" s="148">
        <f t="shared" si="95"/>
        <v>-235316.22999999998</v>
      </c>
      <c r="BN96" s="147">
        <f t="shared" si="96"/>
        <v>-123336.32000000001</v>
      </c>
      <c r="BO96" s="147">
        <f t="shared" si="97"/>
        <v>-111979.91</v>
      </c>
      <c r="BP96" s="147">
        <f t="shared" si="98"/>
        <v>0</v>
      </c>
      <c r="BQ96" s="147">
        <f t="shared" si="99"/>
        <v>0</v>
      </c>
      <c r="BR96" s="148">
        <f t="shared" si="100"/>
        <v>-235316.23000000001</v>
      </c>
    </row>
    <row r="97" s="137" customFormat="1" ht="15" customHeight="1">
      <c r="A97" s="137" t="s">
        <v>212</v>
      </c>
      <c r="B97" s="137" t="s">
        <v>213</v>
      </c>
      <c r="C97" s="187" t="s">
        <v>214</v>
      </c>
      <c r="D97" s="139" t="s">
        <v>213</v>
      </c>
      <c r="E97" s="159">
        <f t="shared" si="117"/>
        <v>5172.21</v>
      </c>
      <c r="F97" s="141">
        <f t="shared" si="118"/>
        <v>4244.1300000000001</v>
      </c>
      <c r="G97" s="142">
        <f t="shared" ref="G97:G100" si="125">(E97-F97)/F97</f>
        <v>0.21867379180185337</v>
      </c>
      <c r="H97" s="143">
        <f t="shared" si="119"/>
        <v>12957.360000000001</v>
      </c>
      <c r="I97" s="143">
        <f t="shared" si="120"/>
        <v>11464.110000000001</v>
      </c>
      <c r="J97" s="142">
        <f t="shared" ref="J97:J100" si="126">(H97-I97)/I97</f>
        <v>0.13025433287014865</v>
      </c>
      <c r="K97" s="143">
        <f t="shared" si="122"/>
        <v>26694.510000000002</v>
      </c>
      <c r="L97" s="143">
        <f t="shared" si="123"/>
        <v>22758.68</v>
      </c>
      <c r="M97" s="144">
        <f t="shared" ref="M97:M100" si="127">(K97-L97)/L97</f>
        <v>0.17293753416278984</v>
      </c>
      <c r="O97" s="145">
        <f>SUMIF('2024 AC'!$B$3:$B$250,"*"&amp;$D97&amp;"*",'2024 AC'!C$3:C$250)</f>
        <v>2331.1700000000001</v>
      </c>
      <c r="P97" s="146">
        <f>SUMIF('2024 AC'!$B$3:$B$250,"*"&amp;$D97&amp;"*",'2024 AC'!D$3:D$250)</f>
        <v>3403.6199999999999</v>
      </c>
      <c r="Q97" s="146">
        <f>SUMIF('2024 AC'!$B$3:$B$250,"*"&amp;$D97&amp;"*",'2024 AC'!E$3:E$250)</f>
        <v>2353.1999999999998</v>
      </c>
      <c r="R97" s="146">
        <f>SUMIF('2024 AC'!$B$3:$B$250,"*"&amp;$D97&amp;"*",'2024 AC'!F$3:F$250)</f>
        <v>2047.9300000000001</v>
      </c>
      <c r="S97" s="146">
        <f>SUMIF('2024 AC'!$B$3:$B$250,"*"&amp;$D97&amp;"*",'2024 AC'!G$3:G$250)</f>
        <v>3144.9200000000001</v>
      </c>
      <c r="T97" s="146">
        <f>SUMIF('2024 AC'!$B$3:$B$250,"*"&amp;$D97&amp;"*",'2024 AC'!H$3:H$250)</f>
        <v>2642.8000000000002</v>
      </c>
      <c r="U97" s="146">
        <f>SUMIF('2024 AC'!$B$3:$B$250,"*"&amp;$D97&amp;"*",'2024 AC'!I$3:I$250)</f>
        <v>3805.5999999999999</v>
      </c>
      <c r="V97" s="146">
        <f>SUMIF('2024 AC'!$B$3:$B$250,"*"&amp;$D97&amp;"*",'2024 AC'!J$3:J$250)</f>
        <v>3858.8699999999999</v>
      </c>
      <c r="W97" s="146">
        <f>SUMIF('2024 AC'!$B$3:$B$250,"*"&amp;$D97&amp;"*",'2024 AC'!K$3:K$250)</f>
        <v>4449.8400000000001</v>
      </c>
      <c r="X97" s="146">
        <f>SUMIF('2024 AC'!$B$3:$B$250,"*"&amp;$D97&amp;"*",'2024 AC'!L$3:L$250)</f>
        <v>3181.7399999999998</v>
      </c>
      <c r="Y97" s="146">
        <f>SUMIF('2024 AC'!$B$3:$B$250,"*"&amp;$D97&amp;"*",'2024 AC'!M$3:M$250)</f>
        <v>3206.3499999999999</v>
      </c>
      <c r="Z97" s="147">
        <f>SUMIF('2024 AC'!$B$3:$B$250,"*"&amp;$D97&amp;"*",'2024 AC'!N$3:N$250)</f>
        <v>5495.4799999999996</v>
      </c>
      <c r="AA97" s="148">
        <f t="shared" si="83"/>
        <v>39921.51999999999</v>
      </c>
      <c r="AB97" s="147">
        <f t="shared" si="84"/>
        <v>8087.9899999999998</v>
      </c>
      <c r="AC97" s="147">
        <f t="shared" si="85"/>
        <v>7835.6500000000005</v>
      </c>
      <c r="AD97" s="147">
        <f t="shared" si="86"/>
        <v>12114.309999999999</v>
      </c>
      <c r="AE97" s="147">
        <f t="shared" si="87"/>
        <v>11883.57</v>
      </c>
      <c r="AF97" s="148">
        <f t="shared" si="88"/>
        <v>39921.519999999997</v>
      </c>
      <c r="AH97" s="145">
        <f>SUMIF('2025 AC'!$B$3:$B$250,"*"&amp;$D97&amp;"*",'2025 AC'!C$3:C$250)</f>
        <v>4225.9499999999998</v>
      </c>
      <c r="AI97" s="146">
        <f>SUMIF('2025 AC'!$B$3:$B$250,"*"&amp;$D97&amp;"*",'2025 AC'!D$3:D$250)</f>
        <v>4395.8599999999997</v>
      </c>
      <c r="AJ97" s="146">
        <f>SUMIF('2025 AC'!$B$3:$B$250,"*"&amp;$D97&amp;"*",'2025 AC'!E$3:E$250)</f>
        <v>2672.7600000000002</v>
      </c>
      <c r="AK97" s="146">
        <f>SUMIF('2025 AC'!$B$3:$B$250,"*"&amp;$D97&amp;"*",'2025 AC'!F$3:F$250)</f>
        <v>3932.6700000000001</v>
      </c>
      <c r="AL97" s="146">
        <f>SUMIF('2025 AC'!$B$3:$B$250,"*"&amp;$D97&amp;"*",'2025 AC'!G$3:G$250)</f>
        <v>3287.3099999999999</v>
      </c>
      <c r="AM97" s="146">
        <f>SUMIF('2025 AC'!$B$3:$B$250,"*"&amp;$D97&amp;"*",'2025 AC'!H$3:H$250)</f>
        <v>4244.1300000000001</v>
      </c>
      <c r="AN97" s="146">
        <f>SUMIF('2025 AC'!$B$3:$B$250,"*"&amp;$D97&amp;"*",'2025 AC'!I$3:I$250)</f>
        <v>3947.27</v>
      </c>
      <c r="AO97" s="146">
        <f>SUMIF('2025 AC'!$B$3:$B$250,"*"&amp;$D97&amp;"*",'2025 AC'!J$3:J$250)</f>
        <v>3718.8099999999999</v>
      </c>
      <c r="AP97" s="146">
        <f>SUMIF('2025 AC'!$B$3:$B$250,"*"&amp;$D97&amp;"*",'2025 AC'!K$3:K$250)</f>
        <v>4408.5500000000002</v>
      </c>
      <c r="AQ97" s="146">
        <f>SUMIF('2025 AC'!$B$3:$B$250,"*"&amp;$D97&amp;"*",'2025 AC'!L$3:L$250)</f>
        <v>2704.0999999999999</v>
      </c>
      <c r="AR97" s="146">
        <f>SUMIF('2025 AC'!$B$3:$B$250,"*"&amp;$D97&amp;"*",'2025 AC'!M$3:M$250)</f>
        <v>3001.02</v>
      </c>
      <c r="AS97" s="146">
        <f>SUMIF('2025 AC'!$B$3:$B$250,"*"&amp;$D97&amp;"*",'2025 AC'!N$3:N$250)</f>
        <v>5871.2600000000002</v>
      </c>
      <c r="AT97" s="149">
        <f t="shared" si="89"/>
        <v>46409.690000000002</v>
      </c>
      <c r="AU97" s="147">
        <f t="shared" si="90"/>
        <v>11294.57</v>
      </c>
      <c r="AV97" s="147">
        <f t="shared" si="91"/>
        <v>11464.110000000001</v>
      </c>
      <c r="AW97" s="147">
        <f t="shared" si="92"/>
        <v>12074.630000000001</v>
      </c>
      <c r="AX97" s="147">
        <f t="shared" si="93"/>
        <v>11576.380000000001</v>
      </c>
      <c r="AY97" s="148">
        <f t="shared" si="94"/>
        <v>46409.690000000002</v>
      </c>
      <c r="BA97" s="145">
        <f>SUMIF('2026 AC'!$B$3:$B$254,"*"&amp;$D97&amp;"*",'2026 AC'!C$3:C$254)</f>
        <v>4589.3000000000002</v>
      </c>
      <c r="BB97" s="146">
        <f>SUMIF('2026 AC'!$B$3:$B$254,"*"&amp;$D97&amp;"*",'2026 AC'!D$3:D$254)</f>
        <v>4909.8400000000001</v>
      </c>
      <c r="BC97" s="146">
        <f>SUMIF('2026 AC'!$B$3:$B$254,"*"&amp;$D97&amp;"*",'2026 AC'!E$3:E$254)</f>
        <v>4238.0100000000002</v>
      </c>
      <c r="BD97" s="146">
        <f>SUMIF('2026 AC'!$B$3:$B$254,"*"&amp;$D97&amp;"*",'2026 AC'!F$3:F$254)</f>
        <v>3901.3200000000002</v>
      </c>
      <c r="BE97" s="146">
        <f>SUMIF('2026 AC'!$B$3:$B$254,"*"&amp;$D97&amp;"*",'2026 AC'!G$3:G$254)</f>
        <v>3883.8299999999999</v>
      </c>
      <c r="BF97" s="146">
        <f>SUMIF('2026 AC'!$B$3:$B$254,"*"&amp;$D97&amp;"*",'2026 AC'!H$3:H$254)</f>
        <v>5172.21</v>
      </c>
      <c r="BG97" s="146">
        <f>SUMIF('2026 AC'!$B$3:$B$254,"*"&amp;$D97&amp;"*",'2026 AC'!I$3:I$254)</f>
        <v>0</v>
      </c>
      <c r="BH97" s="146">
        <f>SUMIF('2026 AC'!$B$3:$B$254,"*"&amp;$D97&amp;"*",'2026 AC'!J$3:J$254)</f>
        <v>0</v>
      </c>
      <c r="BI97" s="146">
        <f>SUMIF('2026 AC'!$B$3:$B$254,"*"&amp;$D97&amp;"*",'2026 AC'!K$3:K$254)</f>
        <v>0</v>
      </c>
      <c r="BJ97" s="146">
        <f>SUMIF('2026 AC'!$B$3:$B$254,"*"&amp;$D97&amp;"*",'2026 AC'!L$3:L$254)</f>
        <v>0</v>
      </c>
      <c r="BK97" s="146">
        <f>SUMIF('2026 AC'!$B$3:$B$254,"*"&amp;$D97&amp;"*",'2026 AC'!M$3:M$254)</f>
        <v>0</v>
      </c>
      <c r="BL97" s="147">
        <f>SUMIF('2026 AC'!$B$3:$B$254,"*"&amp;$D97&amp;"*",'2026 AC'!N$3:N$254)</f>
        <v>0</v>
      </c>
      <c r="BM97" s="148">
        <f t="shared" si="95"/>
        <v>26694.510000000002</v>
      </c>
      <c r="BN97" s="147">
        <f t="shared" si="96"/>
        <v>13737.15</v>
      </c>
      <c r="BO97" s="147">
        <f t="shared" si="97"/>
        <v>12957.360000000001</v>
      </c>
      <c r="BP97" s="147">
        <f t="shared" si="98"/>
        <v>0</v>
      </c>
      <c r="BQ97" s="147">
        <f t="shared" si="99"/>
        <v>0</v>
      </c>
      <c r="BR97" s="148">
        <f t="shared" si="100"/>
        <v>26694.510000000002</v>
      </c>
    </row>
    <row r="98" ht="15" customHeight="1" outlineLevel="1">
      <c r="A98" t="s">
        <v>215</v>
      </c>
      <c r="B98" t="s">
        <v>216</v>
      </c>
      <c r="C98" s="34" t="s">
        <v>217</v>
      </c>
      <c r="D98" s="35" t="s">
        <v>216</v>
      </c>
      <c r="E98" s="151">
        <f t="shared" si="117"/>
        <v>5147.7399999999998</v>
      </c>
      <c r="F98" s="152">
        <f t="shared" si="118"/>
        <v>3927.23</v>
      </c>
      <c r="G98" s="54">
        <f t="shared" si="125"/>
        <v>0.31078139044568304</v>
      </c>
      <c r="H98" s="153">
        <f t="shared" si="119"/>
        <v>12830.6</v>
      </c>
      <c r="I98" s="153">
        <f t="shared" si="120"/>
        <v>11044.299999999999</v>
      </c>
      <c r="J98" s="54">
        <f t="shared" si="126"/>
        <v>0.16173953985313702</v>
      </c>
      <c r="K98" s="153">
        <f t="shared" si="122"/>
        <v>25951.339999999997</v>
      </c>
      <c r="L98" s="153">
        <f t="shared" si="123"/>
        <v>21885.5</v>
      </c>
      <c r="M98" s="55">
        <f t="shared" si="127"/>
        <v>0.18577779808549022</v>
      </c>
      <c r="O98" s="63">
        <f>SUMIF('2024 AC'!$B$3:$B$250,"*"&amp;$D98&amp;"*",'2024 AC'!C$3:C$250)</f>
        <v>2240.75</v>
      </c>
      <c r="P98" s="53">
        <f>SUMIF('2024 AC'!$B$3:$B$250,"*"&amp;$D98&amp;"*",'2024 AC'!D$3:D$250)</f>
        <v>2544.02</v>
      </c>
      <c r="Q98" s="53">
        <f>SUMIF('2024 AC'!$B$3:$B$250,"*"&amp;$D98&amp;"*",'2024 AC'!E$3:E$250)</f>
        <v>2255.6399999999999</v>
      </c>
      <c r="R98" s="53">
        <f>SUMIF('2024 AC'!$B$3:$B$250,"*"&amp;$D98&amp;"*",'2024 AC'!F$3:F$250)</f>
        <v>1990.3599999999999</v>
      </c>
      <c r="S98" s="53">
        <f>SUMIF('2024 AC'!$B$3:$B$250,"*"&amp;$D98&amp;"*",'2024 AC'!G$3:G$250)</f>
        <v>2566.9400000000001</v>
      </c>
      <c r="T98" s="53">
        <f>SUMIF('2024 AC'!$B$3:$B$250,"*"&amp;$D98&amp;"*",'2024 AC'!H$3:H$250)</f>
        <v>2338.6900000000001</v>
      </c>
      <c r="U98" s="53">
        <f>SUMIF('2024 AC'!$B$3:$B$250,"*"&amp;$D98&amp;"*",'2024 AC'!I$3:I$250)</f>
        <v>3729.5799999999999</v>
      </c>
      <c r="V98" s="53">
        <f>SUMIF('2024 AC'!$B$3:$B$250,"*"&amp;$D98&amp;"*",'2024 AC'!J$3:J$250)</f>
        <v>3564.71</v>
      </c>
      <c r="W98" s="53">
        <f>SUMIF('2024 AC'!$B$3:$B$250,"*"&amp;$D98&amp;"*",'2024 AC'!K$3:K$250)</f>
        <v>3643.1100000000001</v>
      </c>
      <c r="X98" s="53">
        <f>SUMIF('2024 AC'!$B$3:$B$250,"*"&amp;$D98&amp;"*",'2024 AC'!L$3:L$250)</f>
        <v>2742.6300000000001</v>
      </c>
      <c r="Y98" s="53">
        <f>SUMIF('2024 AC'!$B$3:$B$250,"*"&amp;$D98&amp;"*",'2024 AC'!M$3:M$250)</f>
        <v>3090.5999999999999</v>
      </c>
      <c r="Z98" s="93">
        <f>SUMIF('2024 AC'!$B$3:$B$250,"*"&amp;$D98&amp;"*",'2024 AC'!N$3:N$250)</f>
        <v>5282.1700000000001</v>
      </c>
      <c r="AA98" s="92">
        <f t="shared" si="83"/>
        <v>35989.200000000004</v>
      </c>
      <c r="AB98" s="93">
        <f t="shared" si="84"/>
        <v>7040.4099999999999</v>
      </c>
      <c r="AC98" s="93">
        <f t="shared" si="85"/>
        <v>6895.9899999999998</v>
      </c>
      <c r="AD98" s="93">
        <f t="shared" si="86"/>
        <v>10937.4</v>
      </c>
      <c r="AE98" s="93">
        <f t="shared" si="87"/>
        <v>11115.4</v>
      </c>
      <c r="AF98" s="92">
        <f t="shared" si="88"/>
        <v>35989.199999999997</v>
      </c>
      <c r="AH98" s="63">
        <f>SUMIF('2025 AC'!$B$3:$B$250,"*"&amp;$D98&amp;"*",'2025 AC'!C$3:C$250)</f>
        <v>3995.1300000000001</v>
      </c>
      <c r="AI98" s="53">
        <f>SUMIF('2025 AC'!$B$3:$B$250,"*"&amp;$D98&amp;"*",'2025 AC'!D$3:D$250)</f>
        <v>4316.3400000000001</v>
      </c>
      <c r="AJ98" s="53">
        <f>SUMIF('2025 AC'!$B$3:$B$250,"*"&amp;$D98&amp;"*",'2025 AC'!E$3:E$250)</f>
        <v>2529.73</v>
      </c>
      <c r="AK98" s="53">
        <f>SUMIF('2025 AC'!$B$3:$B$250,"*"&amp;$D98&amp;"*",'2025 AC'!F$3:F$250)</f>
        <v>3889.4699999999998</v>
      </c>
      <c r="AL98" s="53">
        <f>SUMIF('2025 AC'!$B$3:$B$250,"*"&amp;$D98&amp;"*",'2025 AC'!G$3:G$250)</f>
        <v>3227.5999999999999</v>
      </c>
      <c r="AM98" s="53">
        <f>SUMIF('2025 AC'!$B$3:$B$250,"*"&amp;$D98&amp;"*",'2025 AC'!H$3:H$250)</f>
        <v>3927.23</v>
      </c>
      <c r="AN98" s="53">
        <f>SUMIF('2025 AC'!$B$3:$B$250,"*"&amp;$D98&amp;"*",'2025 AC'!I$3:I$250)</f>
        <v>3428.73</v>
      </c>
      <c r="AO98" s="53">
        <f>SUMIF('2025 AC'!$B$3:$B$250,"*"&amp;$D98&amp;"*",'2025 AC'!J$3:J$250)</f>
        <v>3693.71</v>
      </c>
      <c r="AP98" s="53">
        <f>SUMIF('2025 AC'!$B$3:$B$250,"*"&amp;$D98&amp;"*",'2025 AC'!K$3:K$250)</f>
        <v>4229.1999999999998</v>
      </c>
      <c r="AQ98" s="53">
        <f>SUMIF('2025 AC'!$B$3:$B$250,"*"&amp;$D98&amp;"*",'2025 AC'!L$3:L$250)</f>
        <v>2687.9200000000001</v>
      </c>
      <c r="AR98" s="53">
        <f>SUMIF('2025 AC'!$B$3:$B$250,"*"&amp;$D98&amp;"*",'2025 AC'!M$3:M$250)</f>
        <v>2451.5300000000002</v>
      </c>
      <c r="AS98" s="53">
        <f>SUMIF('2025 AC'!$B$3:$B$250,"*"&amp;$D98&amp;"*",'2025 AC'!N$3:N$250)</f>
        <v>5722.1899999999996</v>
      </c>
      <c r="AT98" s="94">
        <f t="shared" si="89"/>
        <v>44098.779999999999</v>
      </c>
      <c r="AU98" s="93">
        <f t="shared" si="90"/>
        <v>10841.200000000001</v>
      </c>
      <c r="AV98" s="93">
        <f t="shared" si="91"/>
        <v>11044.299999999999</v>
      </c>
      <c r="AW98" s="93">
        <f t="shared" si="92"/>
        <v>11351.639999999999</v>
      </c>
      <c r="AX98" s="93">
        <f t="shared" si="93"/>
        <v>10861.639999999999</v>
      </c>
      <c r="AY98" s="92">
        <f t="shared" si="94"/>
        <v>44098.779999999999</v>
      </c>
      <c r="BA98" s="63">
        <f>SUMIF('2026 AC'!$B$3:$B$254,"*"&amp;$D98&amp;"*",'2026 AC'!C$3:C$254)</f>
        <v>4370.5500000000002</v>
      </c>
      <c r="BB98" s="53">
        <f>SUMIF('2026 AC'!$B$3:$B$254,"*"&amp;$D98&amp;"*",'2026 AC'!D$3:D$254)</f>
        <v>4834.21</v>
      </c>
      <c r="BC98" s="53">
        <f>SUMIF('2026 AC'!$B$3:$B$254,"*"&amp;$D98&amp;"*",'2026 AC'!E$3:E$254)</f>
        <v>3915.98</v>
      </c>
      <c r="BD98" s="53">
        <f>SUMIF('2026 AC'!$B$3:$B$254,"*"&amp;$D98&amp;"*",'2026 AC'!F$3:F$254)</f>
        <v>3820.4000000000001</v>
      </c>
      <c r="BE98" s="53">
        <f>SUMIF('2026 AC'!$B$3:$B$254,"*"&amp;$D98&amp;"*",'2026 AC'!G$3:G$254)</f>
        <v>3862.46</v>
      </c>
      <c r="BF98" s="53">
        <f>SUMIF('2026 AC'!$B$3:$B$254,"*"&amp;$D98&amp;"*",'2026 AC'!H$3:H$254)</f>
        <v>5147.7399999999998</v>
      </c>
      <c r="BG98" s="53">
        <f>SUMIF('2026 AC'!$B$3:$B$254,"*"&amp;$D98&amp;"*",'2026 AC'!I$3:I$254)</f>
        <v>0</v>
      </c>
      <c r="BH98" s="53">
        <f>SUMIF('2026 AC'!$B$3:$B$254,"*"&amp;$D98&amp;"*",'2026 AC'!J$3:J$254)</f>
        <v>0</v>
      </c>
      <c r="BI98" s="53">
        <f>SUMIF('2026 AC'!$B$3:$B$254,"*"&amp;$D98&amp;"*",'2026 AC'!K$3:K$254)</f>
        <v>0</v>
      </c>
      <c r="BJ98" s="53">
        <f>SUMIF('2026 AC'!$B$3:$B$254,"*"&amp;$D98&amp;"*",'2026 AC'!L$3:L$254)</f>
        <v>0</v>
      </c>
      <c r="BK98" s="53">
        <f>SUMIF('2026 AC'!$B$3:$B$254,"*"&amp;$D98&amp;"*",'2026 AC'!M$3:M$254)</f>
        <v>0</v>
      </c>
      <c r="BL98" s="93">
        <f>SUMIF('2026 AC'!$B$3:$B$254,"*"&amp;$D98&amp;"*",'2026 AC'!N$3:N$254)</f>
        <v>0</v>
      </c>
      <c r="BM98" s="92">
        <f t="shared" si="95"/>
        <v>25951.339999999997</v>
      </c>
      <c r="BN98" s="93">
        <f t="shared" si="96"/>
        <v>13120.74</v>
      </c>
      <c r="BO98" s="93">
        <f t="shared" si="97"/>
        <v>12830.6</v>
      </c>
      <c r="BP98" s="93">
        <f t="shared" si="98"/>
        <v>0</v>
      </c>
      <c r="BQ98" s="93">
        <f t="shared" si="99"/>
        <v>0</v>
      </c>
      <c r="BR98" s="92">
        <f t="shared" si="100"/>
        <v>25951.34</v>
      </c>
    </row>
    <row r="99" ht="15" customHeight="1" outlineLevel="1">
      <c r="A99" t="s">
        <v>218</v>
      </c>
      <c r="B99" t="s">
        <v>219</v>
      </c>
      <c r="C99" s="34" t="s">
        <v>220</v>
      </c>
      <c r="D99" s="35" t="s">
        <v>219</v>
      </c>
      <c r="E99" s="151">
        <f t="shared" si="117"/>
        <v>7</v>
      </c>
      <c r="F99" s="152">
        <f t="shared" si="118"/>
        <v>46.079999999999998</v>
      </c>
      <c r="G99" s="154">
        <f>IFERROR((E99-F99)/F99,1)</f>
        <v>-0.84809027777777779</v>
      </c>
      <c r="H99" s="153">
        <f t="shared" si="119"/>
        <v>86.069999999999993</v>
      </c>
      <c r="I99" s="153">
        <f t="shared" si="120"/>
        <v>116.34999999999999</v>
      </c>
      <c r="J99" s="54">
        <f t="shared" si="126"/>
        <v>-0.26024924795874521</v>
      </c>
      <c r="K99" s="153">
        <f t="shared" si="122"/>
        <v>659.50999999999999</v>
      </c>
      <c r="L99" s="153">
        <f t="shared" si="123"/>
        <v>380.26999999999992</v>
      </c>
      <c r="M99" s="55">
        <f t="shared" si="127"/>
        <v>0.73432035132931894</v>
      </c>
      <c r="O99" s="63">
        <f>SUMIF('2024 AC'!$B$3:$B$250,"*"&amp;$D99&amp;"*",'2024 AC'!C$3:C$250)</f>
        <v>62</v>
      </c>
      <c r="P99" s="53">
        <f>SUMIF('2024 AC'!$B$3:$B$250,"*"&amp;$D99&amp;"*",'2024 AC'!D$3:D$250)</f>
        <v>748.91999999999996</v>
      </c>
      <c r="Q99" s="53">
        <f>SUMIF('2024 AC'!$B$3:$B$250,"*"&amp;$D99&amp;"*",'2024 AC'!E$3:E$250)</f>
        <v>38.630000000000003</v>
      </c>
      <c r="R99" s="53">
        <f>SUMIF('2024 AC'!$B$3:$B$250,"*"&amp;$D99&amp;"*",'2024 AC'!F$3:F$250)</f>
        <v>46.049999999999997</v>
      </c>
      <c r="S99" s="53">
        <f>SUMIF('2024 AC'!$B$3:$B$250,"*"&amp;$D99&amp;"*",'2024 AC'!G$3:G$250)</f>
        <v>466.44999999999999</v>
      </c>
      <c r="T99" s="53">
        <f>SUMIF('2024 AC'!$B$3:$B$250,"*"&amp;$D99&amp;"*",'2024 AC'!H$3:H$250)</f>
        <v>88.870000000000005</v>
      </c>
      <c r="U99" s="53">
        <f>SUMIF('2024 AC'!$B$3:$B$250,"*"&amp;$D99&amp;"*",'2024 AC'!I$3:I$250)</f>
        <v>62.020000000000003</v>
      </c>
      <c r="V99" s="53">
        <f>SUMIF('2024 AC'!$B$3:$B$250,"*"&amp;$D99&amp;"*",'2024 AC'!J$3:J$250)</f>
        <v>230.09</v>
      </c>
      <c r="W99" s="53">
        <f>SUMIF('2024 AC'!$B$3:$B$250,"*"&amp;$D99&amp;"*",'2024 AC'!K$3:K$250)</f>
        <v>64.609999999999999</v>
      </c>
      <c r="X99" s="53">
        <f>SUMIF('2024 AC'!$B$3:$B$250,"*"&amp;$D99&amp;"*",'2024 AC'!L$3:L$250)</f>
        <v>64.900000000000006</v>
      </c>
      <c r="Y99" s="53">
        <f>SUMIF('2024 AC'!$B$3:$B$250,"*"&amp;$D99&amp;"*",'2024 AC'!M$3:M$250)</f>
        <v>78.370000000000005</v>
      </c>
      <c r="Z99" s="93">
        <f>SUMIF('2024 AC'!$B$3:$B$250,"*"&amp;$D99&amp;"*",'2024 AC'!N$3:N$250)</f>
        <v>189.61000000000001</v>
      </c>
      <c r="AA99" s="92">
        <f t="shared" si="83"/>
        <v>2140.52</v>
      </c>
      <c r="AB99" s="93">
        <f t="shared" si="84"/>
        <v>849.54999999999995</v>
      </c>
      <c r="AC99" s="93">
        <f t="shared" si="85"/>
        <v>601.37</v>
      </c>
      <c r="AD99" s="93">
        <f t="shared" si="86"/>
        <v>356.72000000000003</v>
      </c>
      <c r="AE99" s="93">
        <f t="shared" si="87"/>
        <v>332.88</v>
      </c>
      <c r="AF99" s="92">
        <f t="shared" si="88"/>
        <v>2140.52</v>
      </c>
      <c r="AH99" s="63">
        <f>SUMIF('2025 AC'!$B$3:$B$250,"*"&amp;$D99&amp;"*",'2025 AC'!C$3:C$250)</f>
        <v>203.66999999999999</v>
      </c>
      <c r="AI99" s="53">
        <f>SUMIF('2025 AC'!$B$3:$B$250,"*"&amp;$D99&amp;"*",'2025 AC'!D$3:D$250)</f>
        <v>60.25</v>
      </c>
      <c r="AJ99" s="53">
        <f>SUMIF('2025 AC'!$B$3:$B$250,"*"&amp;$D99&amp;"*",'2025 AC'!E$3:E$250)</f>
        <v>0</v>
      </c>
      <c r="AK99" s="53">
        <f>SUMIF('2025 AC'!$B$3:$B$250,"*"&amp;$D99&amp;"*",'2025 AC'!F$3:F$250)</f>
        <v>26.870000000000001</v>
      </c>
      <c r="AL99" s="53">
        <f>SUMIF('2025 AC'!$B$3:$B$250,"*"&amp;$D99&amp;"*",'2025 AC'!G$3:G$250)</f>
        <v>43.399999999999999</v>
      </c>
      <c r="AM99" s="53">
        <f>SUMIF('2025 AC'!$B$3:$B$250,"*"&amp;$D99&amp;"*",'2025 AC'!H$3:H$250)</f>
        <v>46.079999999999998</v>
      </c>
      <c r="AN99" s="53">
        <f>SUMIF('2025 AC'!$B$3:$B$250,"*"&amp;$D99&amp;"*",'2025 AC'!I$3:I$250)</f>
        <v>0</v>
      </c>
      <c r="AO99" s="53">
        <f>SUMIF('2025 AC'!$B$3:$B$250,"*"&amp;$D99&amp;"*",'2025 AC'!J$3:J$250)</f>
        <v>7.5199999999999996</v>
      </c>
      <c r="AP99" s="53">
        <f>SUMIF('2025 AC'!$B$3:$B$250,"*"&amp;$D99&amp;"*",'2025 AC'!K$3:K$250)</f>
        <v>22.620000000000001</v>
      </c>
      <c r="AQ99" s="53">
        <f>SUMIF('2025 AC'!$B$3:$B$250,"*"&amp;$D99&amp;"*",'2025 AC'!L$3:L$250)</f>
        <v>6.7699999999999996</v>
      </c>
      <c r="AR99" s="53">
        <f>SUMIF('2025 AC'!$B$3:$B$250,"*"&amp;$D99&amp;"*",'2025 AC'!M$3:M$250)</f>
        <v>67.549999999999997</v>
      </c>
      <c r="AS99" s="53">
        <f>SUMIF('2025 AC'!$B$3:$B$250,"*"&amp;$D99&amp;"*",'2025 AC'!N$3:N$250)</f>
        <v>128.55000000000001</v>
      </c>
      <c r="AT99" s="94">
        <f t="shared" si="89"/>
        <v>613.27999999999997</v>
      </c>
      <c r="AU99" s="93">
        <f t="shared" si="90"/>
        <v>263.91999999999996</v>
      </c>
      <c r="AV99" s="93">
        <f t="shared" si="91"/>
        <v>116.34999999999999</v>
      </c>
      <c r="AW99" s="93">
        <f t="shared" si="92"/>
        <v>30.140000000000001</v>
      </c>
      <c r="AX99" s="93">
        <f t="shared" si="93"/>
        <v>202.87</v>
      </c>
      <c r="AY99" s="92">
        <f t="shared" si="94"/>
        <v>613.27999999999997</v>
      </c>
      <c r="BA99" s="63">
        <f>SUMIF('2026 AC'!$B$3:$B$254,"*"&amp;$D99&amp;"*",'2026 AC'!C$3:C$254)</f>
        <v>209.13</v>
      </c>
      <c r="BB99" s="53">
        <f>SUMIF('2026 AC'!$B$3:$B$254,"*"&amp;$D99&amp;"*",'2026 AC'!D$3:D$254)</f>
        <v>64.75</v>
      </c>
      <c r="BC99" s="53">
        <f>SUMIF('2026 AC'!$B$3:$B$254,"*"&amp;$D99&amp;"*",'2026 AC'!E$3:E$254)</f>
        <v>299.56</v>
      </c>
      <c r="BD99" s="53">
        <f>SUMIF('2026 AC'!$B$3:$B$254,"*"&amp;$D99&amp;"*",'2026 AC'!F$3:F$254)</f>
        <v>65.069999999999993</v>
      </c>
      <c r="BE99" s="53">
        <f>SUMIF('2026 AC'!$B$3:$B$254,"*"&amp;$D99&amp;"*",'2026 AC'!G$3:G$254)</f>
        <v>14</v>
      </c>
      <c r="BF99" s="53">
        <f>SUMIF('2026 AC'!$B$3:$B$254,"*"&amp;$D99&amp;"*",'2026 AC'!H$3:H$254)</f>
        <v>7</v>
      </c>
      <c r="BG99" s="53">
        <f>SUMIF('2026 AC'!$B$3:$B$254,"*"&amp;$D99&amp;"*",'2026 AC'!I$3:I$254)</f>
        <v>0</v>
      </c>
      <c r="BH99" s="53">
        <f>SUMIF('2026 AC'!$B$3:$B$254,"*"&amp;$D99&amp;"*",'2026 AC'!J$3:J$254)</f>
        <v>0</v>
      </c>
      <c r="BI99" s="53">
        <f>SUMIF('2026 AC'!$B$3:$B$254,"*"&amp;$D99&amp;"*",'2026 AC'!K$3:K$254)</f>
        <v>0</v>
      </c>
      <c r="BJ99" s="53">
        <f>SUMIF('2026 AC'!$B$3:$B$254,"*"&amp;$D99&amp;"*",'2026 AC'!L$3:L$254)</f>
        <v>0</v>
      </c>
      <c r="BK99" s="53">
        <f>SUMIF('2026 AC'!$B$3:$B$254,"*"&amp;$D99&amp;"*",'2026 AC'!M$3:M$254)</f>
        <v>0</v>
      </c>
      <c r="BL99" s="93">
        <f>SUMIF('2026 AC'!$B$3:$B$254,"*"&amp;$D99&amp;"*",'2026 AC'!N$3:N$254)</f>
        <v>0</v>
      </c>
      <c r="BM99" s="92">
        <f t="shared" si="95"/>
        <v>659.50999999999999</v>
      </c>
      <c r="BN99" s="93">
        <f t="shared" si="96"/>
        <v>573.44000000000005</v>
      </c>
      <c r="BO99" s="93">
        <f t="shared" si="97"/>
        <v>86.069999999999993</v>
      </c>
      <c r="BP99" s="93">
        <f t="shared" si="98"/>
        <v>0</v>
      </c>
      <c r="BQ99" s="93">
        <f t="shared" si="99"/>
        <v>0</v>
      </c>
      <c r="BR99" s="92">
        <f t="shared" si="100"/>
        <v>659.50999999999999</v>
      </c>
    </row>
    <row r="100" ht="15" customHeight="1" outlineLevel="1">
      <c r="A100" t="s">
        <v>221</v>
      </c>
      <c r="B100" t="s">
        <v>222</v>
      </c>
      <c r="C100" s="34" t="s">
        <v>223</v>
      </c>
      <c r="D100" s="35" t="s">
        <v>222</v>
      </c>
      <c r="E100" s="151">
        <f t="shared" si="117"/>
        <v>17.469999999999999</v>
      </c>
      <c r="F100" s="152">
        <f t="shared" si="118"/>
        <v>15.75</v>
      </c>
      <c r="G100" s="54">
        <f t="shared" si="125"/>
        <v>0.10920634920634914</v>
      </c>
      <c r="H100" s="153">
        <f t="shared" si="119"/>
        <v>40.689999999999998</v>
      </c>
      <c r="I100" s="153">
        <f t="shared" si="120"/>
        <v>48.390000000000001</v>
      </c>
      <c r="J100" s="54">
        <f t="shared" si="126"/>
        <v>-0.15912378590617901</v>
      </c>
      <c r="K100" s="153">
        <f t="shared" si="122"/>
        <v>83.659999999999997</v>
      </c>
      <c r="L100" s="153">
        <f t="shared" si="123"/>
        <v>117.84</v>
      </c>
      <c r="M100" s="55">
        <f t="shared" si="127"/>
        <v>-0.29005431093007472</v>
      </c>
      <c r="O100" s="63">
        <f>SUMIF('2024 AC'!$B$3:$B$250,"*"&amp;$D100&amp;"*",'2024 AC'!C$3:C$250)</f>
        <v>28.420000000000002</v>
      </c>
      <c r="P100" s="53">
        <f>SUMIF('2024 AC'!$B$3:$B$250,"*"&amp;$D100&amp;"*",'2024 AC'!D$3:D$250)</f>
        <v>18.059999999999999</v>
      </c>
      <c r="Q100" s="53">
        <f>SUMIF('2024 AC'!$B$3:$B$250,"*"&amp;$D100&amp;"*",'2024 AC'!E$3:E$250)</f>
        <v>13.15</v>
      </c>
      <c r="R100" s="53">
        <f>SUMIF('2024 AC'!$B$3:$B$250,"*"&amp;$D100&amp;"*",'2024 AC'!F$3:F$250)</f>
        <v>11.52</v>
      </c>
      <c r="S100" s="53">
        <f>SUMIF('2024 AC'!$B$3:$B$250,"*"&amp;$D100&amp;"*",'2024 AC'!G$3:G$250)</f>
        <v>18.559999999999999</v>
      </c>
      <c r="T100" s="53">
        <f>SUMIF('2024 AC'!$B$3:$B$250,"*"&amp;$D100&amp;"*",'2024 AC'!H$3:H$250)</f>
        <v>13.970000000000001</v>
      </c>
      <c r="U100" s="53">
        <f>SUMIF('2024 AC'!$B$3:$B$250,"*"&amp;$D100&amp;"*",'2024 AC'!I$3:I$250)</f>
        <v>14</v>
      </c>
      <c r="V100" s="53">
        <f>SUMIF('2024 AC'!$B$3:$B$250,"*"&amp;$D100&amp;"*",'2024 AC'!J$3:J$250)</f>
        <v>20.210000000000001</v>
      </c>
      <c r="W100" s="53">
        <f>SUMIF('2024 AC'!$B$3:$B$250,"*"&amp;$D100&amp;"*",'2024 AC'!K$3:K$250)</f>
        <v>9.9600000000000009</v>
      </c>
      <c r="X100" s="53">
        <f>SUMIF('2024 AC'!$B$3:$B$250,"*"&amp;$D100&amp;"*",'2024 AC'!L$3:L$250)</f>
        <v>7.8099999999999996</v>
      </c>
      <c r="Y100" s="53">
        <f>SUMIF('2024 AC'!$B$3:$B$250,"*"&amp;$D100&amp;"*",'2024 AC'!M$3:M$250)</f>
        <v>29.390000000000001</v>
      </c>
      <c r="Z100" s="93">
        <f>SUMIF('2024 AC'!$B$3:$B$250,"*"&amp;$D100&amp;"*",'2024 AC'!N$3:N$250)</f>
        <v>23.699999999999999</v>
      </c>
      <c r="AA100" s="92">
        <f t="shared" si="83"/>
        <v>208.75</v>
      </c>
      <c r="AB100" s="93">
        <f t="shared" si="84"/>
        <v>59.630000000000003</v>
      </c>
      <c r="AC100" s="93">
        <f t="shared" si="85"/>
        <v>44.049999999999997</v>
      </c>
      <c r="AD100" s="93">
        <f t="shared" si="86"/>
        <v>44.170000000000002</v>
      </c>
      <c r="AE100" s="93">
        <f t="shared" si="87"/>
        <v>60.900000000000006</v>
      </c>
      <c r="AF100" s="92">
        <f t="shared" si="88"/>
        <v>208.75000000000003</v>
      </c>
      <c r="AH100" s="63">
        <f>SUMIF('2025 AC'!$B$3:$B$250,"*"&amp;$D100&amp;"*",'2025 AC'!C$3:C$250)</f>
        <v>27.149999999999999</v>
      </c>
      <c r="AI100" s="53">
        <f>SUMIF('2025 AC'!$B$3:$B$250,"*"&amp;$D100&amp;"*",'2025 AC'!D$3:D$250)</f>
        <v>19.27</v>
      </c>
      <c r="AJ100" s="53">
        <f>SUMIF('2025 AC'!$B$3:$B$250,"*"&amp;$D100&amp;"*",'2025 AC'!E$3:E$250)</f>
        <v>23.030000000000001</v>
      </c>
      <c r="AK100" s="53">
        <f>SUMIF('2025 AC'!$B$3:$B$250,"*"&amp;$D100&amp;"*",'2025 AC'!F$3:F$250)</f>
        <v>16.329999999999998</v>
      </c>
      <c r="AL100" s="53">
        <f>SUMIF('2025 AC'!$B$3:$B$250,"*"&amp;$D100&amp;"*",'2025 AC'!G$3:G$250)</f>
        <v>16.309999999999999</v>
      </c>
      <c r="AM100" s="53">
        <f>SUMIF('2025 AC'!$B$3:$B$250,"*"&amp;$D100&amp;"*",'2025 AC'!H$3:H$250)</f>
        <v>15.75</v>
      </c>
      <c r="AN100" s="53">
        <f>SUMIF('2025 AC'!$B$3:$B$250,"*"&amp;$D100&amp;"*",'2025 AC'!I$3:I$250)</f>
        <v>14.460000000000001</v>
      </c>
      <c r="AO100" s="53">
        <f>SUMIF('2025 AC'!$B$3:$B$250,"*"&amp;$D100&amp;"*",'2025 AC'!J$3:J$250)</f>
        <v>17.579999999999998</v>
      </c>
      <c r="AP100" s="53">
        <f>SUMIF('2025 AC'!$B$3:$B$250,"*"&amp;$D100&amp;"*",'2025 AC'!K$3:K$250)</f>
        <v>15.93</v>
      </c>
      <c r="AQ100" s="53">
        <f>SUMIF('2025 AC'!$B$3:$B$250,"*"&amp;$D100&amp;"*",'2025 AC'!L$3:L$250)</f>
        <v>9.4100000000000001</v>
      </c>
      <c r="AR100" s="53">
        <f>SUMIF('2025 AC'!$B$3:$B$250,"*"&amp;$D100&amp;"*",'2025 AC'!M$3:M$250)</f>
        <v>19.120000000000001</v>
      </c>
      <c r="AS100" s="53">
        <f>SUMIF('2025 AC'!$B$3:$B$250,"*"&amp;$D100&amp;"*",'2025 AC'!N$3:N$250)</f>
        <v>20.52</v>
      </c>
      <c r="AT100" s="94">
        <f t="shared" si="89"/>
        <v>214.86000000000001</v>
      </c>
      <c r="AU100" s="93">
        <f t="shared" si="90"/>
        <v>69.450000000000003</v>
      </c>
      <c r="AV100" s="93">
        <f t="shared" si="91"/>
        <v>48.390000000000001</v>
      </c>
      <c r="AW100" s="93">
        <f t="shared" si="92"/>
        <v>47.969999999999999</v>
      </c>
      <c r="AX100" s="93">
        <f t="shared" si="93"/>
        <v>49.049999999999997</v>
      </c>
      <c r="AY100" s="92">
        <f t="shared" si="94"/>
        <v>214.86000000000001</v>
      </c>
      <c r="BA100" s="63">
        <f>SUMIF('2026 AC'!$B$3:$B$254,"*"&amp;$D100&amp;"*",'2026 AC'!C$3:C$254)</f>
        <v>9.6199999999999992</v>
      </c>
      <c r="BB100" s="53">
        <f>SUMIF('2026 AC'!$B$3:$B$254,"*"&amp;$D100&amp;"*",'2026 AC'!D$3:D$254)</f>
        <v>10.880000000000001</v>
      </c>
      <c r="BC100" s="53">
        <f>SUMIF('2026 AC'!$B$3:$B$254,"*"&amp;$D100&amp;"*",'2026 AC'!E$3:E$254)</f>
        <v>22.469999999999999</v>
      </c>
      <c r="BD100" s="53">
        <f>SUMIF('2026 AC'!$B$3:$B$254,"*"&amp;$D100&amp;"*",'2026 AC'!F$3:F$254)</f>
        <v>15.85</v>
      </c>
      <c r="BE100" s="53">
        <f>SUMIF('2026 AC'!$B$3:$B$254,"*"&amp;$D100&amp;"*",'2026 AC'!G$3:G$254)</f>
        <v>7.3700000000000001</v>
      </c>
      <c r="BF100" s="53">
        <f>SUMIF('2026 AC'!$B$3:$B$254,"*"&amp;$D100&amp;"*",'2026 AC'!H$3:H$254)</f>
        <v>17.469999999999999</v>
      </c>
      <c r="BG100" s="53">
        <f>SUMIF('2026 AC'!$B$3:$B$254,"*"&amp;$D100&amp;"*",'2026 AC'!I$3:I$254)</f>
        <v>0</v>
      </c>
      <c r="BH100" s="53">
        <f>SUMIF('2026 AC'!$B$3:$B$254,"*"&amp;$D100&amp;"*",'2026 AC'!J$3:J$254)</f>
        <v>0</v>
      </c>
      <c r="BI100" s="53">
        <f>SUMIF('2026 AC'!$B$3:$B$254,"*"&amp;$D100&amp;"*",'2026 AC'!K$3:K$254)</f>
        <v>0</v>
      </c>
      <c r="BJ100" s="53">
        <f>SUMIF('2026 AC'!$B$3:$B$254,"*"&amp;$D100&amp;"*",'2026 AC'!L$3:L$254)</f>
        <v>0</v>
      </c>
      <c r="BK100" s="53">
        <f>SUMIF('2026 AC'!$B$3:$B$254,"*"&amp;$D100&amp;"*",'2026 AC'!M$3:M$254)</f>
        <v>0</v>
      </c>
      <c r="BL100" s="93">
        <f>SUMIF('2026 AC'!$B$3:$B$254,"*"&amp;$D100&amp;"*",'2026 AC'!N$3:N$254)</f>
        <v>0</v>
      </c>
      <c r="BM100" s="92">
        <f t="shared" si="95"/>
        <v>83.659999999999997</v>
      </c>
      <c r="BN100" s="93">
        <f t="shared" si="96"/>
        <v>42.969999999999999</v>
      </c>
      <c r="BO100" s="93">
        <f t="shared" si="97"/>
        <v>40.689999999999998</v>
      </c>
      <c r="BP100" s="93">
        <f t="shared" si="98"/>
        <v>0</v>
      </c>
      <c r="BQ100" s="93">
        <f t="shared" si="99"/>
        <v>0</v>
      </c>
      <c r="BR100" s="92">
        <f t="shared" si="100"/>
        <v>83.659999999999997</v>
      </c>
    </row>
    <row r="101" ht="15" customHeight="1" outlineLevel="1">
      <c r="A101" t="s">
        <v>224</v>
      </c>
      <c r="B101" t="s">
        <v>225</v>
      </c>
      <c r="C101" s="34" t="s">
        <v>226</v>
      </c>
      <c r="D101" s="35" t="s">
        <v>225</v>
      </c>
      <c r="E101" s="151">
        <f t="shared" si="117"/>
        <v>0</v>
      </c>
      <c r="F101" s="152">
        <f t="shared" si="118"/>
        <v>0</v>
      </c>
      <c r="G101" s="154">
        <f>IFERROR((E101-F101)/F101,0)</f>
        <v>0</v>
      </c>
      <c r="H101" s="153">
        <f t="shared" si="119"/>
        <v>0</v>
      </c>
      <c r="I101" s="153">
        <f t="shared" si="120"/>
        <v>0</v>
      </c>
      <c r="J101" s="154">
        <f>IFERROR((H101-I101)/I101,0)</f>
        <v>0</v>
      </c>
      <c r="K101" s="153">
        <f t="shared" si="122"/>
        <v>0</v>
      </c>
      <c r="L101" s="153">
        <f t="shared" si="123"/>
        <v>0</v>
      </c>
      <c r="M101" s="155">
        <f>IFERROR((K101-L101)/L101,0)</f>
        <v>0</v>
      </c>
      <c r="O101" s="63">
        <f>SUMIF('2024 AC'!$B$3:$B$250,"*"&amp;$D101&amp;"*",'2024 AC'!C$3:C$250)</f>
        <v>0</v>
      </c>
      <c r="P101" s="53">
        <f>SUMIF('2024 AC'!$B$3:$B$250,"*"&amp;$D101&amp;"*",'2024 AC'!D$3:D$250)</f>
        <v>92.620000000000005</v>
      </c>
      <c r="Q101" s="53">
        <f>SUMIF('2024 AC'!$B$3:$B$250,"*"&amp;$D101&amp;"*",'2024 AC'!E$3:E$250)</f>
        <v>45.780000000000001</v>
      </c>
      <c r="R101" s="53">
        <f>SUMIF('2024 AC'!$B$3:$B$250,"*"&amp;$D101&amp;"*",'2024 AC'!F$3:F$250)</f>
        <v>0</v>
      </c>
      <c r="S101" s="53">
        <f>SUMIF('2024 AC'!$B$3:$B$250,"*"&amp;$D101&amp;"*",'2024 AC'!G$3:G$250)</f>
        <v>92.969999999999999</v>
      </c>
      <c r="T101" s="53">
        <f>SUMIF('2024 AC'!$B$3:$B$250,"*"&amp;$D101&amp;"*",'2024 AC'!H$3:H$250)</f>
        <v>90.069999999999993</v>
      </c>
      <c r="U101" s="53">
        <f>SUMIF('2024 AC'!$B$3:$B$250,"*"&amp;$D101&amp;"*",'2024 AC'!I$3:I$250)</f>
        <v>0</v>
      </c>
      <c r="V101" s="53">
        <f>SUMIF('2024 AC'!$B$3:$B$250,"*"&amp;$D101&amp;"*",'2024 AC'!J$3:J$250)</f>
        <v>43.859999999999999</v>
      </c>
      <c r="W101" s="53">
        <f>SUMIF('2024 AC'!$B$3:$B$250,"*"&amp;$D101&amp;"*",'2024 AC'!K$3:K$250)</f>
        <v>0</v>
      </c>
      <c r="X101" s="53">
        <f>SUMIF('2024 AC'!$B$3:$B$250,"*"&amp;$D101&amp;"*",'2024 AC'!L$3:L$250)</f>
        <v>0</v>
      </c>
      <c r="Y101" s="53">
        <f>SUMIF('2024 AC'!$B$3:$B$250,"*"&amp;$D101&amp;"*",'2024 AC'!M$3:M$250)</f>
        <v>0</v>
      </c>
      <c r="Z101" s="93">
        <f>SUMIF('2024 AC'!$B$3:$B$250,"*"&amp;$D101&amp;"*",'2024 AC'!N$3:N$250)</f>
        <v>0</v>
      </c>
      <c r="AA101" s="92">
        <f t="shared" si="83"/>
        <v>365.30000000000001</v>
      </c>
      <c r="AB101" s="93">
        <f t="shared" si="84"/>
        <v>138.40000000000001</v>
      </c>
      <c r="AC101" s="93">
        <f t="shared" si="85"/>
        <v>183.03999999999999</v>
      </c>
      <c r="AD101" s="93">
        <f t="shared" si="86"/>
        <v>43.859999999999999</v>
      </c>
      <c r="AE101" s="93">
        <f t="shared" si="87"/>
        <v>0</v>
      </c>
      <c r="AF101" s="92">
        <f t="shared" si="88"/>
        <v>365.30000000000001</v>
      </c>
      <c r="AH101" s="63">
        <f>SUMIF('2025 AC'!$B$3:$B$250,"*"&amp;$D101&amp;"*",'2025 AC'!C$3:C$250)</f>
        <v>0</v>
      </c>
      <c r="AI101" s="53">
        <f>SUMIF('2025 AC'!$B$3:$B$250,"*"&amp;$D101&amp;"*",'2025 AC'!D$3:D$250)</f>
        <v>0</v>
      </c>
      <c r="AJ101" s="53">
        <f>SUMIF('2025 AC'!$B$3:$B$250,"*"&amp;$D101&amp;"*",'2025 AC'!E$3:E$250)</f>
        <v>0</v>
      </c>
      <c r="AK101" s="53">
        <f>SUMIF('2025 AC'!$B$3:$B$250,"*"&amp;$D101&amp;"*",'2025 AC'!F$3:F$250)</f>
        <v>0</v>
      </c>
      <c r="AL101" s="53">
        <f>SUMIF('2025 AC'!$B$3:$B$250,"*"&amp;$D101&amp;"*",'2025 AC'!G$3:G$250)</f>
        <v>0</v>
      </c>
      <c r="AM101" s="53">
        <f>SUMIF('2025 AC'!$B$3:$B$250,"*"&amp;$D101&amp;"*",'2025 AC'!H$3:H$250)</f>
        <v>0</v>
      </c>
      <c r="AN101" s="53">
        <f>SUMIF('2025 AC'!$B$3:$B$250,"*"&amp;$D101&amp;"*",'2025 AC'!I$3:I$250)</f>
        <v>0</v>
      </c>
      <c r="AO101" s="53">
        <f>SUMIF('2025 AC'!$B$3:$B$250,"*"&amp;$D101&amp;"*",'2025 AC'!J$3:J$250)</f>
        <v>0</v>
      </c>
      <c r="AP101" s="53">
        <f>SUMIF('2025 AC'!$B$3:$B$250,"*"&amp;$D101&amp;"*",'2025 AC'!K$3:K$250)</f>
        <v>0</v>
      </c>
      <c r="AQ101" s="53">
        <f>SUMIF('2025 AC'!$B$3:$B$250,"*"&amp;$D101&amp;"*",'2025 AC'!L$3:L$250)</f>
        <v>0</v>
      </c>
      <c r="AR101" s="53">
        <f>SUMIF('2025 AC'!$B$3:$B$250,"*"&amp;$D101&amp;"*",'2025 AC'!M$3:M$250)</f>
        <v>0</v>
      </c>
      <c r="AS101" s="53">
        <f>SUMIF('2025 AC'!$B$3:$B$250,"*"&amp;$D101&amp;"*",'2025 AC'!N$3:N$250)</f>
        <v>0</v>
      </c>
      <c r="AT101" s="94">
        <f t="shared" si="89"/>
        <v>0</v>
      </c>
      <c r="AU101" s="93">
        <f t="shared" si="90"/>
        <v>0</v>
      </c>
      <c r="AV101" s="93">
        <f t="shared" si="91"/>
        <v>0</v>
      </c>
      <c r="AW101" s="93">
        <f t="shared" si="92"/>
        <v>0</v>
      </c>
      <c r="AX101" s="93">
        <f t="shared" si="93"/>
        <v>0</v>
      </c>
      <c r="AY101" s="92">
        <f t="shared" si="94"/>
        <v>0</v>
      </c>
      <c r="BA101" s="63">
        <f>SUMIF('2026 AC'!$B$3:$B$254,"*"&amp;$D101&amp;"*",'2026 AC'!C$3:C$254)</f>
        <v>0</v>
      </c>
      <c r="BB101" s="53">
        <f>SUMIF('2026 AC'!$B$3:$B$254,"*"&amp;$D101&amp;"*",'2026 AC'!D$3:D$254)</f>
        <v>0</v>
      </c>
      <c r="BC101" s="53">
        <f>SUMIF('2026 AC'!$B$3:$B$254,"*"&amp;$D101&amp;"*",'2026 AC'!E$3:E$254)</f>
        <v>0</v>
      </c>
      <c r="BD101" s="53">
        <f>SUMIF('2026 AC'!$B$3:$B$254,"*"&amp;$D101&amp;"*",'2026 AC'!F$3:F$254)</f>
        <v>0</v>
      </c>
      <c r="BE101" s="53">
        <f>SUMIF('2026 AC'!$B$3:$B$254,"*"&amp;$D101&amp;"*",'2026 AC'!G$3:G$254)</f>
        <v>0</v>
      </c>
      <c r="BF101" s="53">
        <f>SUMIF('2026 AC'!$B$3:$B$254,"*"&amp;$D101&amp;"*",'2026 AC'!H$3:H$254)</f>
        <v>0</v>
      </c>
      <c r="BG101" s="53">
        <f>SUMIF('2026 AC'!$B$3:$B$254,"*"&amp;$D101&amp;"*",'2026 AC'!I$3:I$254)</f>
        <v>0</v>
      </c>
      <c r="BH101" s="53">
        <f>SUMIF('2026 AC'!$B$3:$B$254,"*"&amp;$D101&amp;"*",'2026 AC'!J$3:J$254)</f>
        <v>0</v>
      </c>
      <c r="BI101" s="53">
        <f>SUMIF('2026 AC'!$B$3:$B$254,"*"&amp;$D101&amp;"*",'2026 AC'!K$3:K$254)</f>
        <v>0</v>
      </c>
      <c r="BJ101" s="53">
        <f>SUMIF('2026 AC'!$B$3:$B$254,"*"&amp;$D101&amp;"*",'2026 AC'!L$3:L$254)</f>
        <v>0</v>
      </c>
      <c r="BK101" s="53">
        <f>SUMIF('2026 AC'!$B$3:$B$254,"*"&amp;$D101&amp;"*",'2026 AC'!M$3:M$254)</f>
        <v>0</v>
      </c>
      <c r="BL101" s="93">
        <f>SUMIF('2026 AC'!$B$3:$B$254,"*"&amp;$D101&amp;"*",'2026 AC'!N$3:N$254)</f>
        <v>0</v>
      </c>
      <c r="BM101" s="92">
        <f t="shared" si="95"/>
        <v>0</v>
      </c>
      <c r="BN101" s="93">
        <f t="shared" si="96"/>
        <v>0</v>
      </c>
      <c r="BO101" s="93">
        <f t="shared" si="97"/>
        <v>0</v>
      </c>
      <c r="BP101" s="93">
        <f t="shared" si="98"/>
        <v>0</v>
      </c>
      <c r="BQ101" s="93">
        <f t="shared" si="99"/>
        <v>0</v>
      </c>
      <c r="BR101" s="92">
        <f t="shared" si="100"/>
        <v>0</v>
      </c>
    </row>
    <row r="102" ht="15" customHeight="1" outlineLevel="1">
      <c r="A102" t="s">
        <v>227</v>
      </c>
      <c r="B102" t="s">
        <v>228</v>
      </c>
      <c r="C102" s="34" t="s">
        <v>229</v>
      </c>
      <c r="D102" s="35" t="s">
        <v>228</v>
      </c>
      <c r="E102" s="151">
        <f t="shared" si="117"/>
        <v>0</v>
      </c>
      <c r="F102" s="152">
        <f t="shared" si="118"/>
        <v>255.06999999999999</v>
      </c>
      <c r="G102" s="54">
        <f t="shared" ref="G102:G104" si="128">(E102-F102)/F102</f>
        <v>-1</v>
      </c>
      <c r="H102" s="153">
        <f t="shared" si="119"/>
        <v>0</v>
      </c>
      <c r="I102" s="153">
        <f t="shared" si="120"/>
        <v>255.06999999999999</v>
      </c>
      <c r="J102" s="54">
        <f t="shared" ref="J102:J110" si="129">(H102-I102)/I102</f>
        <v>-1</v>
      </c>
      <c r="K102" s="153">
        <f t="shared" si="122"/>
        <v>0</v>
      </c>
      <c r="L102" s="153">
        <f t="shared" si="123"/>
        <v>375.06999999999999</v>
      </c>
      <c r="M102" s="55">
        <f t="shared" ref="M102:M110" si="130">(K102-L102)/L102</f>
        <v>-1</v>
      </c>
      <c r="O102" s="63">
        <f>SUMIF('2024 AC'!$B$3:$B$250,"*"&amp;$D102&amp;"*",'2024 AC'!C$3:C$250)</f>
        <v>0</v>
      </c>
      <c r="P102" s="53">
        <f>SUMIF('2024 AC'!$B$3:$B$250,"*"&amp;$D102&amp;"*",'2024 AC'!D$3:D$250)</f>
        <v>0</v>
      </c>
      <c r="Q102" s="53">
        <f>SUMIF('2024 AC'!$B$3:$B$250,"*"&amp;$D102&amp;"*",'2024 AC'!E$3:E$250)</f>
        <v>0</v>
      </c>
      <c r="R102" s="53">
        <f>SUMIF('2024 AC'!$B$3:$B$250,"*"&amp;$D102&amp;"*",'2024 AC'!F$3:F$250)</f>
        <v>0</v>
      </c>
      <c r="S102" s="53">
        <f>SUMIF('2024 AC'!$B$3:$B$250,"*"&amp;$D102&amp;"*",'2024 AC'!G$3:G$250)</f>
        <v>0</v>
      </c>
      <c r="T102" s="53">
        <f>SUMIF('2024 AC'!$B$3:$B$250,"*"&amp;$D102&amp;"*",'2024 AC'!H$3:H$250)</f>
        <v>111.2</v>
      </c>
      <c r="U102" s="53">
        <f>SUMIF('2024 AC'!$B$3:$B$250,"*"&amp;$D102&amp;"*",'2024 AC'!I$3:I$250)</f>
        <v>0</v>
      </c>
      <c r="V102" s="53">
        <f>SUMIF('2024 AC'!$B$3:$B$250,"*"&amp;$D102&amp;"*",'2024 AC'!J$3:J$250)</f>
        <v>0</v>
      </c>
      <c r="W102" s="53">
        <f>SUMIF('2024 AC'!$B$3:$B$250,"*"&amp;$D102&amp;"*",'2024 AC'!K$3:K$250)</f>
        <v>732.15999999999997</v>
      </c>
      <c r="X102" s="53">
        <f>SUMIF('2024 AC'!$B$3:$B$250,"*"&amp;$D102&amp;"*",'2024 AC'!L$3:L$250)</f>
        <v>366.39999999999998</v>
      </c>
      <c r="Y102" s="53">
        <f>SUMIF('2024 AC'!$B$3:$B$250,"*"&amp;$D102&amp;"*",'2024 AC'!M$3:M$250)</f>
        <v>7.9900000000000002</v>
      </c>
      <c r="Z102" s="93">
        <f>SUMIF('2024 AC'!$B$3:$B$250,"*"&amp;$D102&amp;"*",'2024 AC'!N$3:N$250)</f>
        <v>0</v>
      </c>
      <c r="AA102" s="92">
        <f t="shared" si="83"/>
        <v>1217.75</v>
      </c>
      <c r="AB102" s="93">
        <f t="shared" si="84"/>
        <v>0</v>
      </c>
      <c r="AC102" s="93">
        <f t="shared" si="85"/>
        <v>111.2</v>
      </c>
      <c r="AD102" s="93">
        <f t="shared" si="86"/>
        <v>732.15999999999997</v>
      </c>
      <c r="AE102" s="93">
        <f t="shared" si="87"/>
        <v>374.38999999999999</v>
      </c>
      <c r="AF102" s="92">
        <f t="shared" si="88"/>
        <v>1217.75</v>
      </c>
      <c r="AH102" s="63">
        <f>SUMIF('2025 AC'!$B$3:$B$250,"*"&amp;$D102&amp;"*",'2025 AC'!C$3:C$250)</f>
        <v>0</v>
      </c>
      <c r="AI102" s="53">
        <f>SUMIF('2025 AC'!$B$3:$B$250,"*"&amp;$D102&amp;"*",'2025 AC'!D$3:D$250)</f>
        <v>0</v>
      </c>
      <c r="AJ102" s="53">
        <f>SUMIF('2025 AC'!$B$3:$B$250,"*"&amp;$D102&amp;"*",'2025 AC'!E$3:E$250)</f>
        <v>120</v>
      </c>
      <c r="AK102" s="53">
        <f>SUMIF('2025 AC'!$B$3:$B$250,"*"&amp;$D102&amp;"*",'2025 AC'!F$3:F$250)</f>
        <v>0</v>
      </c>
      <c r="AL102" s="53">
        <f>SUMIF('2025 AC'!$B$3:$B$250,"*"&amp;$D102&amp;"*",'2025 AC'!G$3:G$250)</f>
        <v>0</v>
      </c>
      <c r="AM102" s="53">
        <f>SUMIF('2025 AC'!$B$3:$B$250,"*"&amp;$D102&amp;"*",'2025 AC'!H$3:H$250)</f>
        <v>255.06999999999999</v>
      </c>
      <c r="AN102" s="53">
        <f>SUMIF('2025 AC'!$B$3:$B$250,"*"&amp;$D102&amp;"*",'2025 AC'!I$3:I$250)</f>
        <v>504.07999999999998</v>
      </c>
      <c r="AO102" s="53">
        <f>SUMIF('2025 AC'!$B$3:$B$250,"*"&amp;$D102&amp;"*",'2025 AC'!J$3:J$250)</f>
        <v>0</v>
      </c>
      <c r="AP102" s="53">
        <f>SUMIF('2025 AC'!$B$3:$B$250,"*"&amp;$D102&amp;"*",'2025 AC'!K$3:K$250)</f>
        <v>140.80000000000001</v>
      </c>
      <c r="AQ102" s="53">
        <f>SUMIF('2025 AC'!$B$3:$B$250,"*"&amp;$D102&amp;"*",'2025 AC'!L$3:L$250)</f>
        <v>0</v>
      </c>
      <c r="AR102" s="53">
        <f>SUMIF('2025 AC'!$B$3:$B$250,"*"&amp;$D102&amp;"*",'2025 AC'!M$3:M$250)</f>
        <v>462.81999999999999</v>
      </c>
      <c r="AS102" s="53">
        <f>SUMIF('2025 AC'!$B$3:$B$250,"*"&amp;$D102&amp;"*",'2025 AC'!N$3:N$250)</f>
        <v>0</v>
      </c>
      <c r="AT102" s="94">
        <f t="shared" si="89"/>
        <v>1482.77</v>
      </c>
      <c r="AU102" s="93">
        <f t="shared" si="90"/>
        <v>120</v>
      </c>
      <c r="AV102" s="93">
        <f t="shared" si="91"/>
        <v>255.06999999999999</v>
      </c>
      <c r="AW102" s="93">
        <f t="shared" si="92"/>
        <v>644.88</v>
      </c>
      <c r="AX102" s="93">
        <f t="shared" si="93"/>
        <v>462.81999999999999</v>
      </c>
      <c r="AY102" s="92">
        <f t="shared" si="94"/>
        <v>1482.77</v>
      </c>
      <c r="BA102" s="63">
        <f>SUMIF('2026 AC'!$B$3:$B$254,"*"&amp;$D102&amp;"*",'2026 AC'!C$3:C$254)</f>
        <v>0</v>
      </c>
      <c r="BB102" s="53">
        <f>SUMIF('2026 AC'!$B$3:$B$254,"*"&amp;$D102&amp;"*",'2026 AC'!D$3:D$254)</f>
        <v>0</v>
      </c>
      <c r="BC102" s="53">
        <f>SUMIF('2026 AC'!$B$3:$B$254,"*"&amp;$D102&amp;"*",'2026 AC'!E$3:E$254)</f>
        <v>0</v>
      </c>
      <c r="BD102" s="53">
        <f>SUMIF('2026 AC'!$B$3:$B$254,"*"&amp;$D102&amp;"*",'2026 AC'!F$3:F$254)</f>
        <v>0</v>
      </c>
      <c r="BE102" s="53">
        <f>SUMIF('2026 AC'!$B$3:$B$254,"*"&amp;$D102&amp;"*",'2026 AC'!G$3:G$254)</f>
        <v>0</v>
      </c>
      <c r="BF102" s="53">
        <f>SUMIF('2026 AC'!$B$3:$B$254,"*"&amp;$D102&amp;"*",'2026 AC'!H$3:H$254)</f>
        <v>0</v>
      </c>
      <c r="BG102" s="53">
        <f>SUMIF('2026 AC'!$B$3:$B$254,"*"&amp;$D102&amp;"*",'2026 AC'!I$3:I$254)</f>
        <v>0</v>
      </c>
      <c r="BH102" s="53">
        <f>SUMIF('2026 AC'!$B$3:$B$254,"*"&amp;$D102&amp;"*",'2026 AC'!J$3:J$254)</f>
        <v>0</v>
      </c>
      <c r="BI102" s="53">
        <f>SUMIF('2026 AC'!$B$3:$B$254,"*"&amp;$D102&amp;"*",'2026 AC'!K$3:K$254)</f>
        <v>0</v>
      </c>
      <c r="BJ102" s="53">
        <f>SUMIF('2026 AC'!$B$3:$B$254,"*"&amp;$D102&amp;"*",'2026 AC'!L$3:L$254)</f>
        <v>0</v>
      </c>
      <c r="BK102" s="53">
        <f>SUMIF('2026 AC'!$B$3:$B$254,"*"&amp;$D102&amp;"*",'2026 AC'!M$3:M$254)</f>
        <v>0</v>
      </c>
      <c r="BL102" s="93">
        <f>SUMIF('2026 AC'!$B$3:$B$254,"*"&amp;$D102&amp;"*",'2026 AC'!N$3:N$254)</f>
        <v>0</v>
      </c>
      <c r="BM102" s="92">
        <f t="shared" si="95"/>
        <v>0</v>
      </c>
      <c r="BN102" s="93">
        <f t="shared" si="96"/>
        <v>0</v>
      </c>
      <c r="BO102" s="93">
        <f t="shared" si="97"/>
        <v>0</v>
      </c>
      <c r="BP102" s="93">
        <f t="shared" si="98"/>
        <v>0</v>
      </c>
      <c r="BQ102" s="93">
        <f t="shared" si="99"/>
        <v>0</v>
      </c>
      <c r="BR102" s="92">
        <f t="shared" si="100"/>
        <v>0</v>
      </c>
    </row>
    <row r="103" s="137" customFormat="1" ht="15" customHeight="1">
      <c r="A103" s="137" t="s">
        <v>230</v>
      </c>
      <c r="B103" s="137" t="s">
        <v>231</v>
      </c>
      <c r="C103" s="187" t="s">
        <v>232</v>
      </c>
      <c r="D103" s="139" t="s">
        <v>231</v>
      </c>
      <c r="E103" s="159">
        <f t="shared" si="117"/>
        <v>11908.780000000001</v>
      </c>
      <c r="F103" s="141">
        <f t="shared" si="118"/>
        <v>15477.59</v>
      </c>
      <c r="G103" s="142">
        <f t="shared" si="128"/>
        <v>-0.23057917931667654</v>
      </c>
      <c r="H103" s="143">
        <f t="shared" si="119"/>
        <v>37929.650000000001</v>
      </c>
      <c r="I103" s="143">
        <f t="shared" si="120"/>
        <v>38074.919999999998</v>
      </c>
      <c r="J103" s="159">
        <f>H103-I103</f>
        <v>-145.2699999999968</v>
      </c>
      <c r="K103" s="143">
        <f t="shared" si="122"/>
        <v>93949.699999999997</v>
      </c>
      <c r="L103" s="143">
        <f t="shared" si="123"/>
        <v>107553.09999999999</v>
      </c>
      <c r="M103" s="144">
        <f t="shared" si="130"/>
        <v>-0.12648078019136588</v>
      </c>
      <c r="O103" s="145">
        <f>SUMIF('2024 AC'!$B$3:$B$250,"*"&amp;$D103&amp;"*",'2024 AC'!C$3:C$250)</f>
        <v>0</v>
      </c>
      <c r="P103" s="146">
        <f>SUMIF('2024 AC'!$B$3:$B$250,"*"&amp;$D103&amp;"*",'2024 AC'!D$3:D$250)</f>
        <v>19970.93</v>
      </c>
      <c r="Q103" s="146">
        <f>SUMIF('2024 AC'!$B$3:$B$250,"*"&amp;$D103&amp;"*",'2024 AC'!E$3:E$250)</f>
        <v>34032.900000000001</v>
      </c>
      <c r="R103" s="146">
        <f>SUMIF('2024 AC'!$B$3:$B$250,"*"&amp;$D103&amp;"*",'2024 AC'!F$3:F$250)</f>
        <v>29552.380000000001</v>
      </c>
      <c r="S103" s="146">
        <f>SUMIF('2024 AC'!$B$3:$B$250,"*"&amp;$D103&amp;"*",'2024 AC'!G$3:G$250)</f>
        <v>24000.459999999999</v>
      </c>
      <c r="T103" s="146">
        <f>SUMIF('2024 AC'!$B$3:$B$250,"*"&amp;$D103&amp;"*",'2024 AC'!H$3:H$250)</f>
        <v>30786.619999999999</v>
      </c>
      <c r="U103" s="146">
        <f>SUMIF('2024 AC'!$B$3:$B$250,"*"&amp;$D103&amp;"*",'2024 AC'!I$3:I$250)</f>
        <v>34500.110000000001</v>
      </c>
      <c r="V103" s="146">
        <f>SUMIF('2024 AC'!$B$3:$B$250,"*"&amp;$D103&amp;"*",'2024 AC'!J$3:J$250)</f>
        <v>30162.25</v>
      </c>
      <c r="W103" s="146">
        <f>SUMIF('2024 AC'!$B$3:$B$250,"*"&amp;$D103&amp;"*",'2024 AC'!K$3:K$250)</f>
        <v>29796.240000000002</v>
      </c>
      <c r="X103" s="146">
        <f>SUMIF('2024 AC'!$B$3:$B$250,"*"&amp;$D103&amp;"*",'2024 AC'!L$3:L$250)</f>
        <v>30570.419999999998</v>
      </c>
      <c r="Y103" s="146">
        <f>SUMIF('2024 AC'!$B$3:$B$250,"*"&amp;$D103&amp;"*",'2024 AC'!M$3:M$250)</f>
        <v>20402.290000000001</v>
      </c>
      <c r="Z103" s="147">
        <f>SUMIF('2024 AC'!$B$3:$B$250,"*"&amp;$D103&amp;"*",'2024 AC'!N$3:N$250)</f>
        <v>23062.02</v>
      </c>
      <c r="AA103" s="148">
        <f t="shared" si="83"/>
        <v>306836.62</v>
      </c>
      <c r="AB103" s="147">
        <f t="shared" si="84"/>
        <v>54003.830000000002</v>
      </c>
      <c r="AC103" s="147">
        <f t="shared" si="85"/>
        <v>84339.459999999992</v>
      </c>
      <c r="AD103" s="147">
        <f t="shared" si="86"/>
        <v>94458.600000000006</v>
      </c>
      <c r="AE103" s="147">
        <f t="shared" si="87"/>
        <v>74034.729999999996</v>
      </c>
      <c r="AF103" s="148">
        <f t="shared" si="88"/>
        <v>306836.62</v>
      </c>
      <c r="AH103" s="145">
        <f>SUMIF('2025 AC'!$B$3:$B$250,"*"&amp;$D103&amp;"*",'2025 AC'!C$3:C$250)</f>
        <v>30006.709999999999</v>
      </c>
      <c r="AI103" s="146">
        <f>SUMIF('2025 AC'!$B$3:$B$250,"*"&amp;$D103&amp;"*",'2025 AC'!D$3:D$250)</f>
        <v>21454.970000000001</v>
      </c>
      <c r="AJ103" s="146">
        <f>SUMIF('2025 AC'!$B$3:$B$250,"*"&amp;$D103&amp;"*",'2025 AC'!E$3:E$250)</f>
        <v>18016.5</v>
      </c>
      <c r="AK103" s="146">
        <f>SUMIF('2025 AC'!$B$3:$B$250,"*"&amp;$D103&amp;"*",'2025 AC'!F$3:F$250)</f>
        <v>8424.1000000000004</v>
      </c>
      <c r="AL103" s="146">
        <f>SUMIF('2025 AC'!$B$3:$B$250,"*"&amp;$D103&amp;"*",'2025 AC'!G$3:G$250)</f>
        <v>14173.23</v>
      </c>
      <c r="AM103" s="146">
        <f>SUMIF('2025 AC'!$B$3:$B$250,"*"&amp;$D103&amp;"*",'2025 AC'!H$3:H$250)</f>
        <v>15477.59</v>
      </c>
      <c r="AN103" s="146">
        <f>SUMIF('2025 AC'!$B$3:$B$250,"*"&amp;$D103&amp;"*",'2025 AC'!I$3:I$250)</f>
        <v>16081.68</v>
      </c>
      <c r="AO103" s="146">
        <f>SUMIF('2025 AC'!$B$3:$B$250,"*"&amp;$D103&amp;"*",'2025 AC'!J$3:J$250)</f>
        <v>12885.85</v>
      </c>
      <c r="AP103" s="146">
        <f>SUMIF('2025 AC'!$B$3:$B$250,"*"&amp;$D103&amp;"*",'2025 AC'!K$3:K$250)</f>
        <v>15236.43</v>
      </c>
      <c r="AQ103" s="146">
        <f>SUMIF('2025 AC'!$B$3:$B$250,"*"&amp;$D103&amp;"*",'2025 AC'!L$3:L$250)</f>
        <v>15674.41</v>
      </c>
      <c r="AR103" s="146">
        <f>SUMIF('2025 AC'!$B$3:$B$250,"*"&amp;$D103&amp;"*",'2025 AC'!M$3:M$250)</f>
        <v>13765.67</v>
      </c>
      <c r="AS103" s="146">
        <f>SUMIF('2025 AC'!$B$3:$B$250,"*"&amp;$D103&amp;"*",'2025 AC'!N$3:N$250)</f>
        <v>9352</v>
      </c>
      <c r="AT103" s="149">
        <f t="shared" si="89"/>
        <v>190549.14000000001</v>
      </c>
      <c r="AU103" s="147">
        <f t="shared" si="90"/>
        <v>69478.179999999993</v>
      </c>
      <c r="AV103" s="147">
        <f t="shared" si="91"/>
        <v>38074.919999999998</v>
      </c>
      <c r="AW103" s="147">
        <f t="shared" si="92"/>
        <v>44203.959999999999</v>
      </c>
      <c r="AX103" s="147">
        <f t="shared" si="93"/>
        <v>38792.080000000002</v>
      </c>
      <c r="AY103" s="148">
        <f t="shared" si="94"/>
        <v>190549.14000000001</v>
      </c>
      <c r="BA103" s="145">
        <f>SUMIF('2026 AC'!$B$3:$B$254,"*"&amp;$D103&amp;"*",'2026 AC'!C$3:C$254)</f>
        <v>36111.160000000003</v>
      </c>
      <c r="BB103" s="146">
        <f>SUMIF('2026 AC'!$B$3:$B$254,"*"&amp;$D103&amp;"*",'2026 AC'!D$3:D$254)</f>
        <v>11241.18</v>
      </c>
      <c r="BC103" s="146">
        <f>SUMIF('2026 AC'!$B$3:$B$254,"*"&amp;$D103&amp;"*",'2026 AC'!E$3:E$254)</f>
        <v>8667.7099999999991</v>
      </c>
      <c r="BD103" s="146">
        <f>SUMIF('2026 AC'!$B$3:$B$254,"*"&amp;$D103&amp;"*",'2026 AC'!F$3:F$254)</f>
        <v>9895.1499999999996</v>
      </c>
      <c r="BE103" s="146">
        <f>SUMIF('2026 AC'!$B$3:$B$254,"*"&amp;$D103&amp;"*",'2026 AC'!G$3:G$254)</f>
        <v>16125.719999999999</v>
      </c>
      <c r="BF103" s="146">
        <f>SUMIF('2026 AC'!$B$3:$B$254,"*"&amp;$D103&amp;"*",'2026 AC'!H$3:H$254)</f>
        <v>11908.780000000001</v>
      </c>
      <c r="BG103" s="146">
        <f>SUMIF('2026 AC'!$B$3:$B$254,"*"&amp;$D103&amp;"*",'2026 AC'!I$3:I$254)</f>
        <v>0</v>
      </c>
      <c r="BH103" s="146">
        <f>SUMIF('2026 AC'!$B$3:$B$254,"*"&amp;$D103&amp;"*",'2026 AC'!J$3:J$254)</f>
        <v>0</v>
      </c>
      <c r="BI103" s="146">
        <f>SUMIF('2026 AC'!$B$3:$B$254,"*"&amp;$D103&amp;"*",'2026 AC'!K$3:K$254)</f>
        <v>0</v>
      </c>
      <c r="BJ103" s="146">
        <f>SUMIF('2026 AC'!$B$3:$B$254,"*"&amp;$D103&amp;"*",'2026 AC'!L$3:L$254)</f>
        <v>0</v>
      </c>
      <c r="BK103" s="146">
        <f>SUMIF('2026 AC'!$B$3:$B$254,"*"&amp;$D103&amp;"*",'2026 AC'!M$3:M$254)</f>
        <v>0</v>
      </c>
      <c r="BL103" s="147">
        <f>SUMIF('2026 AC'!$B$3:$B$254,"*"&amp;$D103&amp;"*",'2026 AC'!N$3:N$254)</f>
        <v>0</v>
      </c>
      <c r="BM103" s="148">
        <f t="shared" si="95"/>
        <v>93949.699999999997</v>
      </c>
      <c r="BN103" s="147">
        <f t="shared" si="96"/>
        <v>56020.050000000003</v>
      </c>
      <c r="BO103" s="147">
        <f t="shared" si="97"/>
        <v>37929.650000000001</v>
      </c>
      <c r="BP103" s="147">
        <f t="shared" si="98"/>
        <v>0</v>
      </c>
      <c r="BQ103" s="147">
        <f t="shared" si="99"/>
        <v>0</v>
      </c>
      <c r="BR103" s="148">
        <f t="shared" si="100"/>
        <v>93949.700000000012</v>
      </c>
    </row>
    <row r="104" ht="14.65" customHeight="1" outlineLevel="1">
      <c r="A104" t="s">
        <v>233</v>
      </c>
      <c r="B104" t="s">
        <v>234</v>
      </c>
      <c r="C104" s="34" t="s">
        <v>235</v>
      </c>
      <c r="D104" s="35" t="s">
        <v>234</v>
      </c>
      <c r="E104" s="151">
        <f t="shared" si="117"/>
        <v>11908.780000000001</v>
      </c>
      <c r="F104" s="152">
        <f t="shared" si="118"/>
        <v>15345.549999999999</v>
      </c>
      <c r="G104" s="54">
        <f t="shared" si="128"/>
        <v>-0.22395873722349469</v>
      </c>
      <c r="H104" s="153">
        <f t="shared" si="119"/>
        <v>37672.849999999999</v>
      </c>
      <c r="I104" s="153">
        <f t="shared" si="120"/>
        <v>37725.459999999999</v>
      </c>
      <c r="J104" s="54">
        <f t="shared" si="129"/>
        <v>-1.3945489332668332e-03</v>
      </c>
      <c r="K104" s="153">
        <f t="shared" si="122"/>
        <v>93692.900000000009</v>
      </c>
      <c r="L104" s="153">
        <f t="shared" si="123"/>
        <v>105268.38</v>
      </c>
      <c r="M104" s="55">
        <f t="shared" si="130"/>
        <v>-0.10996160480478559</v>
      </c>
      <c r="O104" s="63">
        <f>SUMIF('2024 AC'!$B$3:$B$250,"*"&amp;$D104&amp;"*",'2024 AC'!C$3:C$250)</f>
        <v>0</v>
      </c>
      <c r="P104" s="53">
        <f>SUMIF('2024 AC'!$B$3:$B$250,"*"&amp;$D104&amp;"*",'2024 AC'!D$3:D$250)</f>
        <v>18967.43</v>
      </c>
      <c r="Q104" s="53">
        <f>SUMIF('2024 AC'!$B$3:$B$250,"*"&amp;$D104&amp;"*",'2024 AC'!E$3:E$250)</f>
        <v>33174.75</v>
      </c>
      <c r="R104" s="53">
        <f>SUMIF('2024 AC'!$B$3:$B$250,"*"&amp;$D104&amp;"*",'2024 AC'!F$3:F$250)</f>
        <v>27289.68</v>
      </c>
      <c r="S104" s="53">
        <f>SUMIF('2024 AC'!$B$3:$B$250,"*"&amp;$D104&amp;"*",'2024 AC'!G$3:G$250)</f>
        <v>20335.310000000001</v>
      </c>
      <c r="T104" s="53">
        <f>SUMIF('2024 AC'!$B$3:$B$250,"*"&amp;$D104&amp;"*",'2024 AC'!H$3:H$250)</f>
        <v>28369.540000000001</v>
      </c>
      <c r="U104" s="53">
        <f>SUMIF('2024 AC'!$B$3:$B$250,"*"&amp;$D104&amp;"*",'2024 AC'!I$3:I$250)</f>
        <v>31141.130000000001</v>
      </c>
      <c r="V104" s="53">
        <f>SUMIF('2024 AC'!$B$3:$B$250,"*"&amp;$D104&amp;"*",'2024 AC'!J$3:J$250)</f>
        <v>27220.110000000001</v>
      </c>
      <c r="W104" s="53">
        <f>SUMIF('2024 AC'!$B$3:$B$250,"*"&amp;$D104&amp;"*",'2024 AC'!K$3:K$250)</f>
        <v>28506.619999999999</v>
      </c>
      <c r="X104" s="53">
        <f>SUMIF('2024 AC'!$B$3:$B$250,"*"&amp;$D104&amp;"*",'2024 AC'!L$3:L$250)</f>
        <v>29097.080000000002</v>
      </c>
      <c r="Y104" s="53">
        <f>SUMIF('2024 AC'!$B$3:$B$250,"*"&amp;$D104&amp;"*",'2024 AC'!M$3:M$250)</f>
        <v>19697.389999999999</v>
      </c>
      <c r="Z104" s="93">
        <f>SUMIF('2024 AC'!$B$3:$B$250,"*"&amp;$D104&amp;"*",'2024 AC'!N$3:N$250)</f>
        <v>20599.400000000001</v>
      </c>
      <c r="AA104" s="92">
        <f t="shared" si="83"/>
        <v>284398.44000000006</v>
      </c>
      <c r="AB104" s="93">
        <f t="shared" si="84"/>
        <v>52142.18</v>
      </c>
      <c r="AC104" s="93">
        <f t="shared" si="85"/>
        <v>75994.529999999999</v>
      </c>
      <c r="AD104" s="93">
        <f t="shared" si="86"/>
        <v>86867.860000000001</v>
      </c>
      <c r="AE104" s="93">
        <f t="shared" si="87"/>
        <v>69393.869999999995</v>
      </c>
      <c r="AF104" s="92">
        <f t="shared" si="88"/>
        <v>284398.44</v>
      </c>
      <c r="AH104" s="63">
        <f>SUMIF('2025 AC'!$B$3:$B$250,"*"&amp;$D104&amp;"*",'2025 AC'!C$3:C$250)</f>
        <v>29497.09</v>
      </c>
      <c r="AI104" s="53">
        <f>SUMIF('2025 AC'!$B$3:$B$250,"*"&amp;$D104&amp;"*",'2025 AC'!D$3:D$250)</f>
        <v>21219.73</v>
      </c>
      <c r="AJ104" s="53">
        <f>SUMIF('2025 AC'!$B$3:$B$250,"*"&amp;$D104&amp;"*",'2025 AC'!E$3:E$250)</f>
        <v>16826.099999999999</v>
      </c>
      <c r="AK104" s="53">
        <f>SUMIF('2025 AC'!$B$3:$B$250,"*"&amp;$D104&amp;"*",'2025 AC'!F$3:F$250)</f>
        <v>8396.7199999999993</v>
      </c>
      <c r="AL104" s="53">
        <f>SUMIF('2025 AC'!$B$3:$B$250,"*"&amp;$D104&amp;"*",'2025 AC'!G$3:G$250)</f>
        <v>13983.190000000001</v>
      </c>
      <c r="AM104" s="53">
        <f>SUMIF('2025 AC'!$B$3:$B$250,"*"&amp;$D104&amp;"*",'2025 AC'!H$3:H$250)</f>
        <v>15345.549999999999</v>
      </c>
      <c r="AN104" s="53">
        <f>SUMIF('2025 AC'!$B$3:$B$250,"*"&amp;$D104&amp;"*",'2025 AC'!I$3:I$250)</f>
        <v>14624.91</v>
      </c>
      <c r="AO104" s="53">
        <f>SUMIF('2025 AC'!$B$3:$B$250,"*"&amp;$D104&amp;"*",'2025 AC'!J$3:J$250)</f>
        <v>12716.870000000001</v>
      </c>
      <c r="AP104" s="53">
        <f>SUMIF('2025 AC'!$B$3:$B$250,"*"&amp;$D104&amp;"*",'2025 AC'!K$3:K$250)</f>
        <v>15236.43</v>
      </c>
      <c r="AQ104" s="53">
        <f>SUMIF('2025 AC'!$B$3:$B$250,"*"&amp;$D104&amp;"*",'2025 AC'!L$3:L$250)</f>
        <v>15674.41</v>
      </c>
      <c r="AR104" s="53">
        <f>SUMIF('2025 AC'!$B$3:$B$250,"*"&amp;$D104&amp;"*",'2025 AC'!M$3:M$250)</f>
        <v>12424.49</v>
      </c>
      <c r="AS104" s="53">
        <f>SUMIF('2025 AC'!$B$3:$B$250,"*"&amp;$D104&amp;"*",'2025 AC'!N$3:N$250)</f>
        <v>9352</v>
      </c>
      <c r="AT104" s="94">
        <f t="shared" si="89"/>
        <v>185297.48999999999</v>
      </c>
      <c r="AU104" s="93">
        <f t="shared" si="90"/>
        <v>67542.919999999998</v>
      </c>
      <c r="AV104" s="93">
        <f t="shared" si="91"/>
        <v>37725.459999999999</v>
      </c>
      <c r="AW104" s="93">
        <f t="shared" si="92"/>
        <v>42578.209999999999</v>
      </c>
      <c r="AX104" s="93">
        <f t="shared" si="93"/>
        <v>37450.900000000001</v>
      </c>
      <c r="AY104" s="92">
        <f t="shared" si="94"/>
        <v>185297.48999999999</v>
      </c>
      <c r="BA104" s="63">
        <f>SUMIF('2026 AC'!$B$3:$B$254,"*"&amp;$D104&amp;"*",'2026 AC'!C$3:C$254)</f>
        <v>36111.160000000003</v>
      </c>
      <c r="BB104" s="53">
        <f>SUMIF('2026 AC'!$B$3:$B$254,"*"&amp;$D104&amp;"*",'2026 AC'!D$3:D$254)</f>
        <v>11241.18</v>
      </c>
      <c r="BC104" s="53">
        <f>SUMIF('2026 AC'!$B$3:$B$254,"*"&amp;$D104&amp;"*",'2026 AC'!E$3:E$254)</f>
        <v>8667.7099999999991</v>
      </c>
      <c r="BD104" s="53">
        <f>SUMIF('2026 AC'!$B$3:$B$254,"*"&amp;$D104&amp;"*",'2026 AC'!F$3:F$254)</f>
        <v>9638.3500000000004</v>
      </c>
      <c r="BE104" s="53">
        <f>SUMIF('2026 AC'!$B$3:$B$254,"*"&amp;$D104&amp;"*",'2026 AC'!G$3:G$254)</f>
        <v>16125.719999999999</v>
      </c>
      <c r="BF104" s="53">
        <f>SUMIF('2026 AC'!$B$3:$B$254,"*"&amp;$D104&amp;"*",'2026 AC'!H$3:H$254)</f>
        <v>11908.780000000001</v>
      </c>
      <c r="BG104" s="53">
        <f>SUMIF('2026 AC'!$B$3:$B$254,"*"&amp;$D104&amp;"*",'2026 AC'!I$3:I$254)</f>
        <v>0</v>
      </c>
      <c r="BH104" s="53">
        <f>SUMIF('2026 AC'!$B$3:$B$254,"*"&amp;$D104&amp;"*",'2026 AC'!J$3:J$254)</f>
        <v>0</v>
      </c>
      <c r="BI104" s="53">
        <f>SUMIF('2026 AC'!$B$3:$B$254,"*"&amp;$D104&amp;"*",'2026 AC'!K$3:K$254)</f>
        <v>0</v>
      </c>
      <c r="BJ104" s="53">
        <f>SUMIF('2026 AC'!$B$3:$B$254,"*"&amp;$D104&amp;"*",'2026 AC'!L$3:L$254)</f>
        <v>0</v>
      </c>
      <c r="BK104" s="53">
        <f>SUMIF('2026 AC'!$B$3:$B$254,"*"&amp;$D104&amp;"*",'2026 AC'!M$3:M$254)</f>
        <v>0</v>
      </c>
      <c r="BL104" s="93">
        <f>SUMIF('2026 AC'!$B$3:$B$254,"*"&amp;$D104&amp;"*",'2026 AC'!N$3:N$254)</f>
        <v>0</v>
      </c>
      <c r="BM104" s="92">
        <f t="shared" si="95"/>
        <v>93692.900000000009</v>
      </c>
      <c r="BN104" s="93">
        <f t="shared" si="96"/>
        <v>56020.050000000003</v>
      </c>
      <c r="BO104" s="93">
        <f t="shared" si="97"/>
        <v>37672.849999999999</v>
      </c>
      <c r="BP104" s="93">
        <f t="shared" si="98"/>
        <v>0</v>
      </c>
      <c r="BQ104" s="93">
        <f t="shared" si="99"/>
        <v>0</v>
      </c>
      <c r="BR104" s="92">
        <f t="shared" si="100"/>
        <v>93692.899999999994</v>
      </c>
    </row>
    <row r="105" ht="15" customHeight="1" outlineLevel="1">
      <c r="A105" t="s">
        <v>236</v>
      </c>
      <c r="B105" t="s">
        <v>237</v>
      </c>
      <c r="C105" s="34" t="s">
        <v>238</v>
      </c>
      <c r="D105" s="35" t="s">
        <v>237</v>
      </c>
      <c r="E105" s="151">
        <f t="shared" si="117"/>
        <v>0</v>
      </c>
      <c r="F105" s="152">
        <f t="shared" si="118"/>
        <v>132.03999999999999</v>
      </c>
      <c r="G105" s="154">
        <f>IFERROR((E105-F105)/F105,0)</f>
        <v>-1</v>
      </c>
      <c r="H105" s="153">
        <f t="shared" si="119"/>
        <v>0</v>
      </c>
      <c r="I105" s="153">
        <f t="shared" si="120"/>
        <v>349.45999999999998</v>
      </c>
      <c r="J105" s="54">
        <f t="shared" si="129"/>
        <v>-1</v>
      </c>
      <c r="K105" s="153">
        <f t="shared" si="122"/>
        <v>0</v>
      </c>
      <c r="L105" s="153">
        <f t="shared" si="123"/>
        <v>1094.3199999999999</v>
      </c>
      <c r="M105" s="55">
        <f t="shared" si="130"/>
        <v>-1</v>
      </c>
      <c r="O105" s="63">
        <f>SUMIF('2024 AC'!$B$3:$B$250,"*"&amp;$D105&amp;"*",'2024 AC'!C$3:C$250)</f>
        <v>0</v>
      </c>
      <c r="P105" s="53">
        <f>SUMIF('2024 AC'!$B$3:$B$250,"*"&amp;$D105&amp;"*",'2024 AC'!D$3:D$250)</f>
        <v>1003.5</v>
      </c>
      <c r="Q105" s="53">
        <f>SUMIF('2024 AC'!$B$3:$B$250,"*"&amp;$D105&amp;"*",'2024 AC'!E$3:E$250)</f>
        <v>858.14999999999998</v>
      </c>
      <c r="R105" s="53">
        <f>SUMIF('2024 AC'!$B$3:$B$250,"*"&amp;$D105&amp;"*",'2024 AC'!F$3:F$250)</f>
        <v>2018.7</v>
      </c>
      <c r="S105" s="53">
        <f>SUMIF('2024 AC'!$B$3:$B$250,"*"&amp;$D105&amp;"*",'2024 AC'!G$3:G$250)</f>
        <v>1805.1500000000001</v>
      </c>
      <c r="T105" s="53">
        <f>SUMIF('2024 AC'!$B$3:$B$250,"*"&amp;$D105&amp;"*",'2024 AC'!H$3:H$250)</f>
        <v>2417.0799999999999</v>
      </c>
      <c r="U105" s="53">
        <f>SUMIF('2024 AC'!$B$3:$B$250,"*"&amp;$D105&amp;"*",'2024 AC'!I$3:I$250)</f>
        <v>2255.8800000000001</v>
      </c>
      <c r="V105" s="53">
        <f>SUMIF('2024 AC'!$B$3:$B$250,"*"&amp;$D105&amp;"*",'2024 AC'!J$3:J$250)</f>
        <v>1009.34</v>
      </c>
      <c r="W105" s="53">
        <f>SUMIF('2024 AC'!$B$3:$B$250,"*"&amp;$D105&amp;"*",'2024 AC'!K$3:K$250)</f>
        <v>1289.6199999999999</v>
      </c>
      <c r="X105" s="53">
        <f>SUMIF('2024 AC'!$B$3:$B$250,"*"&amp;$D105&amp;"*",'2024 AC'!L$3:L$250)</f>
        <v>1473.3399999999999</v>
      </c>
      <c r="Y105" s="53">
        <f>SUMIF('2024 AC'!$B$3:$B$250,"*"&amp;$D105&amp;"*",'2024 AC'!M$3:M$250)</f>
        <v>704.89999999999998</v>
      </c>
      <c r="Z105" s="93">
        <f>SUMIF('2024 AC'!$B$3:$B$250,"*"&amp;$D105&amp;"*",'2024 AC'!N$3:N$250)</f>
        <v>275.42000000000002</v>
      </c>
      <c r="AA105" s="92">
        <f t="shared" si="83"/>
        <v>15111.079999999998</v>
      </c>
      <c r="AB105" s="93">
        <f t="shared" si="84"/>
        <v>1861.6500000000001</v>
      </c>
      <c r="AC105" s="93">
        <f t="shared" si="85"/>
        <v>6240.9300000000003</v>
      </c>
      <c r="AD105" s="93">
        <f t="shared" si="86"/>
        <v>4554.8400000000001</v>
      </c>
      <c r="AE105" s="93">
        <f t="shared" si="87"/>
        <v>2453.6599999999999</v>
      </c>
      <c r="AF105" s="92">
        <f t="shared" si="88"/>
        <v>15111.08</v>
      </c>
      <c r="AH105" s="63">
        <f>SUMIF('2025 AC'!$B$3:$B$250,"*"&amp;$D105&amp;"*",'2025 AC'!C$3:C$250)</f>
        <v>509.62</v>
      </c>
      <c r="AI105" s="53">
        <f>SUMIF('2025 AC'!$B$3:$B$250,"*"&amp;$D105&amp;"*",'2025 AC'!D$3:D$250)</f>
        <v>235.24000000000001</v>
      </c>
      <c r="AJ105" s="53">
        <f>SUMIF('2025 AC'!$B$3:$B$250,"*"&amp;$D105&amp;"*",'2025 AC'!E$3:E$250)</f>
        <v>0</v>
      </c>
      <c r="AK105" s="53">
        <f>SUMIF('2025 AC'!$B$3:$B$250,"*"&amp;$D105&amp;"*",'2025 AC'!F$3:F$250)</f>
        <v>27.379999999999999</v>
      </c>
      <c r="AL105" s="53">
        <f>SUMIF('2025 AC'!$B$3:$B$250,"*"&amp;$D105&amp;"*",'2025 AC'!G$3:G$250)</f>
        <v>190.03999999999999</v>
      </c>
      <c r="AM105" s="53">
        <f>SUMIF('2025 AC'!$B$3:$B$250,"*"&amp;$D105&amp;"*",'2025 AC'!H$3:H$250)</f>
        <v>132.03999999999999</v>
      </c>
      <c r="AN105" s="53">
        <f>SUMIF('2025 AC'!$B$3:$B$250,"*"&amp;$D105&amp;"*",'2025 AC'!I$3:I$250)</f>
        <v>0</v>
      </c>
      <c r="AO105" s="53">
        <f>SUMIF('2025 AC'!$B$3:$B$250,"*"&amp;$D105&amp;"*",'2025 AC'!J$3:J$250)</f>
        <v>168.97999999999999</v>
      </c>
      <c r="AP105" s="53">
        <f>SUMIF('2025 AC'!$B$3:$B$250,"*"&amp;$D105&amp;"*",'2025 AC'!K$3:K$250)</f>
        <v>0</v>
      </c>
      <c r="AQ105" s="53">
        <f>SUMIF('2025 AC'!$B$3:$B$250,"*"&amp;$D105&amp;"*",'2025 AC'!L$3:L$250)</f>
        <v>0</v>
      </c>
      <c r="AR105" s="53">
        <f>SUMIF('2025 AC'!$B$3:$B$250,"*"&amp;$D105&amp;"*",'2025 AC'!M$3:M$250)</f>
        <v>0</v>
      </c>
      <c r="AS105" s="53">
        <f>SUMIF('2025 AC'!$B$3:$B$250,"*"&amp;$D105&amp;"*",'2025 AC'!N$3:N$250)</f>
        <v>0</v>
      </c>
      <c r="AT105" s="94">
        <f t="shared" si="89"/>
        <v>1263.3</v>
      </c>
      <c r="AU105" s="93">
        <f t="shared" si="90"/>
        <v>744.86000000000001</v>
      </c>
      <c r="AV105" s="93">
        <f t="shared" si="91"/>
        <v>349.45999999999998</v>
      </c>
      <c r="AW105" s="93">
        <f t="shared" si="92"/>
        <v>168.97999999999999</v>
      </c>
      <c r="AX105" s="93">
        <f t="shared" si="93"/>
        <v>0</v>
      </c>
      <c r="AY105" s="92">
        <f t="shared" si="94"/>
        <v>1263.3</v>
      </c>
      <c r="BA105" s="63">
        <f>SUMIF('2026 AC'!$B$3:$B$254,"*"&amp;$D105&amp;"*",'2026 AC'!C$3:C$254)</f>
        <v>0</v>
      </c>
      <c r="BB105" s="53">
        <f>SUMIF('2026 AC'!$B$3:$B$254,"*"&amp;$D105&amp;"*",'2026 AC'!D$3:D$254)</f>
        <v>0</v>
      </c>
      <c r="BC105" s="53">
        <f>SUMIF('2026 AC'!$B$3:$B$254,"*"&amp;$D105&amp;"*",'2026 AC'!E$3:E$254)</f>
        <v>0</v>
      </c>
      <c r="BD105" s="53">
        <f>SUMIF('2026 AC'!$B$3:$B$254,"*"&amp;$D105&amp;"*",'2026 AC'!F$3:F$254)</f>
        <v>0</v>
      </c>
      <c r="BE105" s="53">
        <f>SUMIF('2026 AC'!$B$3:$B$254,"*"&amp;$D105&amp;"*",'2026 AC'!G$3:G$254)</f>
        <v>0</v>
      </c>
      <c r="BF105" s="53">
        <f>SUMIF('2026 AC'!$B$3:$B$254,"*"&amp;$D105&amp;"*",'2026 AC'!H$3:H$254)</f>
        <v>0</v>
      </c>
      <c r="BG105" s="53">
        <f>SUMIF('2026 AC'!$B$3:$B$254,"*"&amp;$D105&amp;"*",'2026 AC'!I$3:I$254)</f>
        <v>0</v>
      </c>
      <c r="BH105" s="53">
        <f>SUMIF('2026 AC'!$B$3:$B$254,"*"&amp;$D105&amp;"*",'2026 AC'!J$3:J$254)</f>
        <v>0</v>
      </c>
      <c r="BI105" s="53">
        <f>SUMIF('2026 AC'!$B$3:$B$254,"*"&amp;$D105&amp;"*",'2026 AC'!K$3:K$254)</f>
        <v>0</v>
      </c>
      <c r="BJ105" s="53">
        <f>SUMIF('2026 AC'!$B$3:$B$254,"*"&amp;$D105&amp;"*",'2026 AC'!L$3:L$254)</f>
        <v>0</v>
      </c>
      <c r="BK105" s="53">
        <f>SUMIF('2026 AC'!$B$3:$B$254,"*"&amp;$D105&amp;"*",'2026 AC'!M$3:M$254)</f>
        <v>0</v>
      </c>
      <c r="BL105" s="93">
        <f>SUMIF('2026 AC'!$B$3:$B$254,"*"&amp;$D105&amp;"*",'2026 AC'!N$3:N$254)</f>
        <v>0</v>
      </c>
      <c r="BM105" s="92">
        <f t="shared" si="95"/>
        <v>0</v>
      </c>
      <c r="BN105" s="93">
        <f t="shared" si="96"/>
        <v>0</v>
      </c>
      <c r="BO105" s="93">
        <f t="shared" si="97"/>
        <v>0</v>
      </c>
      <c r="BP105" s="93">
        <f t="shared" si="98"/>
        <v>0</v>
      </c>
      <c r="BQ105" s="93">
        <f t="shared" si="99"/>
        <v>0</v>
      </c>
      <c r="BR105" s="92">
        <f t="shared" si="100"/>
        <v>0</v>
      </c>
    </row>
    <row r="106" ht="15" customHeight="1" outlineLevel="1">
      <c r="A106" t="s">
        <v>239</v>
      </c>
      <c r="B106" t="s">
        <v>240</v>
      </c>
      <c r="C106" s="34" t="s">
        <v>241</v>
      </c>
      <c r="D106" s="35" t="s">
        <v>240</v>
      </c>
      <c r="E106" s="151">
        <f t="shared" si="117"/>
        <v>0</v>
      </c>
      <c r="F106" s="152">
        <f t="shared" si="118"/>
        <v>0</v>
      </c>
      <c r="G106" s="54" t="e">
        <f t="shared" ref="G106:G110" si="131">(E106-F106)/F106</f>
        <v>#DIV/0!</v>
      </c>
      <c r="H106" s="153">
        <f t="shared" si="119"/>
        <v>256.80000000000001</v>
      </c>
      <c r="I106" s="153">
        <f t="shared" si="120"/>
        <v>0</v>
      </c>
      <c r="J106" s="54" t="e">
        <f t="shared" si="129"/>
        <v>#DIV/0!</v>
      </c>
      <c r="K106" s="153">
        <f t="shared" si="122"/>
        <v>256.80000000000001</v>
      </c>
      <c r="L106" s="153">
        <f t="shared" si="123"/>
        <v>1190.4000000000001</v>
      </c>
      <c r="M106" s="55">
        <f t="shared" si="130"/>
        <v>-0.78427419354838712</v>
      </c>
      <c r="O106" s="63">
        <f>SUMIF('2024 AC'!$B$3:$B$250,"*"&amp;$D106&amp;"*",'2024 AC'!C$3:C$250)</f>
        <v>0</v>
      </c>
      <c r="P106" s="53">
        <f>SUMIF('2024 AC'!$B$3:$B$250,"*"&amp;$D106&amp;"*",'2024 AC'!D$3:D$250)</f>
        <v>0</v>
      </c>
      <c r="Q106" s="53">
        <f>SUMIF('2024 AC'!$B$3:$B$250,"*"&amp;$D106&amp;"*",'2024 AC'!E$3:E$250)</f>
        <v>0</v>
      </c>
      <c r="R106" s="53">
        <f>SUMIF('2024 AC'!$B$3:$B$250,"*"&amp;$D106&amp;"*",'2024 AC'!F$3:F$250)</f>
        <v>244</v>
      </c>
      <c r="S106" s="53">
        <f>SUMIF('2024 AC'!$B$3:$B$250,"*"&amp;$D106&amp;"*",'2024 AC'!G$3:G$250)</f>
        <v>1860</v>
      </c>
      <c r="T106" s="53">
        <f>SUMIF('2024 AC'!$B$3:$B$250,"*"&amp;$D106&amp;"*",'2024 AC'!H$3:H$250)</f>
        <v>0</v>
      </c>
      <c r="U106" s="53">
        <f>SUMIF('2024 AC'!$B$3:$B$250,"*"&amp;$D106&amp;"*",'2024 AC'!I$3:I$250)</f>
        <v>1103.0999999999999</v>
      </c>
      <c r="V106" s="53">
        <f>SUMIF('2024 AC'!$B$3:$B$250,"*"&amp;$D106&amp;"*",'2024 AC'!J$3:J$250)</f>
        <v>1932.8</v>
      </c>
      <c r="W106" s="53">
        <f>SUMIF('2024 AC'!$B$3:$B$250,"*"&amp;$D106&amp;"*",'2024 AC'!K$3:K$250)</f>
        <v>0</v>
      </c>
      <c r="X106" s="53">
        <f>SUMIF('2024 AC'!$B$3:$B$250,"*"&amp;$D106&amp;"*",'2024 AC'!L$3:L$250)</f>
        <v>0</v>
      </c>
      <c r="Y106" s="53">
        <f>SUMIF('2024 AC'!$B$3:$B$250,"*"&amp;$D106&amp;"*",'2024 AC'!M$3:M$250)</f>
        <v>0</v>
      </c>
      <c r="Z106" s="93">
        <f>SUMIF('2024 AC'!$B$3:$B$250,"*"&amp;$D106&amp;"*",'2024 AC'!N$3:N$250)</f>
        <v>2187.1999999999998</v>
      </c>
      <c r="AA106" s="92">
        <f t="shared" si="83"/>
        <v>7327.0999999999995</v>
      </c>
      <c r="AB106" s="93">
        <f t="shared" si="84"/>
        <v>0</v>
      </c>
      <c r="AC106" s="93">
        <f t="shared" si="85"/>
        <v>2104</v>
      </c>
      <c r="AD106" s="93">
        <f t="shared" si="86"/>
        <v>3035.8999999999996</v>
      </c>
      <c r="AE106" s="93">
        <f t="shared" si="87"/>
        <v>2187.1999999999998</v>
      </c>
      <c r="AF106" s="92">
        <f t="shared" si="88"/>
        <v>7327.0999999999995</v>
      </c>
      <c r="AH106" s="63">
        <f>SUMIF('2025 AC'!$B$3:$B$250,"*"&amp;$D106&amp;"*",'2025 AC'!C$3:C$250)</f>
        <v>0</v>
      </c>
      <c r="AI106" s="53">
        <f>SUMIF('2025 AC'!$B$3:$B$250,"*"&amp;$D106&amp;"*",'2025 AC'!D$3:D$250)</f>
        <v>0</v>
      </c>
      <c r="AJ106" s="53">
        <f>SUMIF('2025 AC'!$B$3:$B$250,"*"&amp;$D106&amp;"*",'2025 AC'!E$3:E$250)</f>
        <v>1190.4000000000001</v>
      </c>
      <c r="AK106" s="53">
        <f>SUMIF('2025 AC'!$B$3:$B$250,"*"&amp;$D106&amp;"*",'2025 AC'!F$3:F$250)</f>
        <v>0</v>
      </c>
      <c r="AL106" s="53">
        <f>SUMIF('2025 AC'!$B$3:$B$250,"*"&amp;$D106&amp;"*",'2025 AC'!G$3:G$250)</f>
        <v>0</v>
      </c>
      <c r="AM106" s="53">
        <f>SUMIF('2025 AC'!$B$3:$B$250,"*"&amp;$D106&amp;"*",'2025 AC'!H$3:H$250)</f>
        <v>0</v>
      </c>
      <c r="AN106" s="53">
        <f>SUMIF('2025 AC'!$B$3:$B$250,"*"&amp;$D106&amp;"*",'2025 AC'!I$3:I$250)</f>
        <v>1456.77</v>
      </c>
      <c r="AO106" s="53">
        <f>SUMIF('2025 AC'!$B$3:$B$250,"*"&amp;$D106&amp;"*",'2025 AC'!J$3:J$250)</f>
        <v>0</v>
      </c>
      <c r="AP106" s="53">
        <f>SUMIF('2025 AC'!$B$3:$B$250,"*"&amp;$D106&amp;"*",'2025 AC'!K$3:K$250)</f>
        <v>0</v>
      </c>
      <c r="AQ106" s="53">
        <f>SUMIF('2025 AC'!$B$3:$B$250,"*"&amp;$D106&amp;"*",'2025 AC'!L$3:L$250)</f>
        <v>0</v>
      </c>
      <c r="AR106" s="53">
        <f>SUMIF('2025 AC'!$B$3:$B$250,"*"&amp;$D106&amp;"*",'2025 AC'!M$3:M$250)</f>
        <v>1341.1800000000001</v>
      </c>
      <c r="AS106" s="53">
        <f>SUMIF('2025 AC'!$B$3:$B$250,"*"&amp;$D106&amp;"*",'2025 AC'!N$3:N$250)</f>
        <v>0</v>
      </c>
      <c r="AT106" s="94">
        <f t="shared" si="89"/>
        <v>3988.3500000000004</v>
      </c>
      <c r="AU106" s="93">
        <f t="shared" si="90"/>
        <v>1190.4000000000001</v>
      </c>
      <c r="AV106" s="93">
        <f t="shared" si="91"/>
        <v>0</v>
      </c>
      <c r="AW106" s="93">
        <f t="shared" si="92"/>
        <v>1456.77</v>
      </c>
      <c r="AX106" s="93">
        <f t="shared" si="93"/>
        <v>1341.1800000000001</v>
      </c>
      <c r="AY106" s="92">
        <f t="shared" si="94"/>
        <v>3988.3500000000004</v>
      </c>
      <c r="BA106" s="63">
        <f>SUMIF('2026 AC'!$B$3:$B$254,"*"&amp;$D106&amp;"*",'2026 AC'!C$3:C$254)</f>
        <v>0</v>
      </c>
      <c r="BB106" s="53">
        <f>SUMIF('2026 AC'!$B$3:$B$254,"*"&amp;$D106&amp;"*",'2026 AC'!D$3:D$254)</f>
        <v>0</v>
      </c>
      <c r="BC106" s="53">
        <f>SUMIF('2026 AC'!$B$3:$B$254,"*"&amp;$D106&amp;"*",'2026 AC'!E$3:E$254)</f>
        <v>0</v>
      </c>
      <c r="BD106" s="53">
        <f>SUMIF('2026 AC'!$B$3:$B$254,"*"&amp;$D106&amp;"*",'2026 AC'!F$3:F$254)</f>
        <v>256.80000000000001</v>
      </c>
      <c r="BE106" s="53">
        <f>SUMIF('2026 AC'!$B$3:$B$254,"*"&amp;$D106&amp;"*",'2026 AC'!G$3:G$254)</f>
        <v>0</v>
      </c>
      <c r="BF106" s="53">
        <f>SUMIF('2026 AC'!$B$3:$B$254,"*"&amp;$D106&amp;"*",'2026 AC'!H$3:H$254)</f>
        <v>0</v>
      </c>
      <c r="BG106" s="53">
        <f>SUMIF('2026 AC'!$B$3:$B$254,"*"&amp;$D106&amp;"*",'2026 AC'!I$3:I$254)</f>
        <v>0</v>
      </c>
      <c r="BH106" s="53">
        <f>SUMIF('2026 AC'!$B$3:$B$254,"*"&amp;$D106&amp;"*",'2026 AC'!J$3:J$254)</f>
        <v>0</v>
      </c>
      <c r="BI106" s="53">
        <f>SUMIF('2026 AC'!$B$3:$B$254,"*"&amp;$D106&amp;"*",'2026 AC'!K$3:K$254)</f>
        <v>0</v>
      </c>
      <c r="BJ106" s="53">
        <f>SUMIF('2026 AC'!$B$3:$B$254,"*"&amp;$D106&amp;"*",'2026 AC'!L$3:L$254)</f>
        <v>0</v>
      </c>
      <c r="BK106" s="53">
        <f>SUMIF('2026 AC'!$B$3:$B$254,"*"&amp;$D106&amp;"*",'2026 AC'!M$3:M$254)</f>
        <v>0</v>
      </c>
      <c r="BL106" s="93">
        <f>SUMIF('2026 AC'!$B$3:$B$254,"*"&amp;$D106&amp;"*",'2026 AC'!N$3:N$254)</f>
        <v>0</v>
      </c>
      <c r="BM106" s="92">
        <f t="shared" si="95"/>
        <v>256.80000000000001</v>
      </c>
      <c r="BN106" s="93">
        <f t="shared" si="96"/>
        <v>0</v>
      </c>
      <c r="BO106" s="93">
        <f t="shared" si="97"/>
        <v>256.80000000000001</v>
      </c>
      <c r="BP106" s="93">
        <f t="shared" si="98"/>
        <v>0</v>
      </c>
      <c r="BQ106" s="93">
        <f t="shared" si="99"/>
        <v>0</v>
      </c>
      <c r="BR106" s="92">
        <f t="shared" si="100"/>
        <v>256.80000000000001</v>
      </c>
    </row>
    <row r="107" ht="15" customHeight="1">
      <c r="C107" s="34"/>
      <c r="D107" s="35"/>
      <c r="E107" s="151">
        <f t="shared" si="117"/>
        <v>0</v>
      </c>
      <c r="F107" s="152">
        <f t="shared" si="118"/>
        <v>0</v>
      </c>
      <c r="G107" s="154"/>
      <c r="H107" s="153">
        <f t="shared" si="119"/>
        <v>0</v>
      </c>
      <c r="I107" s="153">
        <f t="shared" si="120"/>
        <v>0</v>
      </c>
      <c r="J107" s="154"/>
      <c r="K107" s="153">
        <f t="shared" si="122"/>
        <v>0</v>
      </c>
      <c r="L107" s="153">
        <f t="shared" si="123"/>
        <v>0</v>
      </c>
      <c r="M107" s="155"/>
      <c r="O107" s="6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93"/>
      <c r="AA107" s="92"/>
      <c r="AB107" s="93">
        <f t="shared" si="84"/>
        <v>0</v>
      </c>
      <c r="AC107" s="93">
        <f t="shared" si="85"/>
        <v>0</v>
      </c>
      <c r="AD107" s="93">
        <f t="shared" si="86"/>
        <v>0</v>
      </c>
      <c r="AE107" s="93">
        <f t="shared" si="87"/>
        <v>0</v>
      </c>
      <c r="AF107" s="92">
        <f t="shared" si="88"/>
        <v>0</v>
      </c>
      <c r="AH107" s="6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94"/>
      <c r="AU107" s="93">
        <f t="shared" si="90"/>
        <v>0</v>
      </c>
      <c r="AV107" s="93">
        <f t="shared" si="91"/>
        <v>0</v>
      </c>
      <c r="AW107" s="93">
        <f t="shared" si="92"/>
        <v>0</v>
      </c>
      <c r="AX107" s="93">
        <f t="shared" si="93"/>
        <v>0</v>
      </c>
      <c r="AY107" s="92">
        <f t="shared" si="94"/>
        <v>0</v>
      </c>
      <c r="BA107" s="6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93"/>
      <c r="BM107" s="92"/>
      <c r="BN107" s="93">
        <f t="shared" si="96"/>
        <v>0</v>
      </c>
      <c r="BO107" s="93">
        <f t="shared" si="97"/>
        <v>0</v>
      </c>
      <c r="BP107" s="93">
        <f t="shared" si="98"/>
        <v>0</v>
      </c>
      <c r="BQ107" s="93">
        <f t="shared" si="99"/>
        <v>0</v>
      </c>
      <c r="BR107" s="92">
        <f t="shared" si="100"/>
        <v>0</v>
      </c>
    </row>
    <row r="108" s="125" customFormat="1" ht="15" customHeight="1">
      <c r="A108" s="174"/>
      <c r="C108" s="126" t="s">
        <v>242</v>
      </c>
      <c r="D108" s="127"/>
      <c r="E108" s="189">
        <f t="shared" si="117"/>
        <v>90269.070000000022</v>
      </c>
      <c r="F108" s="177">
        <f t="shared" si="118"/>
        <v>81446.169999999998</v>
      </c>
      <c r="G108" s="178">
        <f t="shared" si="131"/>
        <v>0.1083279913592011</v>
      </c>
      <c r="H108" s="176">
        <f t="shared" si="119"/>
        <v>254155.03999999998</v>
      </c>
      <c r="I108" s="176">
        <f t="shared" si="120"/>
        <v>270313.09999999998</v>
      </c>
      <c r="J108" s="178">
        <f t="shared" si="129"/>
        <v>-5.9775349400380519e-02</v>
      </c>
      <c r="K108" s="176">
        <f t="shared" si="122"/>
        <v>600818.41999999993</v>
      </c>
      <c r="L108" s="176">
        <f t="shared" si="123"/>
        <v>672471.05000000005</v>
      </c>
      <c r="M108" s="179">
        <f t="shared" si="130"/>
        <v>-0.10655124856304241</v>
      </c>
      <c r="O108" s="180">
        <f>O74+O75+O82+O92+O94+O95+O96+O97+O103</f>
        <v>104892.21999999999</v>
      </c>
      <c r="P108" s="181">
        <f t="shared" ref="P108:Z108" si="132">P74+P75+P82+P92+P94+P95+P96+P97+P103</f>
        <v>109917.01999999999</v>
      </c>
      <c r="Q108" s="181">
        <f t="shared" si="132"/>
        <v>160167.66</v>
      </c>
      <c r="R108" s="181">
        <f t="shared" si="132"/>
        <v>104938.79999999999</v>
      </c>
      <c r="S108" s="181">
        <f t="shared" si="132"/>
        <v>118461.53</v>
      </c>
      <c r="T108" s="181">
        <f t="shared" si="132"/>
        <v>121218.52</v>
      </c>
      <c r="U108" s="181">
        <f t="shared" si="132"/>
        <v>124531.53000000001</v>
      </c>
      <c r="V108" s="181">
        <f t="shared" si="132"/>
        <v>155167.03</v>
      </c>
      <c r="W108" s="181">
        <f t="shared" si="132"/>
        <v>111744.25000000001</v>
      </c>
      <c r="X108" s="181">
        <f t="shared" si="132"/>
        <v>113069.51000000001</v>
      </c>
      <c r="Y108" s="181">
        <f t="shared" si="132"/>
        <v>120227.76000000001</v>
      </c>
      <c r="Z108" s="182">
        <f t="shared" si="132"/>
        <v>113791.47</v>
      </c>
      <c r="AA108" s="183">
        <f t="shared" si="83"/>
        <v>1458127.3</v>
      </c>
      <c r="AB108" s="182">
        <f t="shared" si="84"/>
        <v>374976.90000000002</v>
      </c>
      <c r="AC108" s="182">
        <f t="shared" si="85"/>
        <v>344618.84999999998</v>
      </c>
      <c r="AD108" s="182">
        <f t="shared" si="86"/>
        <v>391442.81</v>
      </c>
      <c r="AE108" s="182">
        <f t="shared" si="87"/>
        <v>347088.73999999999</v>
      </c>
      <c r="AF108" s="183">
        <f t="shared" si="88"/>
        <v>1458127.3</v>
      </c>
      <c r="AH108" s="180">
        <f>AH74+AH75+AH82+AH92+AH94+AH95+AH96+AH97+AH103</f>
        <v>167384.80000000002</v>
      </c>
      <c r="AI108" s="181">
        <f t="shared" ref="AI108:AS108" si="133">AI74+AI75+AI82+AI92+AI94+AI95+AI96+AI97+AI103</f>
        <v>105537.00999999999</v>
      </c>
      <c r="AJ108" s="181">
        <f t="shared" si="133"/>
        <v>129236.14</v>
      </c>
      <c r="AK108" s="181">
        <f t="shared" si="133"/>
        <v>80591.010000000009</v>
      </c>
      <c r="AL108" s="181">
        <f t="shared" si="133"/>
        <v>108275.92</v>
      </c>
      <c r="AM108" s="181">
        <f t="shared" si="133"/>
        <v>81446.169999999998</v>
      </c>
      <c r="AN108" s="181">
        <f t="shared" si="133"/>
        <v>63089.110000000001</v>
      </c>
      <c r="AO108" s="181">
        <f t="shared" si="133"/>
        <v>100526.22</v>
      </c>
      <c r="AP108" s="181">
        <f t="shared" si="133"/>
        <v>100175.88</v>
      </c>
      <c r="AQ108" s="181">
        <f t="shared" si="133"/>
        <v>99858.73000000001</v>
      </c>
      <c r="AR108" s="181">
        <f t="shared" si="133"/>
        <v>91557.110000000001</v>
      </c>
      <c r="AS108" s="181">
        <f t="shared" si="133"/>
        <v>83224.760000000009</v>
      </c>
      <c r="AT108" s="184">
        <f t="shared" si="89"/>
        <v>1210902.8600000001</v>
      </c>
      <c r="AU108" s="182">
        <f t="shared" si="90"/>
        <v>402157.95000000001</v>
      </c>
      <c r="AV108" s="182">
        <f t="shared" si="91"/>
        <v>270313.09999999998</v>
      </c>
      <c r="AW108" s="182">
        <f t="shared" si="92"/>
        <v>263791.21000000002</v>
      </c>
      <c r="AX108" s="182">
        <f t="shared" si="93"/>
        <v>274640.60000000003</v>
      </c>
      <c r="AY108" s="183">
        <f t="shared" si="94"/>
        <v>1210902.8600000001</v>
      </c>
      <c r="BA108" s="180">
        <f>BA74+BA75+BA82+BA92+BA94+BA95+BA96+BA97+BA103</f>
        <v>132952.79999999999</v>
      </c>
      <c r="BB108" s="181">
        <f t="shared" ref="BB108:BL108" si="134">BB74+BB75+BB82+BB92+BB94+BB95+BB96+BB97+BB103</f>
        <v>103682.11999999997</v>
      </c>
      <c r="BC108" s="181">
        <f t="shared" si="134"/>
        <v>110028.45999999999</v>
      </c>
      <c r="BD108" s="181">
        <f t="shared" si="134"/>
        <v>79680.649999999994</v>
      </c>
      <c r="BE108" s="181">
        <f t="shared" si="134"/>
        <v>84205.319999999992</v>
      </c>
      <c r="BF108" s="181">
        <f t="shared" si="134"/>
        <v>90269.070000000022</v>
      </c>
      <c r="BG108" s="181">
        <f t="shared" si="134"/>
        <v>0</v>
      </c>
      <c r="BH108" s="181">
        <f t="shared" si="134"/>
        <v>0</v>
      </c>
      <c r="BI108" s="181">
        <f t="shared" si="134"/>
        <v>0</v>
      </c>
      <c r="BJ108" s="181">
        <f t="shared" si="134"/>
        <v>0</v>
      </c>
      <c r="BK108" s="181">
        <f t="shared" si="134"/>
        <v>0</v>
      </c>
      <c r="BL108" s="182">
        <f t="shared" si="134"/>
        <v>0</v>
      </c>
      <c r="BM108" s="183">
        <f t="shared" si="95"/>
        <v>600818.41999999993</v>
      </c>
      <c r="BN108" s="182">
        <f t="shared" si="96"/>
        <v>346663.37999999995</v>
      </c>
      <c r="BO108" s="182">
        <f t="shared" si="97"/>
        <v>254155.03999999998</v>
      </c>
      <c r="BP108" s="182">
        <f t="shared" si="98"/>
        <v>0</v>
      </c>
      <c r="BQ108" s="182">
        <f t="shared" si="99"/>
        <v>0</v>
      </c>
      <c r="BR108" s="183">
        <f t="shared" si="100"/>
        <v>600818.41999999993</v>
      </c>
    </row>
    <row r="109" ht="15" customHeight="1">
      <c r="A109" s="185"/>
      <c r="C109" s="136"/>
      <c r="D109" s="35"/>
      <c r="E109" s="188">
        <f t="shared" si="117"/>
        <v>0</v>
      </c>
      <c r="F109" s="152">
        <f t="shared" si="118"/>
        <v>0</v>
      </c>
      <c r="G109" s="154"/>
      <c r="H109" s="153">
        <f t="shared" si="119"/>
        <v>0</v>
      </c>
      <c r="I109" s="153">
        <f t="shared" si="120"/>
        <v>0</v>
      </c>
      <c r="J109" s="154"/>
      <c r="K109" s="153">
        <f t="shared" si="122"/>
        <v>0</v>
      </c>
      <c r="L109" s="153">
        <f t="shared" si="123"/>
        <v>0</v>
      </c>
      <c r="M109" s="155"/>
      <c r="O109" s="168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70"/>
      <c r="AA109" s="171"/>
      <c r="AB109" s="170">
        <f t="shared" si="84"/>
        <v>0</v>
      </c>
      <c r="AC109" s="170">
        <f t="shared" si="85"/>
        <v>0</v>
      </c>
      <c r="AD109" s="170">
        <f t="shared" si="86"/>
        <v>0</v>
      </c>
      <c r="AE109" s="170">
        <f t="shared" si="87"/>
        <v>0</v>
      </c>
      <c r="AF109" s="171">
        <f t="shared" si="88"/>
        <v>0</v>
      </c>
      <c r="AH109" s="168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72"/>
      <c r="AU109" s="170">
        <f t="shared" si="90"/>
        <v>0</v>
      </c>
      <c r="AV109" s="170">
        <f t="shared" si="91"/>
        <v>0</v>
      </c>
      <c r="AW109" s="170">
        <f t="shared" si="92"/>
        <v>0</v>
      </c>
      <c r="AX109" s="170">
        <f t="shared" si="93"/>
        <v>0</v>
      </c>
      <c r="AY109" s="171">
        <f t="shared" si="94"/>
        <v>0</v>
      </c>
      <c r="BA109" s="168"/>
      <c r="BB109" s="169"/>
      <c r="BC109" s="169"/>
      <c r="BD109" s="169"/>
      <c r="BE109" s="169"/>
      <c r="BF109" s="169"/>
      <c r="BG109" s="169"/>
      <c r="BH109" s="169"/>
      <c r="BI109" s="169"/>
      <c r="BJ109" s="169"/>
      <c r="BK109" s="169"/>
      <c r="BL109" s="170"/>
      <c r="BM109" s="171"/>
      <c r="BN109" s="170">
        <f t="shared" si="96"/>
        <v>0</v>
      </c>
      <c r="BO109" s="170">
        <f t="shared" si="97"/>
        <v>0</v>
      </c>
      <c r="BP109" s="170">
        <f t="shared" si="98"/>
        <v>0</v>
      </c>
      <c r="BQ109" s="170">
        <f t="shared" si="99"/>
        <v>0</v>
      </c>
      <c r="BR109" s="171">
        <f t="shared" si="100"/>
        <v>0</v>
      </c>
    </row>
    <row r="110" s="190" customFormat="1" ht="15" customHeight="1">
      <c r="A110" s="174" t="s">
        <v>243</v>
      </c>
      <c r="C110" s="175" t="s">
        <v>244</v>
      </c>
      <c r="D110" s="191"/>
      <c r="E110" s="192">
        <f t="shared" si="117"/>
        <v>372730.01999999996</v>
      </c>
      <c r="F110" s="193">
        <f t="shared" si="118"/>
        <v>345942.34000000003</v>
      </c>
      <c r="G110" s="178">
        <f t="shared" si="131"/>
        <v>7.7433944627882015e-02</v>
      </c>
      <c r="H110" s="192">
        <f t="shared" si="119"/>
        <v>1154353.95</v>
      </c>
      <c r="I110" s="192">
        <f t="shared" si="120"/>
        <v>1058421.5</v>
      </c>
      <c r="J110" s="178">
        <f t="shared" si="129"/>
        <v>9.0637283917607447e-02</v>
      </c>
      <c r="K110" s="192">
        <f t="shared" si="122"/>
        <v>2278739.1299999999</v>
      </c>
      <c r="L110" s="192">
        <f t="shared" si="123"/>
        <v>2001260.9299999999</v>
      </c>
      <c r="M110" s="179">
        <f t="shared" si="130"/>
        <v>0.13865168496543825</v>
      </c>
      <c r="O110" s="180">
        <f>O70-O108</f>
        <v>218077.29000000004</v>
      </c>
      <c r="P110" s="181">
        <f t="shared" ref="P110:Z110" si="135">P70-P108</f>
        <v>342918.42000000004</v>
      </c>
      <c r="Q110" s="181">
        <f t="shared" si="135"/>
        <v>243819.10000000006</v>
      </c>
      <c r="R110" s="181">
        <f t="shared" si="135"/>
        <v>269526.04000000004</v>
      </c>
      <c r="S110" s="181">
        <f t="shared" si="135"/>
        <v>393902.70999999996</v>
      </c>
      <c r="T110" s="181">
        <f t="shared" si="135"/>
        <v>320735.27999999997</v>
      </c>
      <c r="U110" s="181">
        <f t="shared" si="135"/>
        <v>396009.15999999997</v>
      </c>
      <c r="V110" s="181">
        <f t="shared" si="135"/>
        <v>480935.4800000001</v>
      </c>
      <c r="W110" s="181">
        <f t="shared" si="135"/>
        <v>349720.66000000003</v>
      </c>
      <c r="X110" s="181">
        <f t="shared" si="135"/>
        <v>340912.59999999998</v>
      </c>
      <c r="Y110" s="181">
        <f t="shared" si="135"/>
        <v>394436.67999999999</v>
      </c>
      <c r="Z110" s="182">
        <f t="shared" si="135"/>
        <v>449459.23999999999</v>
      </c>
      <c r="AA110" s="183">
        <f t="shared" si="83"/>
        <v>4200452.6600000001</v>
      </c>
      <c r="AB110" s="182">
        <f t="shared" si="84"/>
        <v>804814.81000000017</v>
      </c>
      <c r="AC110" s="182">
        <f t="shared" si="85"/>
        <v>984164.03000000003</v>
      </c>
      <c r="AD110" s="182">
        <f t="shared" si="86"/>
        <v>1226665.3000000003</v>
      </c>
      <c r="AE110" s="182">
        <f t="shared" si="87"/>
        <v>1184808.52</v>
      </c>
      <c r="AF110" s="183">
        <f t="shared" si="88"/>
        <v>4200452.6600000001</v>
      </c>
      <c r="AH110" s="180">
        <f>AH70-AH108</f>
        <v>303055.14000000001</v>
      </c>
      <c r="AI110" s="181">
        <f t="shared" ref="AI110:AS110" si="136">AI70-AI108</f>
        <v>327458.44999999995</v>
      </c>
      <c r="AJ110" s="181">
        <f t="shared" si="136"/>
        <v>312325.83999999997</v>
      </c>
      <c r="AK110" s="181">
        <f t="shared" si="136"/>
        <v>325363.76000000001</v>
      </c>
      <c r="AL110" s="181">
        <f t="shared" si="136"/>
        <v>387115.40000000002</v>
      </c>
      <c r="AM110" s="181">
        <f t="shared" si="136"/>
        <v>345942.34000000003</v>
      </c>
      <c r="AN110" s="181">
        <f t="shared" si="136"/>
        <v>370221.06</v>
      </c>
      <c r="AO110" s="181">
        <f t="shared" si="136"/>
        <v>379066.19999999995</v>
      </c>
      <c r="AP110" s="181">
        <f t="shared" si="136"/>
        <v>396247.35999999993</v>
      </c>
      <c r="AQ110" s="181">
        <f t="shared" si="136"/>
        <v>218237.80000000002</v>
      </c>
      <c r="AR110" s="181">
        <f t="shared" si="136"/>
        <v>324014.31</v>
      </c>
      <c r="AS110" s="181">
        <f t="shared" si="136"/>
        <v>546842.14000000001</v>
      </c>
      <c r="AT110" s="184">
        <f t="shared" si="89"/>
        <v>4235889.7999999989</v>
      </c>
      <c r="AU110" s="182">
        <f t="shared" si="90"/>
        <v>942839.42999999993</v>
      </c>
      <c r="AV110" s="182">
        <f t="shared" si="91"/>
        <v>1058421.5</v>
      </c>
      <c r="AW110" s="182">
        <f t="shared" si="92"/>
        <v>1145534.6199999999</v>
      </c>
      <c r="AX110" s="182">
        <f t="shared" si="93"/>
        <v>1089094.25</v>
      </c>
      <c r="AY110" s="183">
        <f t="shared" si="94"/>
        <v>4235889.7999999998</v>
      </c>
      <c r="BA110" s="180">
        <f>BA70-BA108</f>
        <v>379204.94</v>
      </c>
      <c r="BB110" s="181">
        <f t="shared" ref="BB110:BL110" si="137">BB70-BB108</f>
        <v>355994.52000000002</v>
      </c>
      <c r="BC110" s="181">
        <f t="shared" si="137"/>
        <v>389185.71999999997</v>
      </c>
      <c r="BD110" s="181">
        <f t="shared" si="137"/>
        <v>407691.77000000002</v>
      </c>
      <c r="BE110" s="181">
        <f t="shared" si="137"/>
        <v>373932.15999999997</v>
      </c>
      <c r="BF110" s="181">
        <f t="shared" si="137"/>
        <v>372730.01999999996</v>
      </c>
      <c r="BG110" s="181">
        <f t="shared" si="137"/>
        <v>0</v>
      </c>
      <c r="BH110" s="181">
        <f t="shared" si="137"/>
        <v>0</v>
      </c>
      <c r="BI110" s="181">
        <f t="shared" si="137"/>
        <v>0</v>
      </c>
      <c r="BJ110" s="181">
        <f t="shared" si="137"/>
        <v>0</v>
      </c>
      <c r="BK110" s="181">
        <f t="shared" si="137"/>
        <v>0</v>
      </c>
      <c r="BL110" s="182">
        <f t="shared" si="137"/>
        <v>0</v>
      </c>
      <c r="BM110" s="183">
        <f t="shared" si="95"/>
        <v>2278739.1299999999</v>
      </c>
      <c r="BN110" s="182">
        <f t="shared" si="96"/>
        <v>1124385.1799999999</v>
      </c>
      <c r="BO110" s="182">
        <f t="shared" si="97"/>
        <v>1154353.95</v>
      </c>
      <c r="BP110" s="182">
        <f t="shared" si="98"/>
        <v>0</v>
      </c>
      <c r="BQ110" s="182">
        <f t="shared" si="99"/>
        <v>0</v>
      </c>
      <c r="BR110" s="183">
        <f t="shared" si="100"/>
        <v>2278739.1299999999</v>
      </c>
    </row>
    <row r="111" ht="15" customHeight="1">
      <c r="A111" s="185" t="s">
        <v>245</v>
      </c>
      <c r="C111" s="160"/>
      <c r="D111" s="35"/>
      <c r="E111" s="188">
        <f t="shared" si="117"/>
        <v>0</v>
      </c>
      <c r="F111" s="152">
        <f t="shared" si="118"/>
        <v>0</v>
      </c>
      <c r="G111" s="154"/>
      <c r="H111" s="153">
        <f t="shared" si="119"/>
        <v>0</v>
      </c>
      <c r="I111" s="153">
        <f t="shared" si="120"/>
        <v>0</v>
      </c>
      <c r="J111" s="154"/>
      <c r="K111" s="153">
        <f t="shared" si="122"/>
        <v>0</v>
      </c>
      <c r="L111" s="153">
        <f t="shared" si="123"/>
        <v>0</v>
      </c>
      <c r="M111" s="155"/>
      <c r="O111" s="168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70"/>
      <c r="AA111" s="171"/>
      <c r="AB111" s="170">
        <f t="shared" si="84"/>
        <v>0</v>
      </c>
      <c r="AC111" s="170">
        <f t="shared" si="85"/>
        <v>0</v>
      </c>
      <c r="AD111" s="170">
        <f t="shared" si="86"/>
        <v>0</v>
      </c>
      <c r="AE111" s="170">
        <f t="shared" si="87"/>
        <v>0</v>
      </c>
      <c r="AF111" s="171">
        <f t="shared" si="88"/>
        <v>0</v>
      </c>
      <c r="AH111" s="168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72"/>
      <c r="AU111" s="170">
        <f t="shared" si="90"/>
        <v>0</v>
      </c>
      <c r="AV111" s="170">
        <f t="shared" si="91"/>
        <v>0</v>
      </c>
      <c r="AW111" s="170">
        <f t="shared" si="92"/>
        <v>0</v>
      </c>
      <c r="AX111" s="170">
        <f t="shared" si="93"/>
        <v>0</v>
      </c>
      <c r="AY111" s="171">
        <f t="shared" si="94"/>
        <v>0</v>
      </c>
      <c r="BA111" s="168"/>
      <c r="BB111" s="169"/>
      <c r="BC111" s="169"/>
      <c r="BD111" s="169"/>
      <c r="BE111" s="169"/>
      <c r="BF111" s="169"/>
      <c r="BG111" s="169"/>
      <c r="BH111" s="169"/>
      <c r="BI111" s="169"/>
      <c r="BJ111" s="169"/>
      <c r="BK111" s="169"/>
      <c r="BL111" s="170"/>
      <c r="BM111" s="171"/>
      <c r="BN111" s="170">
        <f t="shared" si="96"/>
        <v>0</v>
      </c>
      <c r="BO111" s="170">
        <f t="shared" si="97"/>
        <v>0</v>
      </c>
      <c r="BP111" s="170">
        <f t="shared" si="98"/>
        <v>0</v>
      </c>
      <c r="BQ111" s="170">
        <f t="shared" si="99"/>
        <v>0</v>
      </c>
      <c r="BR111" s="171">
        <f t="shared" si="100"/>
        <v>0</v>
      </c>
    </row>
    <row r="112" ht="15" customHeight="1">
      <c r="A112" s="185"/>
      <c r="C112" s="194" t="s">
        <v>245</v>
      </c>
      <c r="D112" s="35"/>
      <c r="E112" s="188">
        <f t="shared" si="117"/>
        <v>0</v>
      </c>
      <c r="F112" s="152">
        <f t="shared" si="118"/>
        <v>0</v>
      </c>
      <c r="G112" s="154"/>
      <c r="H112" s="153">
        <f t="shared" si="119"/>
        <v>0</v>
      </c>
      <c r="I112" s="153">
        <f t="shared" si="120"/>
        <v>0</v>
      </c>
      <c r="J112" s="154"/>
      <c r="K112" s="153">
        <f t="shared" si="122"/>
        <v>0</v>
      </c>
      <c r="L112" s="153">
        <f t="shared" si="123"/>
        <v>0</v>
      </c>
      <c r="M112" s="155"/>
      <c r="O112" s="168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70"/>
      <c r="AA112" s="171"/>
      <c r="AB112" s="170">
        <f t="shared" si="84"/>
        <v>0</v>
      </c>
      <c r="AC112" s="170">
        <f t="shared" si="85"/>
        <v>0</v>
      </c>
      <c r="AD112" s="170">
        <f t="shared" si="86"/>
        <v>0</v>
      </c>
      <c r="AE112" s="170">
        <f t="shared" si="87"/>
        <v>0</v>
      </c>
      <c r="AF112" s="171">
        <f t="shared" si="88"/>
        <v>0</v>
      </c>
      <c r="AH112" s="168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72"/>
      <c r="AU112" s="170">
        <f t="shared" si="90"/>
        <v>0</v>
      </c>
      <c r="AV112" s="170">
        <f t="shared" si="91"/>
        <v>0</v>
      </c>
      <c r="AW112" s="170">
        <f t="shared" si="92"/>
        <v>0</v>
      </c>
      <c r="AX112" s="170">
        <f t="shared" si="93"/>
        <v>0</v>
      </c>
      <c r="AY112" s="171">
        <f t="shared" si="94"/>
        <v>0</v>
      </c>
      <c r="BA112" s="168"/>
      <c r="BB112" s="169"/>
      <c r="BC112" s="169"/>
      <c r="BD112" s="169"/>
      <c r="BE112" s="169"/>
      <c r="BF112" s="169"/>
      <c r="BG112" s="169"/>
      <c r="BH112" s="169"/>
      <c r="BI112" s="169"/>
      <c r="BJ112" s="169"/>
      <c r="BK112" s="169"/>
      <c r="BL112" s="170"/>
      <c r="BM112" s="171"/>
      <c r="BN112" s="170">
        <f t="shared" si="96"/>
        <v>0</v>
      </c>
      <c r="BO112" s="170">
        <f t="shared" si="97"/>
        <v>0</v>
      </c>
      <c r="BP112" s="170">
        <f t="shared" si="98"/>
        <v>0</v>
      </c>
      <c r="BQ112" s="170">
        <f t="shared" si="99"/>
        <v>0</v>
      </c>
      <c r="BR112" s="171">
        <f t="shared" si="100"/>
        <v>0</v>
      </c>
    </row>
    <row r="113" ht="15" customHeight="1">
      <c r="A113" s="185"/>
      <c r="C113" s="194"/>
      <c r="D113" s="35"/>
      <c r="E113" s="188">
        <f t="shared" si="117"/>
        <v>0</v>
      </c>
      <c r="F113" s="152">
        <f t="shared" si="118"/>
        <v>0</v>
      </c>
      <c r="G113" s="154"/>
      <c r="H113" s="153">
        <f t="shared" si="119"/>
        <v>0</v>
      </c>
      <c r="I113" s="153">
        <f t="shared" si="120"/>
        <v>0</v>
      </c>
      <c r="J113" s="154"/>
      <c r="K113" s="153">
        <f t="shared" si="122"/>
        <v>0</v>
      </c>
      <c r="L113" s="153">
        <f t="shared" si="123"/>
        <v>0</v>
      </c>
      <c r="M113" s="155"/>
      <c r="O113" s="168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70"/>
      <c r="AA113" s="171"/>
      <c r="AB113" s="170">
        <f t="shared" si="84"/>
        <v>0</v>
      </c>
      <c r="AC113" s="170">
        <f t="shared" si="85"/>
        <v>0</v>
      </c>
      <c r="AD113" s="170">
        <f t="shared" si="86"/>
        <v>0</v>
      </c>
      <c r="AE113" s="170">
        <f t="shared" si="87"/>
        <v>0</v>
      </c>
      <c r="AF113" s="171">
        <f t="shared" si="88"/>
        <v>0</v>
      </c>
      <c r="AH113" s="168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72"/>
      <c r="AU113" s="170">
        <f t="shared" si="90"/>
        <v>0</v>
      </c>
      <c r="AV113" s="170">
        <f t="shared" si="91"/>
        <v>0</v>
      </c>
      <c r="AW113" s="170">
        <f t="shared" si="92"/>
        <v>0</v>
      </c>
      <c r="AX113" s="170">
        <f t="shared" si="93"/>
        <v>0</v>
      </c>
      <c r="AY113" s="171">
        <f t="shared" si="94"/>
        <v>0</v>
      </c>
      <c r="BA113" s="168"/>
      <c r="BB113" s="169"/>
      <c r="BC113" s="169"/>
      <c r="BD113" s="169"/>
      <c r="BE113" s="169"/>
      <c r="BF113" s="169"/>
      <c r="BG113" s="169"/>
      <c r="BH113" s="169"/>
      <c r="BI113" s="169"/>
      <c r="BJ113" s="169"/>
      <c r="BK113" s="169"/>
      <c r="BL113" s="170"/>
      <c r="BM113" s="171"/>
      <c r="BN113" s="170">
        <f t="shared" si="96"/>
        <v>0</v>
      </c>
      <c r="BO113" s="170">
        <f t="shared" si="97"/>
        <v>0</v>
      </c>
      <c r="BP113" s="170">
        <f t="shared" si="98"/>
        <v>0</v>
      </c>
      <c r="BQ113" s="170">
        <f t="shared" si="99"/>
        <v>0</v>
      </c>
      <c r="BR113" s="171">
        <f t="shared" si="100"/>
        <v>0</v>
      </c>
    </row>
    <row r="114" s="137" customFormat="1">
      <c r="A114" s="137" t="s">
        <v>246</v>
      </c>
      <c r="B114" s="137" t="s">
        <v>247</v>
      </c>
      <c r="C114" s="187" t="s">
        <v>248</v>
      </c>
      <c r="D114" s="139" t="s">
        <v>247</v>
      </c>
      <c r="E114" s="143">
        <f t="shared" si="117"/>
        <v>0</v>
      </c>
      <c r="F114" s="141">
        <f t="shared" si="118"/>
        <v>0</v>
      </c>
      <c r="G114" s="161">
        <f>IFERROR((E114-F114)/F114,0)</f>
        <v>0</v>
      </c>
      <c r="H114" s="143">
        <f t="shared" si="119"/>
        <v>0</v>
      </c>
      <c r="I114" s="143">
        <f t="shared" si="120"/>
        <v>0</v>
      </c>
      <c r="J114" s="161">
        <f>IFERROR((H114-I114)/I114,0)</f>
        <v>0</v>
      </c>
      <c r="K114" s="143">
        <f t="shared" si="122"/>
        <v>0</v>
      </c>
      <c r="L114" s="143">
        <f t="shared" si="123"/>
        <v>0</v>
      </c>
      <c r="M114" s="163">
        <f>IFERROR((K114-L114)/L114,0)</f>
        <v>0</v>
      </c>
      <c r="O114" s="145">
        <f>SUMIF('2024 AC'!$B$3:$B$250,"*"&amp;$D114&amp;"*",'2024 AC'!C$3:C$250)</f>
        <v>0</v>
      </c>
      <c r="P114" s="146">
        <f>SUMIF('2024 AC'!$B$3:$B$250,"*"&amp;$D114&amp;"*",'2024 AC'!D$3:D$250)</f>
        <v>0</v>
      </c>
      <c r="Q114" s="146">
        <f>SUMIF('2024 AC'!$B$3:$B$250,"*"&amp;$D114&amp;"*",'2024 AC'!E$3:E$250)</f>
        <v>0</v>
      </c>
      <c r="R114" s="146">
        <f>SUMIF('2024 AC'!$B$3:$B$250,"*"&amp;$D114&amp;"*",'2024 AC'!F$3:F$250)</f>
        <v>-43.82</v>
      </c>
      <c r="S114" s="146">
        <f>SUMIF('2024 AC'!$B$3:$B$250,"*"&amp;$D114&amp;"*",'2024 AC'!G$3:G$250)</f>
        <v>0</v>
      </c>
      <c r="T114" s="146">
        <f>SUMIF('2024 AC'!$B$3:$B$250,"*"&amp;$D114&amp;"*",'2024 AC'!H$3:H$250)</f>
        <v>0</v>
      </c>
      <c r="U114" s="146">
        <f>SUMIF('2024 AC'!$B$3:$B$250,"*"&amp;$D114&amp;"*",'2024 AC'!I$3:I$250)</f>
        <v>0</v>
      </c>
      <c r="V114" s="146">
        <f>SUMIF('2024 AC'!$B$3:$B$250,"*"&amp;$D114&amp;"*",'2024 AC'!J$3:J$250)</f>
        <v>0</v>
      </c>
      <c r="W114" s="146">
        <f>SUMIF('2024 AC'!$B$3:$B$250,"*"&amp;$D114&amp;"*",'2024 AC'!K$3:K$250)</f>
        <v>0</v>
      </c>
      <c r="X114" s="146">
        <f>SUMIF('2024 AC'!$B$3:$B$250,"*"&amp;$D114&amp;"*",'2024 AC'!L$3:L$250)</f>
        <v>0</v>
      </c>
      <c r="Y114" s="146">
        <f>SUMIF('2024 AC'!$B$3:$B$250,"*"&amp;$D114&amp;"*",'2024 AC'!M$3:M$250)</f>
        <v>0</v>
      </c>
      <c r="Z114" s="147">
        <f>SUMIF('2024 AC'!$B$3:$B$250,"*"&amp;$D114&amp;"*",'2024 AC'!N$3:N$250)</f>
        <v>0</v>
      </c>
      <c r="AA114" s="148">
        <f t="shared" si="83"/>
        <v>-43.82</v>
      </c>
      <c r="AB114" s="147">
        <f t="shared" si="84"/>
        <v>0</v>
      </c>
      <c r="AC114" s="147">
        <f t="shared" si="85"/>
        <v>-43.82</v>
      </c>
      <c r="AD114" s="147">
        <f t="shared" si="86"/>
        <v>0</v>
      </c>
      <c r="AE114" s="147">
        <f t="shared" si="87"/>
        <v>0</v>
      </c>
      <c r="AF114" s="148">
        <f t="shared" si="88"/>
        <v>-43.82</v>
      </c>
      <c r="AH114" s="145">
        <f>SUMIF('2025 AC'!$B$3:$B$250,"*"&amp;$D114&amp;"*",'2025 AC'!C$3:C$250)</f>
        <v>0</v>
      </c>
      <c r="AI114" s="146">
        <f>SUMIF('2025 AC'!$B$3:$B$250,"*"&amp;$D114&amp;"*",'2025 AC'!D$3:D$250)</f>
        <v>0</v>
      </c>
      <c r="AJ114" s="146">
        <f>SUMIF('2025 AC'!$B$3:$B$250,"*"&amp;$D114&amp;"*",'2025 AC'!E$3:E$250)</f>
        <v>0</v>
      </c>
      <c r="AK114" s="146">
        <f>SUMIF('2025 AC'!$B$3:$B$250,"*"&amp;$D114&amp;"*",'2025 AC'!F$3:F$250)</f>
        <v>0</v>
      </c>
      <c r="AL114" s="146">
        <f>SUMIF('2025 AC'!$B$3:$B$250,"*"&amp;$D114&amp;"*",'2025 AC'!G$3:G$250)</f>
        <v>0</v>
      </c>
      <c r="AM114" s="146">
        <f>SUMIF('2025 AC'!$B$3:$B$250,"*"&amp;$D114&amp;"*",'2025 AC'!H$3:H$250)</f>
        <v>0</v>
      </c>
      <c r="AN114" s="146">
        <f>SUMIF('2025 AC'!$B$3:$B$250,"*"&amp;$D114&amp;"*",'2025 AC'!I$3:I$250)</f>
        <v>0</v>
      </c>
      <c r="AO114" s="146">
        <f>SUMIF('2025 AC'!$B$3:$B$250,"*"&amp;$D114&amp;"*",'2025 AC'!J$3:J$250)</f>
        <v>0</v>
      </c>
      <c r="AP114" s="146">
        <f>SUMIF('2025 AC'!$B$3:$B$250,"*"&amp;$D114&amp;"*",'2025 AC'!K$3:K$250)</f>
        <v>0</v>
      </c>
      <c r="AQ114" s="146">
        <f>SUMIF('2025 AC'!$B$3:$B$250,"*"&amp;$D114&amp;"*",'2025 AC'!L$3:L$250)</f>
        <v>0</v>
      </c>
      <c r="AR114" s="146">
        <f>SUMIF('2025 AC'!$B$3:$B$250,"*"&amp;$D114&amp;"*",'2025 AC'!M$3:M$250)</f>
        <v>0</v>
      </c>
      <c r="AS114" s="146">
        <f>SUMIF('2025 AC'!$B$3:$B$250,"*"&amp;$D114&amp;"*",'2025 AC'!N$3:N$250)</f>
        <v>0</v>
      </c>
      <c r="AT114" s="149">
        <f t="shared" ref="AT114:AT177" si="138">SUM(AH114:AS114)</f>
        <v>0</v>
      </c>
      <c r="AU114" s="147">
        <f t="shared" si="90"/>
        <v>0</v>
      </c>
      <c r="AV114" s="147">
        <f t="shared" si="91"/>
        <v>0</v>
      </c>
      <c r="AW114" s="147">
        <f t="shared" si="92"/>
        <v>0</v>
      </c>
      <c r="AX114" s="147">
        <f t="shared" si="93"/>
        <v>0</v>
      </c>
      <c r="AY114" s="148">
        <f t="shared" si="94"/>
        <v>0</v>
      </c>
      <c r="BA114" s="145">
        <f>SUMIF('2026 AC'!$B$3:$B$254,"*"&amp;$D114&amp;"*",'2026 AC'!C$3:C$254)</f>
        <v>0</v>
      </c>
      <c r="BB114" s="146">
        <f>SUMIF('2026 AC'!$B$3:$B$254,"*"&amp;$D114&amp;"*",'2026 AC'!D$3:D$254)</f>
        <v>0</v>
      </c>
      <c r="BC114" s="146">
        <f>SUMIF('2026 AC'!$B$3:$B$254,"*"&amp;$D114&amp;"*",'2026 AC'!E$3:E$254)</f>
        <v>0</v>
      </c>
      <c r="BD114" s="146">
        <f>SUMIF('2026 AC'!$B$3:$B$254,"*"&amp;$D114&amp;"*",'2026 AC'!F$3:F$254)</f>
        <v>0</v>
      </c>
      <c r="BE114" s="146">
        <f>SUMIF('2026 AC'!$B$3:$B$254,"*"&amp;$D114&amp;"*",'2026 AC'!G$3:G$254)</f>
        <v>0</v>
      </c>
      <c r="BF114" s="146">
        <f>SUMIF('2026 AC'!$B$3:$B$254,"*"&amp;$D114&amp;"*",'2026 AC'!H$3:H$254)</f>
        <v>0</v>
      </c>
      <c r="BG114" s="146">
        <f>SUMIF('2026 AC'!$B$3:$B$254,"*"&amp;$D114&amp;"*",'2026 AC'!I$3:I$254)</f>
        <v>0</v>
      </c>
      <c r="BH114" s="146">
        <f>SUMIF('2026 AC'!$B$3:$B$254,"*"&amp;$D114&amp;"*",'2026 AC'!J$3:J$254)</f>
        <v>0</v>
      </c>
      <c r="BI114" s="146">
        <f>SUMIF('2026 AC'!$B$3:$B$254,"*"&amp;$D114&amp;"*",'2026 AC'!K$3:K$254)</f>
        <v>0</v>
      </c>
      <c r="BJ114" s="146">
        <f>SUMIF('2026 AC'!$B$3:$B$254,"*"&amp;$D114&amp;"*",'2026 AC'!L$3:L$254)</f>
        <v>0</v>
      </c>
      <c r="BK114" s="146">
        <f>SUMIF('2026 AC'!$B$3:$B$254,"*"&amp;$D114&amp;"*",'2026 AC'!M$3:M$254)</f>
        <v>0</v>
      </c>
      <c r="BL114" s="147">
        <f>SUMIF('2026 AC'!$B$3:$B$254,"*"&amp;$D114&amp;"*",'2026 AC'!N$3:N$254)</f>
        <v>0</v>
      </c>
      <c r="BM114" s="148">
        <f t="shared" ref="BM114:BM177" si="139">SUM(BA114:BL114)</f>
        <v>0</v>
      </c>
      <c r="BN114" s="147">
        <f t="shared" si="96"/>
        <v>0</v>
      </c>
      <c r="BO114" s="147">
        <f t="shared" si="97"/>
        <v>0</v>
      </c>
      <c r="BP114" s="147">
        <f t="shared" si="98"/>
        <v>0</v>
      </c>
      <c r="BQ114" s="147">
        <f t="shared" si="99"/>
        <v>0</v>
      </c>
      <c r="BR114" s="148">
        <f t="shared" si="100"/>
        <v>0</v>
      </c>
    </row>
    <row r="115" s="137" customFormat="1" ht="15" customHeight="1">
      <c r="A115" s="137" t="s">
        <v>249</v>
      </c>
      <c r="B115" s="137" t="s">
        <v>250</v>
      </c>
      <c r="C115" s="187" t="s">
        <v>251</v>
      </c>
      <c r="D115" s="139" t="s">
        <v>250</v>
      </c>
      <c r="E115" s="143">
        <f t="shared" si="117"/>
        <v>225</v>
      </c>
      <c r="F115" s="141">
        <f t="shared" si="118"/>
        <v>938.88999999999999</v>
      </c>
      <c r="G115" s="142">
        <f t="shared" ref="G115:G116" si="140">(E115-F115)/F115</f>
        <v>-0.76035531318897842</v>
      </c>
      <c r="H115" s="143">
        <f t="shared" si="119"/>
        <v>2400</v>
      </c>
      <c r="I115" s="143">
        <f t="shared" si="120"/>
        <v>1998.8899999999999</v>
      </c>
      <c r="J115" s="142">
        <f t="shared" ref="J115:J116" si="141">(H115-I115)/I115</f>
        <v>0.20066636983525865</v>
      </c>
      <c r="K115" s="143">
        <f t="shared" si="122"/>
        <v>3438</v>
      </c>
      <c r="L115" s="143">
        <f t="shared" si="123"/>
        <v>3268.8899999999999</v>
      </c>
      <c r="M115" s="144">
        <f t="shared" ref="M115:M116" si="142">(K115-L115)/L115</f>
        <v>5.1733157126731134e-02</v>
      </c>
      <c r="O115" s="145">
        <f>SUMIF('2024 AC'!$B$3:$B$250,"*"&amp;$D115&amp;"*",'2024 AC'!C$3:C$250)</f>
        <v>40</v>
      </c>
      <c r="P115" s="146">
        <f>SUMIF('2024 AC'!$B$3:$B$250,"*"&amp;$D115&amp;"*",'2024 AC'!D$3:D$250)</f>
        <v>175</v>
      </c>
      <c r="Q115" s="146">
        <f>SUMIF('2024 AC'!$B$3:$B$250,"*"&amp;$D115&amp;"*",'2024 AC'!E$3:E$250)</f>
        <v>187</v>
      </c>
      <c r="R115" s="146">
        <f>SUMIF('2024 AC'!$B$3:$B$250,"*"&amp;$D115&amp;"*",'2024 AC'!F$3:F$250)</f>
        <v>70</v>
      </c>
      <c r="S115" s="146">
        <f>SUMIF('2024 AC'!$B$3:$B$250,"*"&amp;$D115&amp;"*",'2024 AC'!G$3:G$250)</f>
        <v>235</v>
      </c>
      <c r="T115" s="146">
        <f>SUMIF('2024 AC'!$B$3:$B$250,"*"&amp;$D115&amp;"*",'2024 AC'!H$3:H$250)</f>
        <v>10</v>
      </c>
      <c r="U115" s="146">
        <f>SUMIF('2024 AC'!$B$3:$B$250,"*"&amp;$D115&amp;"*",'2024 AC'!I$3:I$250)</f>
        <v>1469</v>
      </c>
      <c r="V115" s="146">
        <f>SUMIF('2024 AC'!$B$3:$B$250,"*"&amp;$D115&amp;"*",'2024 AC'!J$3:J$250)</f>
        <v>1030</v>
      </c>
      <c r="W115" s="146">
        <f>SUMIF('2024 AC'!$B$3:$B$250,"*"&amp;$D115&amp;"*",'2024 AC'!K$3:K$250)</f>
        <v>385</v>
      </c>
      <c r="X115" s="146">
        <f>SUMIF('2024 AC'!$B$3:$B$250,"*"&amp;$D115&amp;"*",'2024 AC'!L$3:L$250)</f>
        <v>2063</v>
      </c>
      <c r="Y115" s="146">
        <f>SUMIF('2024 AC'!$B$3:$B$250,"*"&amp;$D115&amp;"*",'2024 AC'!M$3:M$250)</f>
        <v>523</v>
      </c>
      <c r="Z115" s="147">
        <f>SUMIF('2024 AC'!$B$3:$B$250,"*"&amp;$D115&amp;"*",'2024 AC'!N$3:N$250)</f>
        <v>1070</v>
      </c>
      <c r="AA115" s="148">
        <f t="shared" si="83"/>
        <v>7257</v>
      </c>
      <c r="AB115" s="147">
        <f t="shared" si="84"/>
        <v>402</v>
      </c>
      <c r="AC115" s="147">
        <f t="shared" si="85"/>
        <v>315</v>
      </c>
      <c r="AD115" s="147">
        <f t="shared" si="86"/>
        <v>2884</v>
      </c>
      <c r="AE115" s="147">
        <f t="shared" si="87"/>
        <v>3656</v>
      </c>
      <c r="AF115" s="148">
        <f t="shared" si="88"/>
        <v>7257</v>
      </c>
      <c r="AH115" s="145">
        <f>SUMIF('2025 AC'!$B$3:$B$250,"*"&amp;$D115&amp;"*",'2025 AC'!C$3:C$250)</f>
        <v>800</v>
      </c>
      <c r="AI115" s="146">
        <f>SUMIF('2025 AC'!$B$3:$B$250,"*"&amp;$D115&amp;"*",'2025 AC'!D$3:D$250)</f>
        <v>300</v>
      </c>
      <c r="AJ115" s="146">
        <f>SUMIF('2025 AC'!$B$3:$B$250,"*"&amp;$D115&amp;"*",'2025 AC'!E$3:E$250)</f>
        <v>170</v>
      </c>
      <c r="AK115" s="146">
        <f>SUMIF('2025 AC'!$B$3:$B$250,"*"&amp;$D115&amp;"*",'2025 AC'!F$3:F$250)</f>
        <v>635</v>
      </c>
      <c r="AL115" s="146">
        <f>SUMIF('2025 AC'!$B$3:$B$250,"*"&amp;$D115&amp;"*",'2025 AC'!G$3:G$250)</f>
        <v>425</v>
      </c>
      <c r="AM115" s="146">
        <f>SUMIF('2025 AC'!$B$3:$B$250,"*"&amp;$D115&amp;"*",'2025 AC'!H$3:H$250)</f>
        <v>938.88999999999999</v>
      </c>
      <c r="AN115" s="146">
        <f>SUMIF('2025 AC'!$B$3:$B$250,"*"&amp;$D115&amp;"*",'2025 AC'!I$3:I$250)</f>
        <v>111.12</v>
      </c>
      <c r="AO115" s="146">
        <f>SUMIF('2025 AC'!$B$3:$B$250,"*"&amp;$D115&amp;"*",'2025 AC'!J$3:J$250)</f>
        <v>378.72000000000003</v>
      </c>
      <c r="AP115" s="146">
        <f>SUMIF('2025 AC'!$B$3:$B$250,"*"&amp;$D115&amp;"*",'2025 AC'!K$3:K$250)</f>
        <v>263.88</v>
      </c>
      <c r="AQ115" s="146">
        <f>SUMIF('2025 AC'!$B$3:$B$250,"*"&amp;$D115&amp;"*",'2025 AC'!L$3:L$250)</f>
        <v>50</v>
      </c>
      <c r="AR115" s="146">
        <f>SUMIF('2025 AC'!$B$3:$B$250,"*"&amp;$D115&amp;"*",'2025 AC'!M$3:M$250)</f>
        <v>125</v>
      </c>
      <c r="AS115" s="146">
        <f>SUMIF('2025 AC'!$B$3:$B$250,"*"&amp;$D115&amp;"*",'2025 AC'!N$3:N$250)</f>
        <v>248</v>
      </c>
      <c r="AT115" s="149">
        <f t="shared" si="138"/>
        <v>4445.6099999999997</v>
      </c>
      <c r="AU115" s="147">
        <f t="shared" si="90"/>
        <v>1270</v>
      </c>
      <c r="AV115" s="147">
        <f t="shared" si="91"/>
        <v>1998.8899999999999</v>
      </c>
      <c r="AW115" s="147">
        <f t="shared" si="92"/>
        <v>753.72000000000003</v>
      </c>
      <c r="AX115" s="147">
        <f t="shared" si="93"/>
        <v>423</v>
      </c>
      <c r="AY115" s="148">
        <f t="shared" si="94"/>
        <v>4445.6099999999997</v>
      </c>
      <c r="BA115" s="145">
        <f>SUMIF('2026 AC'!$B$3:$B$254,"*"&amp;$D115&amp;"*",'2026 AC'!C$3:C$254)</f>
        <v>490</v>
      </c>
      <c r="BB115" s="146">
        <f>SUMIF('2026 AC'!$B$3:$B$254,"*"&amp;$D115&amp;"*",'2026 AC'!D$3:D$254)</f>
        <v>348</v>
      </c>
      <c r="BC115" s="146">
        <f>SUMIF('2026 AC'!$B$3:$B$254,"*"&amp;$D115&amp;"*",'2026 AC'!E$3:E$254)</f>
        <v>200</v>
      </c>
      <c r="BD115" s="146">
        <f>SUMIF('2026 AC'!$B$3:$B$254,"*"&amp;$D115&amp;"*",'2026 AC'!F$3:F$254)</f>
        <v>880</v>
      </c>
      <c r="BE115" s="146">
        <f>SUMIF('2026 AC'!$B$3:$B$254,"*"&amp;$D115&amp;"*",'2026 AC'!G$3:G$254)</f>
        <v>1295</v>
      </c>
      <c r="BF115" s="146">
        <f>SUMIF('2026 AC'!$B$3:$B$254,"*"&amp;$D115&amp;"*",'2026 AC'!H$3:H$254)</f>
        <v>225</v>
      </c>
      <c r="BG115" s="146">
        <f>SUMIF('2026 AC'!$B$3:$B$254,"*"&amp;$D115&amp;"*",'2026 AC'!I$3:I$254)</f>
        <v>0</v>
      </c>
      <c r="BH115" s="146">
        <f>SUMIF('2026 AC'!$B$3:$B$254,"*"&amp;$D115&amp;"*",'2026 AC'!J$3:J$254)</f>
        <v>0</v>
      </c>
      <c r="BI115" s="146">
        <f>SUMIF('2026 AC'!$B$3:$B$254,"*"&amp;$D115&amp;"*",'2026 AC'!K$3:K$254)</f>
        <v>0</v>
      </c>
      <c r="BJ115" s="146">
        <f>SUMIF('2026 AC'!$B$3:$B$254,"*"&amp;$D115&amp;"*",'2026 AC'!L$3:L$254)</f>
        <v>0</v>
      </c>
      <c r="BK115" s="146">
        <f>SUMIF('2026 AC'!$B$3:$B$254,"*"&amp;$D115&amp;"*",'2026 AC'!M$3:M$254)</f>
        <v>0</v>
      </c>
      <c r="BL115" s="147">
        <f>SUMIF('2026 AC'!$B$3:$B$254,"*"&amp;$D115&amp;"*",'2026 AC'!N$3:N$254)</f>
        <v>0</v>
      </c>
      <c r="BM115" s="148">
        <f t="shared" si="139"/>
        <v>3438</v>
      </c>
      <c r="BN115" s="147">
        <f t="shared" si="96"/>
        <v>1038</v>
      </c>
      <c r="BO115" s="147">
        <f t="shared" si="97"/>
        <v>2400</v>
      </c>
      <c r="BP115" s="147">
        <f t="shared" si="98"/>
        <v>0</v>
      </c>
      <c r="BQ115" s="147">
        <f t="shared" si="99"/>
        <v>0</v>
      </c>
      <c r="BR115" s="148">
        <f t="shared" si="100"/>
        <v>3438</v>
      </c>
    </row>
    <row r="116" ht="15" customHeight="1" outlineLevel="1">
      <c r="A116" t="s">
        <v>252</v>
      </c>
      <c r="B116" t="s">
        <v>253</v>
      </c>
      <c r="C116" s="52" t="s">
        <v>254</v>
      </c>
      <c r="D116" s="35" t="s">
        <v>253</v>
      </c>
      <c r="E116" s="153">
        <f t="shared" si="117"/>
        <v>225</v>
      </c>
      <c r="F116" s="152">
        <f t="shared" si="118"/>
        <v>938.88999999999999</v>
      </c>
      <c r="G116" s="54">
        <f t="shared" si="140"/>
        <v>-0.76035531318897842</v>
      </c>
      <c r="H116" s="153">
        <f t="shared" si="119"/>
        <v>2400</v>
      </c>
      <c r="I116" s="153">
        <f t="shared" si="120"/>
        <v>1998.8899999999999</v>
      </c>
      <c r="J116" s="54">
        <f t="shared" si="141"/>
        <v>0.20066636983525865</v>
      </c>
      <c r="K116" s="153">
        <f t="shared" si="122"/>
        <v>3438</v>
      </c>
      <c r="L116" s="153">
        <f t="shared" si="123"/>
        <v>3268.8899999999999</v>
      </c>
      <c r="M116" s="55">
        <f t="shared" si="142"/>
        <v>5.1733157126731134e-02</v>
      </c>
      <c r="O116" s="63">
        <f>SUMIF('2024 AC'!$B$3:$B$250,"*"&amp;$D116&amp;"*",'2024 AC'!C$3:C$250)</f>
        <v>40</v>
      </c>
      <c r="P116" s="53">
        <f>SUMIF('2024 AC'!$B$3:$B$250,"*"&amp;$D116&amp;"*",'2024 AC'!D$3:D$250)</f>
        <v>175</v>
      </c>
      <c r="Q116" s="53">
        <f>SUMIF('2024 AC'!$B$3:$B$250,"*"&amp;$D116&amp;"*",'2024 AC'!E$3:E$250)</f>
        <v>0</v>
      </c>
      <c r="R116" s="53">
        <f>SUMIF('2024 AC'!$B$3:$B$250,"*"&amp;$D116&amp;"*",'2024 AC'!F$3:F$250)</f>
        <v>70</v>
      </c>
      <c r="S116" s="53">
        <f>SUMIF('2024 AC'!$B$3:$B$250,"*"&amp;$D116&amp;"*",'2024 AC'!G$3:G$250)</f>
        <v>20</v>
      </c>
      <c r="T116" s="53">
        <f>SUMIF('2024 AC'!$B$3:$B$250,"*"&amp;$D116&amp;"*",'2024 AC'!H$3:H$250)</f>
        <v>10</v>
      </c>
      <c r="U116" s="53">
        <f>SUMIF('2024 AC'!$B$3:$B$250,"*"&amp;$D116&amp;"*",'2024 AC'!I$3:I$250)</f>
        <v>925</v>
      </c>
      <c r="V116" s="53">
        <f>SUMIF('2024 AC'!$B$3:$B$250,"*"&amp;$D116&amp;"*",'2024 AC'!J$3:J$250)</f>
        <v>1030</v>
      </c>
      <c r="W116" s="53">
        <f>SUMIF('2024 AC'!$B$3:$B$250,"*"&amp;$D116&amp;"*",'2024 AC'!K$3:K$250)</f>
        <v>370</v>
      </c>
      <c r="X116" s="53">
        <f>SUMIF('2024 AC'!$B$3:$B$250,"*"&amp;$D116&amp;"*",'2024 AC'!L$3:L$250)</f>
        <v>1530</v>
      </c>
      <c r="Y116" s="53">
        <f>SUMIF('2024 AC'!$B$3:$B$250,"*"&amp;$D116&amp;"*",'2024 AC'!M$3:M$250)</f>
        <v>90</v>
      </c>
      <c r="Z116" s="93">
        <f>SUMIF('2024 AC'!$B$3:$B$250,"*"&amp;$D116&amp;"*",'2024 AC'!N$3:N$250)</f>
        <v>1070</v>
      </c>
      <c r="AA116" s="92">
        <f t="shared" si="83"/>
        <v>5330</v>
      </c>
      <c r="AB116" s="93">
        <f t="shared" si="84"/>
        <v>215</v>
      </c>
      <c r="AC116" s="93">
        <f t="shared" si="85"/>
        <v>100</v>
      </c>
      <c r="AD116" s="93">
        <f t="shared" si="86"/>
        <v>2325</v>
      </c>
      <c r="AE116" s="93">
        <f t="shared" si="87"/>
        <v>2690</v>
      </c>
      <c r="AF116" s="92">
        <f t="shared" si="88"/>
        <v>5330</v>
      </c>
      <c r="AH116" s="63">
        <f>SUMIF('2025 AC'!$B$3:$B$250,"*"&amp;$D116&amp;"*",'2025 AC'!C$3:C$250)</f>
        <v>800</v>
      </c>
      <c r="AI116" s="53">
        <f>SUMIF('2025 AC'!$B$3:$B$250,"*"&amp;$D116&amp;"*",'2025 AC'!D$3:D$250)</f>
        <v>300</v>
      </c>
      <c r="AJ116" s="53">
        <f>SUMIF('2025 AC'!$B$3:$B$250,"*"&amp;$D116&amp;"*",'2025 AC'!E$3:E$250)</f>
        <v>170</v>
      </c>
      <c r="AK116" s="53">
        <f>SUMIF('2025 AC'!$B$3:$B$250,"*"&amp;$D116&amp;"*",'2025 AC'!F$3:F$250)</f>
        <v>635</v>
      </c>
      <c r="AL116" s="53">
        <f>SUMIF('2025 AC'!$B$3:$B$250,"*"&amp;$D116&amp;"*",'2025 AC'!G$3:G$250)</f>
        <v>425</v>
      </c>
      <c r="AM116" s="53">
        <f>SUMIF('2025 AC'!$B$3:$B$250,"*"&amp;$D116&amp;"*",'2025 AC'!H$3:H$250)</f>
        <v>938.88999999999999</v>
      </c>
      <c r="AN116" s="53">
        <f>SUMIF('2025 AC'!$B$3:$B$250,"*"&amp;$D116&amp;"*",'2025 AC'!I$3:I$250)</f>
        <v>111.12</v>
      </c>
      <c r="AO116" s="53">
        <f>SUMIF('2025 AC'!$B$3:$B$250,"*"&amp;$D116&amp;"*",'2025 AC'!J$3:J$250)</f>
        <v>378.72000000000003</v>
      </c>
      <c r="AP116" s="53">
        <f>SUMIF('2025 AC'!$B$3:$B$250,"*"&amp;$D116&amp;"*",'2025 AC'!K$3:K$250)</f>
        <v>263.88</v>
      </c>
      <c r="AQ116" s="53">
        <f>SUMIF('2025 AC'!$B$3:$B$250,"*"&amp;$D116&amp;"*",'2025 AC'!L$3:L$250)</f>
        <v>50</v>
      </c>
      <c r="AR116" s="53">
        <f>SUMIF('2025 AC'!$B$3:$B$250,"*"&amp;$D116&amp;"*",'2025 AC'!M$3:M$250)</f>
        <v>125</v>
      </c>
      <c r="AS116" s="53">
        <f>SUMIF('2025 AC'!$B$3:$B$250,"*"&amp;$D116&amp;"*",'2025 AC'!N$3:N$250)</f>
        <v>248</v>
      </c>
      <c r="AT116" s="94">
        <f t="shared" si="138"/>
        <v>4445.6099999999997</v>
      </c>
      <c r="AU116" s="93">
        <f t="shared" si="90"/>
        <v>1270</v>
      </c>
      <c r="AV116" s="93">
        <f t="shared" si="91"/>
        <v>1998.8899999999999</v>
      </c>
      <c r="AW116" s="93">
        <f t="shared" si="92"/>
        <v>753.72000000000003</v>
      </c>
      <c r="AX116" s="93">
        <f t="shared" si="93"/>
        <v>423</v>
      </c>
      <c r="AY116" s="92">
        <f t="shared" si="94"/>
        <v>4445.6099999999997</v>
      </c>
      <c r="BA116" s="63">
        <f>SUMIF('2026 AC'!$B$3:$B$254,"*"&amp;$D116&amp;"*",'2026 AC'!C$3:C$254)</f>
        <v>490</v>
      </c>
      <c r="BB116" s="53">
        <f>SUMIF('2026 AC'!$B$3:$B$254,"*"&amp;$D116&amp;"*",'2026 AC'!D$3:D$254)</f>
        <v>348</v>
      </c>
      <c r="BC116" s="53">
        <f>SUMIF('2026 AC'!$B$3:$B$254,"*"&amp;$D116&amp;"*",'2026 AC'!E$3:E$254)</f>
        <v>200</v>
      </c>
      <c r="BD116" s="53">
        <f>SUMIF('2026 AC'!$B$3:$B$254,"*"&amp;$D116&amp;"*",'2026 AC'!F$3:F$254)</f>
        <v>880</v>
      </c>
      <c r="BE116" s="53">
        <f>SUMIF('2026 AC'!$B$3:$B$254,"*"&amp;$D116&amp;"*",'2026 AC'!G$3:G$254)</f>
        <v>1295</v>
      </c>
      <c r="BF116" s="53">
        <f>SUMIF('2026 AC'!$B$3:$B$254,"*"&amp;$D116&amp;"*",'2026 AC'!H$3:H$254)</f>
        <v>225</v>
      </c>
      <c r="BG116" s="53">
        <f>SUMIF('2026 AC'!$B$3:$B$254,"*"&amp;$D116&amp;"*",'2026 AC'!I$3:I$254)</f>
        <v>0</v>
      </c>
      <c r="BH116" s="53">
        <f>SUMIF('2026 AC'!$B$3:$B$254,"*"&amp;$D116&amp;"*",'2026 AC'!J$3:J$254)</f>
        <v>0</v>
      </c>
      <c r="BI116" s="53">
        <f>SUMIF('2026 AC'!$B$3:$B$254,"*"&amp;$D116&amp;"*",'2026 AC'!K$3:K$254)</f>
        <v>0</v>
      </c>
      <c r="BJ116" s="53">
        <f>SUMIF('2026 AC'!$B$3:$B$254,"*"&amp;$D116&amp;"*",'2026 AC'!L$3:L$254)</f>
        <v>0</v>
      </c>
      <c r="BK116" s="53">
        <f>SUMIF('2026 AC'!$B$3:$B$254,"*"&amp;$D116&amp;"*",'2026 AC'!M$3:M$254)</f>
        <v>0</v>
      </c>
      <c r="BL116" s="93">
        <f>SUMIF('2026 AC'!$B$3:$B$254,"*"&amp;$D116&amp;"*",'2026 AC'!N$3:N$254)</f>
        <v>0</v>
      </c>
      <c r="BM116" s="92">
        <f t="shared" si="139"/>
        <v>3438</v>
      </c>
      <c r="BN116" s="93">
        <f t="shared" si="96"/>
        <v>1038</v>
      </c>
      <c r="BO116" s="93">
        <f t="shared" si="97"/>
        <v>2400</v>
      </c>
      <c r="BP116" s="93">
        <f t="shared" si="98"/>
        <v>0</v>
      </c>
      <c r="BQ116" s="93">
        <f t="shared" si="99"/>
        <v>0</v>
      </c>
      <c r="BR116" s="92">
        <f t="shared" si="100"/>
        <v>3438</v>
      </c>
    </row>
    <row r="117" ht="15" customHeight="1" outlineLevel="1">
      <c r="A117" t="s">
        <v>255</v>
      </c>
      <c r="B117" t="s">
        <v>256</v>
      </c>
      <c r="C117" s="52" t="s">
        <v>257</v>
      </c>
      <c r="D117" s="35" t="s">
        <v>256</v>
      </c>
      <c r="E117" s="153">
        <f t="shared" si="117"/>
        <v>0</v>
      </c>
      <c r="F117" s="152">
        <f t="shared" si="118"/>
        <v>0</v>
      </c>
      <c r="G117" s="154">
        <f t="shared" ref="G117:G119" si="143">IFERROR((E117-F117)/F117,0)</f>
        <v>0</v>
      </c>
      <c r="H117" s="153">
        <f t="shared" si="119"/>
        <v>0</v>
      </c>
      <c r="I117" s="153">
        <f t="shared" si="120"/>
        <v>0</v>
      </c>
      <c r="J117" s="154">
        <f t="shared" ref="J117:J119" si="144">IFERROR((H117-I117)/I117,0)</f>
        <v>0</v>
      </c>
      <c r="K117" s="153">
        <f t="shared" si="122"/>
        <v>0</v>
      </c>
      <c r="L117" s="153">
        <f t="shared" si="123"/>
        <v>0</v>
      </c>
      <c r="M117" s="155">
        <f t="shared" ref="M117:M119" si="145">IFERROR((K117-L117)/L117,0)</f>
        <v>0</v>
      </c>
      <c r="O117" s="63">
        <f>SUMIF('2024 AC'!$B$3:$B$250,"*"&amp;$D117&amp;"*",'2024 AC'!C$3:C$250)</f>
        <v>0</v>
      </c>
      <c r="P117" s="53">
        <f>SUMIF('2024 AC'!$B$3:$B$250,"*"&amp;$D117&amp;"*",'2024 AC'!D$3:D$250)</f>
        <v>0</v>
      </c>
      <c r="Q117" s="53">
        <f>SUMIF('2024 AC'!$B$3:$B$250,"*"&amp;$D117&amp;"*",'2024 AC'!E$3:E$250)</f>
        <v>187</v>
      </c>
      <c r="R117" s="53">
        <f>SUMIF('2024 AC'!$B$3:$B$250,"*"&amp;$D117&amp;"*",'2024 AC'!F$3:F$250)</f>
        <v>0</v>
      </c>
      <c r="S117" s="53">
        <f>SUMIF('2024 AC'!$B$3:$B$250,"*"&amp;$D117&amp;"*",'2024 AC'!G$3:G$250)</f>
        <v>215</v>
      </c>
      <c r="T117" s="53">
        <f>SUMIF('2024 AC'!$B$3:$B$250,"*"&amp;$D117&amp;"*",'2024 AC'!H$3:H$250)</f>
        <v>0</v>
      </c>
      <c r="U117" s="53">
        <f>SUMIF('2024 AC'!$B$3:$B$250,"*"&amp;$D117&amp;"*",'2024 AC'!I$3:I$250)</f>
        <v>544</v>
      </c>
      <c r="V117" s="53">
        <f>SUMIF('2024 AC'!$B$3:$B$250,"*"&amp;$D117&amp;"*",'2024 AC'!J$3:J$250)</f>
        <v>0</v>
      </c>
      <c r="W117" s="53">
        <f>SUMIF('2024 AC'!$B$3:$B$250,"*"&amp;$D117&amp;"*",'2024 AC'!K$3:K$250)</f>
        <v>0</v>
      </c>
      <c r="X117" s="53">
        <f>SUMIF('2024 AC'!$B$3:$B$250,"*"&amp;$D117&amp;"*",'2024 AC'!L$3:L$250)</f>
        <v>433</v>
      </c>
      <c r="Y117" s="53">
        <f>SUMIF('2024 AC'!$B$3:$B$250,"*"&amp;$D117&amp;"*",'2024 AC'!M$3:M$250)</f>
        <v>433</v>
      </c>
      <c r="Z117" s="93">
        <f>SUMIF('2024 AC'!$B$3:$B$250,"*"&amp;$D117&amp;"*",'2024 AC'!N$3:N$250)</f>
        <v>0</v>
      </c>
      <c r="AA117" s="92">
        <f t="shared" si="83"/>
        <v>1812</v>
      </c>
      <c r="AB117" s="93">
        <f t="shared" si="84"/>
        <v>187</v>
      </c>
      <c r="AC117" s="93">
        <f t="shared" si="85"/>
        <v>215</v>
      </c>
      <c r="AD117" s="93">
        <f t="shared" si="86"/>
        <v>544</v>
      </c>
      <c r="AE117" s="93">
        <f t="shared" si="87"/>
        <v>866</v>
      </c>
      <c r="AF117" s="92">
        <f t="shared" si="88"/>
        <v>1812</v>
      </c>
      <c r="AH117" s="63">
        <f>SUMIF('2025 AC'!$B$3:$B$250,"*"&amp;$D117&amp;"*",'2025 AC'!C$3:C$250)</f>
        <v>0</v>
      </c>
      <c r="AI117" s="53">
        <f>SUMIF('2025 AC'!$B$3:$B$250,"*"&amp;$D117&amp;"*",'2025 AC'!D$3:D$250)</f>
        <v>0</v>
      </c>
      <c r="AJ117" s="53">
        <f>SUMIF('2025 AC'!$B$3:$B$250,"*"&amp;$D117&amp;"*",'2025 AC'!E$3:E$250)</f>
        <v>0</v>
      </c>
      <c r="AK117" s="53">
        <f>SUMIF('2025 AC'!$B$3:$B$250,"*"&amp;$D117&amp;"*",'2025 AC'!F$3:F$250)</f>
        <v>0</v>
      </c>
      <c r="AL117" s="53">
        <f>SUMIF('2025 AC'!$B$3:$B$250,"*"&amp;$D117&amp;"*",'2025 AC'!G$3:G$250)</f>
        <v>0</v>
      </c>
      <c r="AM117" s="53">
        <f>SUMIF('2025 AC'!$B$3:$B$250,"*"&amp;$D117&amp;"*",'2025 AC'!H$3:H$250)</f>
        <v>0</v>
      </c>
      <c r="AN117" s="53">
        <f>SUMIF('2025 AC'!$B$3:$B$250,"*"&amp;$D117&amp;"*",'2025 AC'!I$3:I$250)</f>
        <v>0</v>
      </c>
      <c r="AO117" s="53">
        <f>SUMIF('2025 AC'!$B$3:$B$250,"*"&amp;$D117&amp;"*",'2025 AC'!J$3:J$250)</f>
        <v>0</v>
      </c>
      <c r="AP117" s="53">
        <f>SUMIF('2025 AC'!$B$3:$B$250,"*"&amp;$D117&amp;"*",'2025 AC'!K$3:K$250)</f>
        <v>0</v>
      </c>
      <c r="AQ117" s="53">
        <f>SUMIF('2025 AC'!$B$3:$B$250,"*"&amp;$D117&amp;"*",'2025 AC'!L$3:L$250)</f>
        <v>0</v>
      </c>
      <c r="AR117" s="53">
        <f>SUMIF('2025 AC'!$B$3:$B$250,"*"&amp;$D117&amp;"*",'2025 AC'!M$3:M$250)</f>
        <v>0</v>
      </c>
      <c r="AS117" s="53">
        <f>SUMIF('2025 AC'!$B$3:$B$250,"*"&amp;$D117&amp;"*",'2025 AC'!N$3:N$250)</f>
        <v>0</v>
      </c>
      <c r="AT117" s="94">
        <f t="shared" si="138"/>
        <v>0</v>
      </c>
      <c r="AU117" s="93">
        <f t="shared" si="90"/>
        <v>0</v>
      </c>
      <c r="AV117" s="93">
        <f t="shared" si="91"/>
        <v>0</v>
      </c>
      <c r="AW117" s="93">
        <f t="shared" si="92"/>
        <v>0</v>
      </c>
      <c r="AX117" s="93">
        <f t="shared" si="93"/>
        <v>0</v>
      </c>
      <c r="AY117" s="92">
        <f t="shared" si="94"/>
        <v>0</v>
      </c>
      <c r="BA117" s="63">
        <f>SUMIF('2026 AC'!$B$3:$B$254,"*"&amp;$D117&amp;"*",'2026 AC'!C$3:C$254)</f>
        <v>0</v>
      </c>
      <c r="BB117" s="53">
        <f>SUMIF('2026 AC'!$B$3:$B$254,"*"&amp;$D117&amp;"*",'2026 AC'!D$3:D$254)</f>
        <v>0</v>
      </c>
      <c r="BC117" s="53">
        <f>SUMIF('2026 AC'!$B$3:$B$254,"*"&amp;$D117&amp;"*",'2026 AC'!E$3:E$254)</f>
        <v>0</v>
      </c>
      <c r="BD117" s="53">
        <f>SUMIF('2026 AC'!$B$3:$B$254,"*"&amp;$D117&amp;"*",'2026 AC'!F$3:F$254)</f>
        <v>0</v>
      </c>
      <c r="BE117" s="53">
        <f>SUMIF('2026 AC'!$B$3:$B$254,"*"&amp;$D117&amp;"*",'2026 AC'!G$3:G$254)</f>
        <v>0</v>
      </c>
      <c r="BF117" s="53">
        <f>SUMIF('2026 AC'!$B$3:$B$254,"*"&amp;$D117&amp;"*",'2026 AC'!H$3:H$254)</f>
        <v>0</v>
      </c>
      <c r="BG117" s="53">
        <f>SUMIF('2026 AC'!$B$3:$B$254,"*"&amp;$D117&amp;"*",'2026 AC'!I$3:I$254)</f>
        <v>0</v>
      </c>
      <c r="BH117" s="53">
        <f>SUMIF('2026 AC'!$B$3:$B$254,"*"&amp;$D117&amp;"*",'2026 AC'!J$3:J$254)</f>
        <v>0</v>
      </c>
      <c r="BI117" s="53">
        <f>SUMIF('2026 AC'!$B$3:$B$254,"*"&amp;$D117&amp;"*",'2026 AC'!K$3:K$254)</f>
        <v>0</v>
      </c>
      <c r="BJ117" s="53">
        <f>SUMIF('2026 AC'!$B$3:$B$254,"*"&amp;$D117&amp;"*",'2026 AC'!L$3:L$254)</f>
        <v>0</v>
      </c>
      <c r="BK117" s="53">
        <f>SUMIF('2026 AC'!$B$3:$B$254,"*"&amp;$D117&amp;"*",'2026 AC'!M$3:M$254)</f>
        <v>0</v>
      </c>
      <c r="BL117" s="93">
        <f>SUMIF('2026 AC'!$B$3:$B$254,"*"&amp;$D117&amp;"*",'2026 AC'!N$3:N$254)</f>
        <v>0</v>
      </c>
      <c r="BM117" s="92">
        <f t="shared" si="139"/>
        <v>0</v>
      </c>
      <c r="BN117" s="93">
        <f t="shared" si="96"/>
        <v>0</v>
      </c>
      <c r="BO117" s="93">
        <f t="shared" si="97"/>
        <v>0</v>
      </c>
      <c r="BP117" s="93">
        <f t="shared" si="98"/>
        <v>0</v>
      </c>
      <c r="BQ117" s="93">
        <f t="shared" si="99"/>
        <v>0</v>
      </c>
      <c r="BR117" s="92">
        <f t="shared" si="100"/>
        <v>0</v>
      </c>
    </row>
    <row r="118" ht="15" customHeight="1" outlineLevel="1">
      <c r="A118" t="s">
        <v>258</v>
      </c>
      <c r="B118" t="s">
        <v>259</v>
      </c>
      <c r="C118" s="34" t="s">
        <v>260</v>
      </c>
      <c r="D118" s="35" t="s">
        <v>259</v>
      </c>
      <c r="E118" s="153">
        <f t="shared" si="117"/>
        <v>0</v>
      </c>
      <c r="F118" s="153">
        <f t="shared" si="118"/>
        <v>0</v>
      </c>
      <c r="G118" s="154">
        <f t="shared" si="143"/>
        <v>0</v>
      </c>
      <c r="H118" s="153">
        <f t="shared" si="119"/>
        <v>0</v>
      </c>
      <c r="I118" s="153">
        <f t="shared" si="120"/>
        <v>0</v>
      </c>
      <c r="J118" s="154">
        <f t="shared" si="144"/>
        <v>0</v>
      </c>
      <c r="K118" s="153">
        <f t="shared" si="122"/>
        <v>0</v>
      </c>
      <c r="L118" s="153">
        <f t="shared" si="123"/>
        <v>0</v>
      </c>
      <c r="M118" s="155">
        <f t="shared" si="145"/>
        <v>0</v>
      </c>
      <c r="O118" s="63">
        <f>SUMIF('2024 AC'!$B$3:$B$250,"*"&amp;$D118&amp;"*",'2024 AC'!C$3:C$250)</f>
        <v>0</v>
      </c>
      <c r="P118" s="53">
        <f>SUMIF('2024 AC'!$B$3:$B$250,"*"&amp;$D118&amp;"*",'2024 AC'!D$3:D$250)</f>
        <v>0</v>
      </c>
      <c r="Q118" s="53">
        <f>SUMIF('2024 AC'!$B$3:$B$250,"*"&amp;$D118&amp;"*",'2024 AC'!E$3:E$250)</f>
        <v>0</v>
      </c>
      <c r="R118" s="53">
        <f>SUMIF('2024 AC'!$B$3:$B$250,"*"&amp;$D118&amp;"*",'2024 AC'!F$3:F$250)</f>
        <v>0</v>
      </c>
      <c r="S118" s="53">
        <f>SUMIF('2024 AC'!$B$3:$B$250,"*"&amp;$D118&amp;"*",'2024 AC'!G$3:G$250)</f>
        <v>0</v>
      </c>
      <c r="T118" s="53">
        <f>SUMIF('2024 AC'!$B$3:$B$250,"*"&amp;$D118&amp;"*",'2024 AC'!H$3:H$250)</f>
        <v>0</v>
      </c>
      <c r="U118" s="53">
        <f>SUMIF('2024 AC'!$B$3:$B$250,"*"&amp;$D118&amp;"*",'2024 AC'!I$3:I$250)</f>
        <v>0</v>
      </c>
      <c r="V118" s="53">
        <f>SUMIF('2024 AC'!$B$3:$B$250,"*"&amp;$D118&amp;"*",'2024 AC'!J$3:J$250)</f>
        <v>0</v>
      </c>
      <c r="W118" s="53">
        <f>SUMIF('2024 AC'!$B$3:$B$250,"*"&amp;$D118&amp;"*",'2024 AC'!K$3:K$250)</f>
        <v>0</v>
      </c>
      <c r="X118" s="53">
        <f>SUMIF('2024 AC'!$B$3:$B$250,"*"&amp;$D118&amp;"*",'2024 AC'!L$3:L$250)</f>
        <v>0</v>
      </c>
      <c r="Y118" s="53">
        <f>SUMIF('2024 AC'!$B$3:$B$250,"*"&amp;$D118&amp;"*",'2024 AC'!M$3:M$250)</f>
        <v>0</v>
      </c>
      <c r="Z118" s="93">
        <f>SUMIF('2024 AC'!$B$3:$B$250,"*"&amp;$D118&amp;"*",'2024 AC'!N$3:N$250)</f>
        <v>0</v>
      </c>
      <c r="AA118" s="92">
        <f t="shared" si="83"/>
        <v>0</v>
      </c>
      <c r="AB118" s="93">
        <f t="shared" si="84"/>
        <v>0</v>
      </c>
      <c r="AC118" s="93">
        <f t="shared" si="85"/>
        <v>0</v>
      </c>
      <c r="AD118" s="93">
        <f t="shared" si="86"/>
        <v>0</v>
      </c>
      <c r="AE118" s="93">
        <f t="shared" si="87"/>
        <v>0</v>
      </c>
      <c r="AF118" s="92">
        <f t="shared" si="88"/>
        <v>0</v>
      </c>
      <c r="AH118" s="63">
        <f>SUMIF('2025 AC'!$B$3:$B$250,"*"&amp;$D118&amp;"*",'2025 AC'!C$3:C$250)</f>
        <v>0</v>
      </c>
      <c r="AI118" s="53">
        <f>SUMIF('2025 AC'!$B$3:$B$250,"*"&amp;$D118&amp;"*",'2025 AC'!D$3:D$250)</f>
        <v>0</v>
      </c>
      <c r="AJ118" s="53">
        <f>SUMIF('2025 AC'!$B$3:$B$250,"*"&amp;$D118&amp;"*",'2025 AC'!E$3:E$250)</f>
        <v>0</v>
      </c>
      <c r="AK118" s="53">
        <f>SUMIF('2025 AC'!$B$3:$B$250,"*"&amp;$D118&amp;"*",'2025 AC'!F$3:F$250)</f>
        <v>0</v>
      </c>
      <c r="AL118" s="53">
        <f>SUMIF('2025 AC'!$B$3:$B$250,"*"&amp;$D118&amp;"*",'2025 AC'!G$3:G$250)</f>
        <v>0</v>
      </c>
      <c r="AM118" s="53">
        <f>SUMIF('2025 AC'!$B$3:$B$250,"*"&amp;$D118&amp;"*",'2025 AC'!H$3:H$250)</f>
        <v>0</v>
      </c>
      <c r="AN118" s="53">
        <f>SUMIF('2025 AC'!$B$3:$B$250,"*"&amp;$D118&amp;"*",'2025 AC'!I$3:I$250)</f>
        <v>0</v>
      </c>
      <c r="AO118" s="53">
        <f>SUMIF('2025 AC'!$B$3:$B$250,"*"&amp;$D118&amp;"*",'2025 AC'!J$3:J$250)</f>
        <v>0</v>
      </c>
      <c r="AP118" s="53">
        <f>SUMIF('2025 AC'!$B$3:$B$250,"*"&amp;$D118&amp;"*",'2025 AC'!K$3:K$250)</f>
        <v>0</v>
      </c>
      <c r="AQ118" s="53">
        <f>SUMIF('2025 AC'!$B$3:$B$250,"*"&amp;$D118&amp;"*",'2025 AC'!L$3:L$250)</f>
        <v>0</v>
      </c>
      <c r="AR118" s="53">
        <f>SUMIF('2025 AC'!$B$3:$B$250,"*"&amp;$D118&amp;"*",'2025 AC'!M$3:M$250)</f>
        <v>0</v>
      </c>
      <c r="AS118" s="53">
        <f>SUMIF('2025 AC'!$B$3:$B$250,"*"&amp;$D118&amp;"*",'2025 AC'!N$3:N$250)</f>
        <v>0</v>
      </c>
      <c r="AT118" s="94">
        <f t="shared" si="138"/>
        <v>0</v>
      </c>
      <c r="AU118" s="93">
        <f t="shared" si="90"/>
        <v>0</v>
      </c>
      <c r="AV118" s="93">
        <f t="shared" si="91"/>
        <v>0</v>
      </c>
      <c r="AW118" s="93">
        <f t="shared" si="92"/>
        <v>0</v>
      </c>
      <c r="AX118" s="93">
        <f t="shared" si="93"/>
        <v>0</v>
      </c>
      <c r="AY118" s="92">
        <f t="shared" si="94"/>
        <v>0</v>
      </c>
      <c r="BA118" s="63">
        <f>SUMIF('2026 AC'!$B$3:$B$254,"*"&amp;$D118&amp;"*",'2026 AC'!C$3:C$254)</f>
        <v>0</v>
      </c>
      <c r="BB118" s="53">
        <f>SUMIF('2026 AC'!$B$3:$B$254,"*"&amp;$D118&amp;"*",'2026 AC'!D$3:D$254)</f>
        <v>0</v>
      </c>
      <c r="BC118" s="53">
        <f>SUMIF('2026 AC'!$B$3:$B$254,"*"&amp;$D118&amp;"*",'2026 AC'!E$3:E$254)</f>
        <v>0</v>
      </c>
      <c r="BD118" s="53">
        <f>SUMIF('2026 AC'!$B$3:$B$254,"*"&amp;$D118&amp;"*",'2026 AC'!F$3:F$254)</f>
        <v>0</v>
      </c>
      <c r="BE118" s="53">
        <f>SUMIF('2026 AC'!$B$3:$B$254,"*"&amp;$D118&amp;"*",'2026 AC'!G$3:G$254)</f>
        <v>0</v>
      </c>
      <c r="BF118" s="53">
        <f>SUMIF('2026 AC'!$B$3:$B$254,"*"&amp;$D118&amp;"*",'2026 AC'!H$3:H$254)</f>
        <v>0</v>
      </c>
      <c r="BG118" s="53">
        <f>SUMIF('2026 AC'!$B$3:$B$254,"*"&amp;$D118&amp;"*",'2026 AC'!I$3:I$254)</f>
        <v>0</v>
      </c>
      <c r="BH118" s="53">
        <f>SUMIF('2026 AC'!$B$3:$B$254,"*"&amp;$D118&amp;"*",'2026 AC'!J$3:J$254)</f>
        <v>0</v>
      </c>
      <c r="BI118" s="53">
        <f>SUMIF('2026 AC'!$B$3:$B$254,"*"&amp;$D118&amp;"*",'2026 AC'!K$3:K$254)</f>
        <v>0</v>
      </c>
      <c r="BJ118" s="53">
        <f>SUMIF('2026 AC'!$B$3:$B$254,"*"&amp;$D118&amp;"*",'2026 AC'!L$3:L$254)</f>
        <v>0</v>
      </c>
      <c r="BK118" s="53">
        <f>SUMIF('2026 AC'!$B$3:$B$254,"*"&amp;$D118&amp;"*",'2026 AC'!M$3:M$254)</f>
        <v>0</v>
      </c>
      <c r="BL118" s="93">
        <f>SUMIF('2026 AC'!$B$3:$B$254,"*"&amp;$D118&amp;"*",'2026 AC'!N$3:N$254)</f>
        <v>0</v>
      </c>
      <c r="BM118" s="92">
        <f t="shared" si="139"/>
        <v>0</v>
      </c>
      <c r="BN118" s="93">
        <f t="shared" si="96"/>
        <v>0</v>
      </c>
      <c r="BO118" s="93">
        <f t="shared" si="97"/>
        <v>0</v>
      </c>
      <c r="BP118" s="93">
        <f t="shared" si="98"/>
        <v>0</v>
      </c>
      <c r="BQ118" s="93">
        <f t="shared" si="99"/>
        <v>0</v>
      </c>
      <c r="BR118" s="92">
        <f t="shared" si="100"/>
        <v>0</v>
      </c>
    </row>
    <row r="119" ht="15" customHeight="1" outlineLevel="1">
      <c r="A119" t="s">
        <v>261</v>
      </c>
      <c r="B119" t="s">
        <v>262</v>
      </c>
      <c r="C119" s="52" t="s">
        <v>263</v>
      </c>
      <c r="D119" s="35" t="s">
        <v>262</v>
      </c>
      <c r="E119" s="153">
        <f t="shared" si="117"/>
        <v>0</v>
      </c>
      <c r="F119" s="152">
        <f t="shared" si="118"/>
        <v>0</v>
      </c>
      <c r="G119" s="154">
        <f t="shared" si="143"/>
        <v>0</v>
      </c>
      <c r="H119" s="153">
        <f t="shared" si="119"/>
        <v>0</v>
      </c>
      <c r="I119" s="153">
        <f t="shared" si="120"/>
        <v>0</v>
      </c>
      <c r="J119" s="154">
        <f t="shared" si="144"/>
        <v>0</v>
      </c>
      <c r="K119" s="153">
        <f t="shared" si="122"/>
        <v>0</v>
      </c>
      <c r="L119" s="153">
        <f t="shared" si="123"/>
        <v>0</v>
      </c>
      <c r="M119" s="155">
        <f t="shared" si="145"/>
        <v>0</v>
      </c>
      <c r="O119" s="63">
        <f>SUMIF('2024 AC'!$B$3:$B$250,"*"&amp;$D119&amp;"*",'2024 AC'!C$3:C$250)</f>
        <v>0</v>
      </c>
      <c r="P119" s="53">
        <f>SUMIF('2024 AC'!$B$3:$B$250,"*"&amp;$D119&amp;"*",'2024 AC'!D$3:D$250)</f>
        <v>0</v>
      </c>
      <c r="Q119" s="53">
        <f>SUMIF('2024 AC'!$B$3:$B$250,"*"&amp;$D119&amp;"*",'2024 AC'!E$3:E$250)</f>
        <v>0</v>
      </c>
      <c r="R119" s="53">
        <f>SUMIF('2024 AC'!$B$3:$B$250,"*"&amp;$D119&amp;"*",'2024 AC'!F$3:F$250)</f>
        <v>0</v>
      </c>
      <c r="S119" s="53">
        <f>SUMIF('2024 AC'!$B$3:$B$250,"*"&amp;$D119&amp;"*",'2024 AC'!G$3:G$250)</f>
        <v>0</v>
      </c>
      <c r="T119" s="53">
        <f>SUMIF('2024 AC'!$B$3:$B$250,"*"&amp;$D119&amp;"*",'2024 AC'!H$3:H$250)</f>
        <v>0</v>
      </c>
      <c r="U119" s="53">
        <f>SUMIF('2024 AC'!$B$3:$B$250,"*"&amp;$D119&amp;"*",'2024 AC'!I$3:I$250)</f>
        <v>0</v>
      </c>
      <c r="V119" s="53">
        <f>SUMIF('2024 AC'!$B$3:$B$250,"*"&amp;$D119&amp;"*",'2024 AC'!J$3:J$250)</f>
        <v>0</v>
      </c>
      <c r="W119" s="53">
        <f>SUMIF('2024 AC'!$B$3:$B$250,"*"&amp;$D119&amp;"*",'2024 AC'!K$3:K$250)</f>
        <v>15</v>
      </c>
      <c r="X119" s="53">
        <f>SUMIF('2024 AC'!$B$3:$B$250,"*"&amp;$D119&amp;"*",'2024 AC'!L$3:L$250)</f>
        <v>100</v>
      </c>
      <c r="Y119" s="53">
        <f>SUMIF('2024 AC'!$B$3:$B$250,"*"&amp;$D119&amp;"*",'2024 AC'!M$3:M$250)</f>
        <v>0</v>
      </c>
      <c r="Z119" s="93">
        <f>SUMIF('2024 AC'!$B$3:$B$250,"*"&amp;$D119&amp;"*",'2024 AC'!N$3:N$250)</f>
        <v>0</v>
      </c>
      <c r="AA119" s="92">
        <f t="shared" si="83"/>
        <v>115</v>
      </c>
      <c r="AB119" s="93">
        <f t="shared" si="84"/>
        <v>0</v>
      </c>
      <c r="AC119" s="93">
        <f t="shared" si="85"/>
        <v>0</v>
      </c>
      <c r="AD119" s="93">
        <f t="shared" si="86"/>
        <v>15</v>
      </c>
      <c r="AE119" s="93">
        <f t="shared" si="87"/>
        <v>100</v>
      </c>
      <c r="AF119" s="92">
        <f t="shared" si="88"/>
        <v>115</v>
      </c>
      <c r="AH119" s="63">
        <f>SUMIF('2025 AC'!$B$3:$B$250,"*"&amp;$D119&amp;"*",'2025 AC'!C$3:C$250)</f>
        <v>0</v>
      </c>
      <c r="AI119" s="53">
        <f>SUMIF('2025 AC'!$B$3:$B$250,"*"&amp;$D119&amp;"*",'2025 AC'!D$3:D$250)</f>
        <v>0</v>
      </c>
      <c r="AJ119" s="53">
        <f>SUMIF('2025 AC'!$B$3:$B$250,"*"&amp;$D119&amp;"*",'2025 AC'!E$3:E$250)</f>
        <v>0</v>
      </c>
      <c r="AK119" s="53">
        <f>SUMIF('2025 AC'!$B$3:$B$250,"*"&amp;$D119&amp;"*",'2025 AC'!F$3:F$250)</f>
        <v>0</v>
      </c>
      <c r="AL119" s="53">
        <f>SUMIF('2025 AC'!$B$3:$B$250,"*"&amp;$D119&amp;"*",'2025 AC'!G$3:G$250)</f>
        <v>0</v>
      </c>
      <c r="AM119" s="53">
        <f>SUMIF('2025 AC'!$B$3:$B$250,"*"&amp;$D119&amp;"*",'2025 AC'!H$3:H$250)</f>
        <v>0</v>
      </c>
      <c r="AN119" s="53">
        <f>SUMIF('2025 AC'!$B$3:$B$250,"*"&amp;$D119&amp;"*",'2025 AC'!I$3:I$250)</f>
        <v>0</v>
      </c>
      <c r="AO119" s="53">
        <f>SUMIF('2025 AC'!$B$3:$B$250,"*"&amp;$D119&amp;"*",'2025 AC'!J$3:J$250)</f>
        <v>0</v>
      </c>
      <c r="AP119" s="53">
        <f>SUMIF('2025 AC'!$B$3:$B$250,"*"&amp;$D119&amp;"*",'2025 AC'!K$3:K$250)</f>
        <v>0</v>
      </c>
      <c r="AQ119" s="53">
        <f>SUMIF('2025 AC'!$B$3:$B$250,"*"&amp;$D119&amp;"*",'2025 AC'!L$3:L$250)</f>
        <v>0</v>
      </c>
      <c r="AR119" s="53">
        <f>SUMIF('2025 AC'!$B$3:$B$250,"*"&amp;$D119&amp;"*",'2025 AC'!M$3:M$250)</f>
        <v>0</v>
      </c>
      <c r="AS119" s="53">
        <f>SUMIF('2025 AC'!$B$3:$B$250,"*"&amp;$D119&amp;"*",'2025 AC'!N$3:N$250)</f>
        <v>0</v>
      </c>
      <c r="AT119" s="94">
        <f t="shared" si="138"/>
        <v>0</v>
      </c>
      <c r="AU119" s="93">
        <f t="shared" si="90"/>
        <v>0</v>
      </c>
      <c r="AV119" s="93">
        <f t="shared" si="91"/>
        <v>0</v>
      </c>
      <c r="AW119" s="93">
        <f t="shared" si="92"/>
        <v>0</v>
      </c>
      <c r="AX119" s="93">
        <f t="shared" si="93"/>
        <v>0</v>
      </c>
      <c r="AY119" s="92">
        <f t="shared" si="94"/>
        <v>0</v>
      </c>
      <c r="BA119" s="63">
        <f>SUMIF('2026 AC'!$B$3:$B$254,"*"&amp;$D119&amp;"*",'2026 AC'!C$3:C$254)</f>
        <v>0</v>
      </c>
      <c r="BB119" s="53">
        <f>SUMIF('2026 AC'!$B$3:$B$254,"*"&amp;$D119&amp;"*",'2026 AC'!D$3:D$254)</f>
        <v>0</v>
      </c>
      <c r="BC119" s="53">
        <f>SUMIF('2026 AC'!$B$3:$B$254,"*"&amp;$D119&amp;"*",'2026 AC'!E$3:E$254)</f>
        <v>0</v>
      </c>
      <c r="BD119" s="53">
        <f>SUMIF('2026 AC'!$B$3:$B$254,"*"&amp;$D119&amp;"*",'2026 AC'!F$3:F$254)</f>
        <v>0</v>
      </c>
      <c r="BE119" s="53">
        <f>SUMIF('2026 AC'!$B$3:$B$254,"*"&amp;$D119&amp;"*",'2026 AC'!G$3:G$254)</f>
        <v>0</v>
      </c>
      <c r="BF119" s="53">
        <f>SUMIF('2026 AC'!$B$3:$B$254,"*"&amp;$D119&amp;"*",'2026 AC'!H$3:H$254)</f>
        <v>0</v>
      </c>
      <c r="BG119" s="53">
        <f>SUMIF('2026 AC'!$B$3:$B$254,"*"&amp;$D119&amp;"*",'2026 AC'!I$3:I$254)</f>
        <v>0</v>
      </c>
      <c r="BH119" s="53">
        <f>SUMIF('2026 AC'!$B$3:$B$254,"*"&amp;$D119&amp;"*",'2026 AC'!J$3:J$254)</f>
        <v>0</v>
      </c>
      <c r="BI119" s="53">
        <f>SUMIF('2026 AC'!$B$3:$B$254,"*"&amp;$D119&amp;"*",'2026 AC'!K$3:K$254)</f>
        <v>0</v>
      </c>
      <c r="BJ119" s="53">
        <f>SUMIF('2026 AC'!$B$3:$B$254,"*"&amp;$D119&amp;"*",'2026 AC'!L$3:L$254)</f>
        <v>0</v>
      </c>
      <c r="BK119" s="53">
        <f>SUMIF('2026 AC'!$B$3:$B$254,"*"&amp;$D119&amp;"*",'2026 AC'!M$3:M$254)</f>
        <v>0</v>
      </c>
      <c r="BL119" s="93">
        <f>SUMIF('2026 AC'!$B$3:$B$254,"*"&amp;$D119&amp;"*",'2026 AC'!N$3:N$254)</f>
        <v>0</v>
      </c>
      <c r="BM119" s="92">
        <f t="shared" si="139"/>
        <v>0</v>
      </c>
      <c r="BN119" s="93">
        <f t="shared" si="96"/>
        <v>0</v>
      </c>
      <c r="BO119" s="93">
        <f t="shared" si="97"/>
        <v>0</v>
      </c>
      <c r="BP119" s="93">
        <f t="shared" si="98"/>
        <v>0</v>
      </c>
      <c r="BQ119" s="93">
        <f t="shared" si="99"/>
        <v>0</v>
      </c>
      <c r="BR119" s="92">
        <f t="shared" si="100"/>
        <v>0</v>
      </c>
    </row>
    <row r="120" ht="15" customHeight="1">
      <c r="A120" s="185"/>
      <c r="C120" s="34"/>
      <c r="D120" s="35"/>
      <c r="E120" s="153">
        <f t="shared" si="117"/>
        <v>0</v>
      </c>
      <c r="F120" s="153">
        <f t="shared" si="118"/>
        <v>0</v>
      </c>
      <c r="G120" s="154"/>
      <c r="H120" s="153">
        <f t="shared" si="119"/>
        <v>0</v>
      </c>
      <c r="I120" s="153">
        <f t="shared" si="120"/>
        <v>0</v>
      </c>
      <c r="J120" s="154"/>
      <c r="K120" s="153">
        <f t="shared" si="122"/>
        <v>0</v>
      </c>
      <c r="L120" s="153">
        <f t="shared" si="123"/>
        <v>0</v>
      </c>
      <c r="M120" s="155"/>
      <c r="O120" s="6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93"/>
      <c r="AA120" s="92"/>
      <c r="AB120" s="93">
        <f t="shared" si="84"/>
        <v>0</v>
      </c>
      <c r="AC120" s="93">
        <f t="shared" si="85"/>
        <v>0</v>
      </c>
      <c r="AD120" s="93">
        <f t="shared" si="86"/>
        <v>0</v>
      </c>
      <c r="AE120" s="93">
        <f t="shared" si="87"/>
        <v>0</v>
      </c>
      <c r="AF120" s="92">
        <f t="shared" si="88"/>
        <v>0</v>
      </c>
      <c r="AH120" s="6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94"/>
      <c r="AU120" s="93">
        <f t="shared" si="90"/>
        <v>0</v>
      </c>
      <c r="AV120" s="93">
        <f t="shared" si="91"/>
        <v>0</v>
      </c>
      <c r="AW120" s="93">
        <f t="shared" si="92"/>
        <v>0</v>
      </c>
      <c r="AX120" s="93">
        <f t="shared" si="93"/>
        <v>0</v>
      </c>
      <c r="AY120" s="92">
        <f t="shared" si="94"/>
        <v>0</v>
      </c>
      <c r="BA120" s="6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93"/>
      <c r="BM120" s="92"/>
      <c r="BN120" s="93">
        <f t="shared" si="96"/>
        <v>0</v>
      </c>
      <c r="BO120" s="93">
        <f t="shared" si="97"/>
        <v>0</v>
      </c>
      <c r="BP120" s="93">
        <f t="shared" si="98"/>
        <v>0</v>
      </c>
      <c r="BQ120" s="93">
        <f t="shared" si="99"/>
        <v>0</v>
      </c>
      <c r="BR120" s="92">
        <f t="shared" si="100"/>
        <v>0</v>
      </c>
    </row>
    <row r="121" s="125" customFormat="1" ht="15" customHeight="1">
      <c r="A121" s="174"/>
      <c r="C121" s="126" t="s">
        <v>264</v>
      </c>
      <c r="D121" s="127"/>
      <c r="E121" s="189">
        <f t="shared" si="117"/>
        <v>225</v>
      </c>
      <c r="F121" s="177">
        <f t="shared" si="118"/>
        <v>938.88999999999999</v>
      </c>
      <c r="G121" s="178">
        <f t="shared" ref="G121:G131" si="146">(E121-F121)/F121</f>
        <v>-0.76035531318897842</v>
      </c>
      <c r="H121" s="176">
        <f t="shared" si="119"/>
        <v>2400</v>
      </c>
      <c r="I121" s="176">
        <f t="shared" si="120"/>
        <v>1998.8899999999999</v>
      </c>
      <c r="J121" s="178">
        <f t="shared" ref="J121:J131" si="147">(H121-I121)/I121</f>
        <v>0.20066636983525865</v>
      </c>
      <c r="K121" s="176">
        <f t="shared" si="122"/>
        <v>3438</v>
      </c>
      <c r="L121" s="176">
        <f t="shared" si="123"/>
        <v>3268.8899999999999</v>
      </c>
      <c r="M121" s="179">
        <f t="shared" ref="M121:M131" si="148">(K121-L121)/L121</f>
        <v>5.1733157126731134e-02</v>
      </c>
      <c r="O121" s="180">
        <f>O114+O115</f>
        <v>40</v>
      </c>
      <c r="P121" s="181">
        <f t="shared" ref="P121:Z121" si="149">P114+P115</f>
        <v>175</v>
      </c>
      <c r="Q121" s="181">
        <f t="shared" si="149"/>
        <v>187</v>
      </c>
      <c r="R121" s="181">
        <f t="shared" si="149"/>
        <v>26.18</v>
      </c>
      <c r="S121" s="181">
        <f t="shared" si="149"/>
        <v>235</v>
      </c>
      <c r="T121" s="181">
        <f t="shared" si="149"/>
        <v>10</v>
      </c>
      <c r="U121" s="181">
        <f t="shared" si="149"/>
        <v>1469</v>
      </c>
      <c r="V121" s="181">
        <f t="shared" si="149"/>
        <v>1030</v>
      </c>
      <c r="W121" s="181">
        <f t="shared" si="149"/>
        <v>385</v>
      </c>
      <c r="X121" s="181">
        <f t="shared" si="149"/>
        <v>2063</v>
      </c>
      <c r="Y121" s="181">
        <f t="shared" si="149"/>
        <v>523</v>
      </c>
      <c r="Z121" s="182">
        <f t="shared" si="149"/>
        <v>1070</v>
      </c>
      <c r="AA121" s="183">
        <f t="shared" si="83"/>
        <v>7213.1800000000003</v>
      </c>
      <c r="AB121" s="182">
        <f t="shared" si="84"/>
        <v>402</v>
      </c>
      <c r="AC121" s="182">
        <f t="shared" si="85"/>
        <v>271.18000000000001</v>
      </c>
      <c r="AD121" s="182">
        <f t="shared" si="86"/>
        <v>2884</v>
      </c>
      <c r="AE121" s="182">
        <f t="shared" si="87"/>
        <v>3656</v>
      </c>
      <c r="AF121" s="183">
        <f t="shared" si="88"/>
        <v>7213.1800000000003</v>
      </c>
      <c r="AH121" s="180">
        <f>AH114+AH115</f>
        <v>800</v>
      </c>
      <c r="AI121" s="181">
        <f t="shared" ref="AI121:AS121" si="150">AI114+AI115</f>
        <v>300</v>
      </c>
      <c r="AJ121" s="181">
        <f t="shared" si="150"/>
        <v>170</v>
      </c>
      <c r="AK121" s="181">
        <f t="shared" si="150"/>
        <v>635</v>
      </c>
      <c r="AL121" s="181">
        <f t="shared" si="150"/>
        <v>425</v>
      </c>
      <c r="AM121" s="181">
        <f t="shared" si="150"/>
        <v>938.88999999999999</v>
      </c>
      <c r="AN121" s="181">
        <f t="shared" si="150"/>
        <v>111.12</v>
      </c>
      <c r="AO121" s="181">
        <f t="shared" si="150"/>
        <v>378.72000000000003</v>
      </c>
      <c r="AP121" s="181">
        <f t="shared" si="150"/>
        <v>263.88</v>
      </c>
      <c r="AQ121" s="181">
        <f t="shared" si="150"/>
        <v>50</v>
      </c>
      <c r="AR121" s="181">
        <f t="shared" si="150"/>
        <v>125</v>
      </c>
      <c r="AS121" s="181">
        <f t="shared" si="150"/>
        <v>248</v>
      </c>
      <c r="AT121" s="184">
        <f t="shared" si="138"/>
        <v>4445.6099999999997</v>
      </c>
      <c r="AU121" s="182">
        <f t="shared" si="90"/>
        <v>1270</v>
      </c>
      <c r="AV121" s="182">
        <f t="shared" si="91"/>
        <v>1998.8899999999999</v>
      </c>
      <c r="AW121" s="182">
        <f t="shared" si="92"/>
        <v>753.72000000000003</v>
      </c>
      <c r="AX121" s="182">
        <f t="shared" si="93"/>
        <v>423</v>
      </c>
      <c r="AY121" s="183">
        <f t="shared" si="94"/>
        <v>4445.6099999999997</v>
      </c>
      <c r="BA121" s="180">
        <f>BA114+BA115</f>
        <v>490</v>
      </c>
      <c r="BB121" s="181">
        <f t="shared" ref="BB121:BL121" si="151">BB114+BB115</f>
        <v>348</v>
      </c>
      <c r="BC121" s="181">
        <f t="shared" si="151"/>
        <v>200</v>
      </c>
      <c r="BD121" s="181">
        <f t="shared" si="151"/>
        <v>880</v>
      </c>
      <c r="BE121" s="181">
        <f t="shared" si="151"/>
        <v>1295</v>
      </c>
      <c r="BF121" s="181">
        <f t="shared" si="151"/>
        <v>225</v>
      </c>
      <c r="BG121" s="181">
        <f t="shared" si="151"/>
        <v>0</v>
      </c>
      <c r="BH121" s="181">
        <f t="shared" si="151"/>
        <v>0</v>
      </c>
      <c r="BI121" s="181">
        <f t="shared" si="151"/>
        <v>0</v>
      </c>
      <c r="BJ121" s="181">
        <f t="shared" si="151"/>
        <v>0</v>
      </c>
      <c r="BK121" s="181">
        <f t="shared" si="151"/>
        <v>0</v>
      </c>
      <c r="BL121" s="182">
        <f t="shared" si="151"/>
        <v>0</v>
      </c>
      <c r="BM121" s="183">
        <f t="shared" si="139"/>
        <v>3438</v>
      </c>
      <c r="BN121" s="182">
        <f t="shared" si="96"/>
        <v>1038</v>
      </c>
      <c r="BO121" s="182">
        <f t="shared" si="97"/>
        <v>2400</v>
      </c>
      <c r="BP121" s="182">
        <f t="shared" si="98"/>
        <v>0</v>
      </c>
      <c r="BQ121" s="182">
        <f t="shared" si="99"/>
        <v>0</v>
      </c>
      <c r="BR121" s="183">
        <f t="shared" si="100"/>
        <v>3438</v>
      </c>
    </row>
    <row r="122" ht="15" customHeight="1">
      <c r="A122" s="185" t="s">
        <v>265</v>
      </c>
      <c r="C122" s="34"/>
      <c r="D122" s="35"/>
      <c r="E122" s="153">
        <f t="shared" si="117"/>
        <v>0</v>
      </c>
      <c r="F122" s="153">
        <f t="shared" si="118"/>
        <v>0</v>
      </c>
      <c r="G122" s="154"/>
      <c r="H122" s="153">
        <f t="shared" si="119"/>
        <v>0</v>
      </c>
      <c r="I122" s="153">
        <f t="shared" si="120"/>
        <v>0</v>
      </c>
      <c r="J122" s="154"/>
      <c r="K122" s="153">
        <f t="shared" si="122"/>
        <v>0</v>
      </c>
      <c r="L122" s="153">
        <f t="shared" si="123"/>
        <v>0</v>
      </c>
      <c r="M122" s="155"/>
      <c r="O122" s="6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93"/>
      <c r="AA122" s="92"/>
      <c r="AB122" s="93">
        <f t="shared" si="84"/>
        <v>0</v>
      </c>
      <c r="AC122" s="93">
        <f t="shared" si="85"/>
        <v>0</v>
      </c>
      <c r="AD122" s="93">
        <f t="shared" si="86"/>
        <v>0</v>
      </c>
      <c r="AE122" s="93">
        <f t="shared" si="87"/>
        <v>0</v>
      </c>
      <c r="AF122" s="92">
        <f t="shared" si="88"/>
        <v>0</v>
      </c>
      <c r="AH122" s="6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94"/>
      <c r="AU122" s="93">
        <f t="shared" si="90"/>
        <v>0</v>
      </c>
      <c r="AV122" s="93">
        <f t="shared" si="91"/>
        <v>0</v>
      </c>
      <c r="AW122" s="93">
        <f t="shared" si="92"/>
        <v>0</v>
      </c>
      <c r="AX122" s="93">
        <f t="shared" si="93"/>
        <v>0</v>
      </c>
      <c r="AY122" s="92">
        <f t="shared" si="94"/>
        <v>0</v>
      </c>
      <c r="BA122" s="6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93"/>
      <c r="BM122" s="92"/>
      <c r="BN122" s="93">
        <f t="shared" si="96"/>
        <v>0</v>
      </c>
      <c r="BO122" s="93">
        <f t="shared" si="97"/>
        <v>0</v>
      </c>
      <c r="BP122" s="93">
        <f t="shared" si="98"/>
        <v>0</v>
      </c>
      <c r="BQ122" s="93">
        <f t="shared" si="99"/>
        <v>0</v>
      </c>
      <c r="BR122" s="92">
        <f t="shared" si="100"/>
        <v>0</v>
      </c>
    </row>
    <row r="123">
      <c r="A123" t="s">
        <v>266</v>
      </c>
      <c r="B123" t="s">
        <v>267</v>
      </c>
      <c r="C123" s="165" t="s">
        <v>268</v>
      </c>
      <c r="D123" s="35"/>
      <c r="E123" s="153">
        <f t="shared" si="117"/>
        <v>0</v>
      </c>
      <c r="F123" s="186">
        <f t="shared" si="118"/>
        <v>0</v>
      </c>
      <c r="G123" s="154"/>
      <c r="H123" s="153">
        <f t="shared" si="119"/>
        <v>0</v>
      </c>
      <c r="I123" s="153">
        <f t="shared" si="120"/>
        <v>0</v>
      </c>
      <c r="J123" s="154"/>
      <c r="K123" s="153">
        <f t="shared" si="122"/>
        <v>0</v>
      </c>
      <c r="L123" s="153">
        <f t="shared" si="123"/>
        <v>0</v>
      </c>
      <c r="M123" s="155"/>
      <c r="O123" s="6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93"/>
      <c r="AA123" s="92"/>
      <c r="AB123" s="93">
        <f t="shared" si="84"/>
        <v>0</v>
      </c>
      <c r="AC123" s="93">
        <f t="shared" si="85"/>
        <v>0</v>
      </c>
      <c r="AD123" s="93">
        <f t="shared" si="86"/>
        <v>0</v>
      </c>
      <c r="AE123" s="93">
        <f t="shared" si="87"/>
        <v>0</v>
      </c>
      <c r="AF123" s="92">
        <f t="shared" si="88"/>
        <v>0</v>
      </c>
      <c r="AH123" s="6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94"/>
      <c r="AU123" s="93">
        <f t="shared" si="90"/>
        <v>0</v>
      </c>
      <c r="AV123" s="93">
        <f t="shared" si="91"/>
        <v>0</v>
      </c>
      <c r="AW123" s="93">
        <f t="shared" si="92"/>
        <v>0</v>
      </c>
      <c r="AX123" s="93">
        <f t="shared" si="93"/>
        <v>0</v>
      </c>
      <c r="AY123" s="92">
        <f t="shared" si="94"/>
        <v>0</v>
      </c>
      <c r="BA123" s="63"/>
      <c r="BB123" s="53">
        <v>0</v>
      </c>
      <c r="BC123" s="53">
        <v>0</v>
      </c>
      <c r="BD123" s="53">
        <v>0</v>
      </c>
      <c r="BE123" s="53">
        <v>0</v>
      </c>
      <c r="BF123" s="53">
        <v>0</v>
      </c>
      <c r="BG123" s="53">
        <v>0</v>
      </c>
      <c r="BH123" s="53">
        <v>0</v>
      </c>
      <c r="BI123" s="53">
        <v>0</v>
      </c>
      <c r="BJ123" s="53">
        <v>0</v>
      </c>
      <c r="BK123" s="53">
        <v>0</v>
      </c>
      <c r="BL123" s="93">
        <v>0</v>
      </c>
      <c r="BM123" s="92"/>
      <c r="BN123" s="93">
        <f t="shared" si="96"/>
        <v>0</v>
      </c>
      <c r="BO123" s="93">
        <f t="shared" si="97"/>
        <v>0</v>
      </c>
      <c r="BP123" s="93">
        <f t="shared" si="98"/>
        <v>0</v>
      </c>
      <c r="BQ123" s="93">
        <f t="shared" si="99"/>
        <v>0</v>
      </c>
      <c r="BR123" s="92">
        <f t="shared" si="100"/>
        <v>0</v>
      </c>
    </row>
    <row r="124">
      <c r="C124" s="165"/>
      <c r="D124" s="35"/>
      <c r="E124" s="153">
        <f t="shared" si="117"/>
        <v>0</v>
      </c>
      <c r="F124" s="186">
        <f t="shared" si="118"/>
        <v>0</v>
      </c>
      <c r="G124" s="154"/>
      <c r="H124" s="153">
        <f t="shared" si="119"/>
        <v>0</v>
      </c>
      <c r="I124" s="153">
        <f t="shared" si="120"/>
        <v>0</v>
      </c>
      <c r="J124" s="154"/>
      <c r="K124" s="153">
        <f t="shared" si="122"/>
        <v>0</v>
      </c>
      <c r="L124" s="153">
        <f t="shared" si="123"/>
        <v>0</v>
      </c>
      <c r="M124" s="155"/>
      <c r="O124" s="6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93"/>
      <c r="AA124" s="92"/>
      <c r="AB124" s="93">
        <f t="shared" si="84"/>
        <v>0</v>
      </c>
      <c r="AC124" s="93">
        <f t="shared" si="85"/>
        <v>0</v>
      </c>
      <c r="AD124" s="93">
        <f t="shared" si="86"/>
        <v>0</v>
      </c>
      <c r="AE124" s="93">
        <f t="shared" si="87"/>
        <v>0</v>
      </c>
      <c r="AF124" s="92">
        <f t="shared" si="88"/>
        <v>0</v>
      </c>
      <c r="AH124" s="6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94"/>
      <c r="AU124" s="93">
        <f t="shared" si="90"/>
        <v>0</v>
      </c>
      <c r="AV124" s="93">
        <f t="shared" si="91"/>
        <v>0</v>
      </c>
      <c r="AW124" s="93">
        <f t="shared" si="92"/>
        <v>0</v>
      </c>
      <c r="AX124" s="93">
        <f t="shared" si="93"/>
        <v>0</v>
      </c>
      <c r="AY124" s="92">
        <f t="shared" si="94"/>
        <v>0</v>
      </c>
      <c r="BA124" s="6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93"/>
      <c r="BM124" s="92"/>
      <c r="BN124" s="93">
        <f t="shared" si="96"/>
        <v>0</v>
      </c>
      <c r="BO124" s="93">
        <f t="shared" si="97"/>
        <v>0</v>
      </c>
      <c r="BP124" s="93">
        <f t="shared" si="98"/>
        <v>0</v>
      </c>
      <c r="BQ124" s="93">
        <f t="shared" si="99"/>
        <v>0</v>
      </c>
      <c r="BR124" s="92">
        <f t="shared" si="100"/>
        <v>0</v>
      </c>
    </row>
    <row r="125" s="137" customFormat="1" ht="15" customHeight="1">
      <c r="A125" s="137" t="s">
        <v>269</v>
      </c>
      <c r="B125" s="137" t="s">
        <v>270</v>
      </c>
      <c r="C125" s="187" t="s">
        <v>271</v>
      </c>
      <c r="D125" s="139" t="s">
        <v>267</v>
      </c>
      <c r="E125" s="159">
        <f t="shared" si="117"/>
        <v>219465.63</v>
      </c>
      <c r="F125" s="141">
        <f t="shared" si="118"/>
        <v>223287.92000000001</v>
      </c>
      <c r="G125" s="142">
        <f t="shared" si="146"/>
        <v>-1.7118212216764829e-02</v>
      </c>
      <c r="H125" s="143">
        <f t="shared" si="119"/>
        <v>660756.28000000003</v>
      </c>
      <c r="I125" s="143">
        <f t="shared" si="120"/>
        <v>675259.29000000004</v>
      </c>
      <c r="J125" s="142">
        <f t="shared" si="147"/>
        <v>-2.1477690443918229e-02</v>
      </c>
      <c r="K125" s="143">
        <f t="shared" si="122"/>
        <v>1455632.75</v>
      </c>
      <c r="L125" s="143">
        <f t="shared" si="123"/>
        <v>1507291.2</v>
      </c>
      <c r="M125" s="144">
        <f t="shared" si="148"/>
        <v>-3.4272375503817683e-02</v>
      </c>
      <c r="O125" s="145">
        <f>SUMIF('2024 AC'!$B$3:$B$250,"*"&amp;$D125&amp;"*",'2024 AC'!C$3:C$250)</f>
        <v>303584.75</v>
      </c>
      <c r="P125" s="146">
        <f>SUMIF('2024 AC'!$B$3:$B$250,"*"&amp;$D125&amp;"*",'2024 AC'!D$3:D$250)</f>
        <v>229950.04999999999</v>
      </c>
      <c r="Q125" s="146">
        <f>SUMIF('2024 AC'!$B$3:$B$250,"*"&amp;$D125&amp;"*",'2024 AC'!E$3:E$250)</f>
        <v>252066.26000000001</v>
      </c>
      <c r="R125" s="146">
        <f>SUMIF('2024 AC'!$B$3:$B$250,"*"&amp;$D125&amp;"*",'2024 AC'!F$3:F$250)</f>
        <v>222693.20999999999</v>
      </c>
      <c r="S125" s="146">
        <f>SUMIF('2024 AC'!$B$3:$B$250,"*"&amp;$D125&amp;"*",'2024 AC'!G$3:G$250)</f>
        <v>243568.64000000001</v>
      </c>
      <c r="T125" s="146">
        <f>SUMIF('2024 AC'!$B$3:$B$250,"*"&amp;$D125&amp;"*",'2024 AC'!H$3:H$250)</f>
        <v>240697.82999999999</v>
      </c>
      <c r="U125" s="146">
        <f>SUMIF('2024 AC'!$B$3:$B$250,"*"&amp;$D125&amp;"*",'2024 AC'!I$3:I$250)</f>
        <v>275650.85999999999</v>
      </c>
      <c r="V125" s="146">
        <f>SUMIF('2024 AC'!$B$3:$B$250,"*"&amp;$D125&amp;"*",'2024 AC'!J$3:J$250)</f>
        <v>241719.82000000001</v>
      </c>
      <c r="W125" s="146">
        <f>SUMIF('2024 AC'!$B$3:$B$250,"*"&amp;$D125&amp;"*",'2024 AC'!K$3:K$250)</f>
        <v>226860.41</v>
      </c>
      <c r="X125" s="146">
        <f>SUMIF('2024 AC'!$B$3:$B$250,"*"&amp;$D125&amp;"*",'2024 AC'!L$3:L$250)</f>
        <v>242032.26999999999</v>
      </c>
      <c r="Y125" s="146">
        <f>SUMIF('2024 AC'!$B$3:$B$250,"*"&amp;$D125&amp;"*",'2024 AC'!M$3:M$250)</f>
        <v>219066.87</v>
      </c>
      <c r="Z125" s="147">
        <f>SUMIF('2024 AC'!$B$3:$B$250,"*"&amp;$D125&amp;"*",'2024 AC'!N$3:N$250)</f>
        <v>230263.72</v>
      </c>
      <c r="AA125" s="148">
        <f t="shared" si="83"/>
        <v>2928154.6900000004</v>
      </c>
      <c r="AB125" s="147">
        <f t="shared" si="84"/>
        <v>785601.06000000006</v>
      </c>
      <c r="AC125" s="147">
        <f t="shared" si="85"/>
        <v>706959.67999999993</v>
      </c>
      <c r="AD125" s="147">
        <f t="shared" si="86"/>
        <v>744231.08999999997</v>
      </c>
      <c r="AE125" s="147">
        <f t="shared" si="87"/>
        <v>691362.85999999999</v>
      </c>
      <c r="AF125" s="148">
        <f t="shared" si="88"/>
        <v>2928154.6899999999</v>
      </c>
      <c r="AH125" s="145">
        <f>SUMIF('2025 AC'!$B$3:$B$250,"*"&amp;$D125&amp;"*",'2025 AC'!C$3:C$250)</f>
        <v>360984.01000000001</v>
      </c>
      <c r="AI125" s="146">
        <f>SUMIF('2025 AC'!$B$3:$B$250,"*"&amp;$D125&amp;"*",'2025 AC'!D$3:D$250)</f>
        <v>245694.92000000001</v>
      </c>
      <c r="AJ125" s="146">
        <f>SUMIF('2025 AC'!$B$3:$B$250,"*"&amp;$D125&amp;"*",'2025 AC'!E$3:E$250)</f>
        <v>225352.98000000001</v>
      </c>
      <c r="AK125" s="146">
        <f>SUMIF('2025 AC'!$B$3:$B$250,"*"&amp;$D125&amp;"*",'2025 AC'!F$3:F$250)</f>
        <v>222529.31</v>
      </c>
      <c r="AL125" s="146">
        <f>SUMIF('2025 AC'!$B$3:$B$250,"*"&amp;$D125&amp;"*",'2025 AC'!G$3:G$250)</f>
        <v>229442.06</v>
      </c>
      <c r="AM125" s="146">
        <f>SUMIF('2025 AC'!$B$3:$B$250,"*"&amp;$D125&amp;"*",'2025 AC'!H$3:H$250)</f>
        <v>223287.92000000001</v>
      </c>
      <c r="AN125" s="146">
        <f>SUMIF('2025 AC'!$B$3:$B$250,"*"&amp;$D125&amp;"*",'2025 AC'!I$3:I$250)</f>
        <v>213672.66</v>
      </c>
      <c r="AO125" s="146">
        <f>SUMIF('2025 AC'!$B$3:$B$250,"*"&amp;$D125&amp;"*",'2025 AC'!J$3:J$250)</f>
        <v>309065.53999999998</v>
      </c>
      <c r="AP125" s="146">
        <f>SUMIF('2025 AC'!$B$3:$B$250,"*"&amp;$D125&amp;"*",'2025 AC'!K$3:K$250)</f>
        <v>211538.41</v>
      </c>
      <c r="AQ125" s="146">
        <f>SUMIF('2025 AC'!$B$3:$B$250,"*"&amp;$D125&amp;"*",'2025 AC'!L$3:L$250)</f>
        <v>220924.78</v>
      </c>
      <c r="AR125" s="146">
        <f>SUMIF('2025 AC'!$B$3:$B$250,"*"&amp;$D125&amp;"*",'2025 AC'!M$3:M$250)</f>
        <v>224464.39999999999</v>
      </c>
      <c r="AS125" s="146">
        <f>SUMIF('2025 AC'!$B$3:$B$250,"*"&amp;$D125&amp;"*",'2025 AC'!N$3:N$250)</f>
        <v>238751.31</v>
      </c>
      <c r="AT125" s="149">
        <f t="shared" si="138"/>
        <v>2925708.2999999998</v>
      </c>
      <c r="AU125" s="147">
        <f t="shared" si="90"/>
        <v>832031.91000000003</v>
      </c>
      <c r="AV125" s="147">
        <f t="shared" si="91"/>
        <v>675259.29000000004</v>
      </c>
      <c r="AW125" s="147">
        <f t="shared" si="92"/>
        <v>734276.60999999999</v>
      </c>
      <c r="AX125" s="147">
        <f t="shared" si="93"/>
        <v>684140.48999999999</v>
      </c>
      <c r="AY125" s="148">
        <f t="shared" si="94"/>
        <v>2925708.2999999998</v>
      </c>
      <c r="BA125" s="145">
        <f>SUMIF('2026 AC'!$B$3:$B$254,"*"&amp;$D125&amp;"*",'2026 AC'!C$3:C$254)</f>
        <v>304141.14000000001</v>
      </c>
      <c r="BB125" s="146">
        <f>SUMIF('2026 AC'!$B$3:$B$254,"*"&amp;$D125&amp;"*",'2026 AC'!D$3:D$254)</f>
        <v>254112.29000000001</v>
      </c>
      <c r="BC125" s="146">
        <f>SUMIF('2026 AC'!$B$3:$B$254,"*"&amp;$D125&amp;"*",'2026 AC'!E$3:E$254)</f>
        <v>236623.04000000001</v>
      </c>
      <c r="BD125" s="146">
        <f>SUMIF('2026 AC'!$B$3:$B$254,"*"&amp;$D125&amp;"*",'2026 AC'!F$3:F$254)</f>
        <v>224355.76999999999</v>
      </c>
      <c r="BE125" s="146">
        <f>SUMIF('2026 AC'!$B$3:$B$254,"*"&amp;$D125&amp;"*",'2026 AC'!G$3:G$254)</f>
        <v>216934.88</v>
      </c>
      <c r="BF125" s="146">
        <f>SUMIF('2026 AC'!$B$3:$B$254,"*"&amp;$D125&amp;"*",'2026 AC'!H$3:H$254)</f>
        <v>219465.63</v>
      </c>
      <c r="BG125" s="146">
        <f>SUMIF('2026 AC'!$B$3:$B$254,"*"&amp;$D125&amp;"*",'2026 AC'!I$3:I$254)</f>
        <v>0</v>
      </c>
      <c r="BH125" s="146">
        <f>SUMIF('2026 AC'!$B$3:$B$254,"*"&amp;$D125&amp;"*",'2026 AC'!J$3:J$254)</f>
        <v>0</v>
      </c>
      <c r="BI125" s="146">
        <f>SUMIF('2026 AC'!$B$3:$B$254,"*"&amp;$D125&amp;"*",'2026 AC'!K$3:K$254)</f>
        <v>0</v>
      </c>
      <c r="BJ125" s="146">
        <f>SUMIF('2026 AC'!$B$3:$B$254,"*"&amp;$D125&amp;"*",'2026 AC'!L$3:L$254)</f>
        <v>0</v>
      </c>
      <c r="BK125" s="146">
        <f>SUMIF('2026 AC'!$B$3:$B$254,"*"&amp;$D125&amp;"*",'2026 AC'!M$3:M$254)</f>
        <v>0</v>
      </c>
      <c r="BL125" s="147">
        <f>SUMIF('2026 AC'!$B$3:$B$254,"*"&amp;$D125&amp;"*",'2026 AC'!N$3:N$254)</f>
        <v>0</v>
      </c>
      <c r="BM125" s="148">
        <f t="shared" si="139"/>
        <v>1455632.75</v>
      </c>
      <c r="BN125" s="147">
        <f t="shared" si="96"/>
        <v>794876.47000000009</v>
      </c>
      <c r="BO125" s="147">
        <f t="shared" si="97"/>
        <v>660756.28000000003</v>
      </c>
      <c r="BP125" s="147">
        <f t="shared" si="98"/>
        <v>0</v>
      </c>
      <c r="BQ125" s="147">
        <f t="shared" si="99"/>
        <v>0</v>
      </c>
      <c r="BR125" s="148">
        <f t="shared" si="100"/>
        <v>1455632.75</v>
      </c>
    </row>
    <row r="126" ht="15" customHeight="1" outlineLevel="1">
      <c r="A126" t="s">
        <v>272</v>
      </c>
      <c r="B126" t="s">
        <v>273</v>
      </c>
      <c r="C126" s="34" t="s">
        <v>274</v>
      </c>
      <c r="D126" s="35" t="s">
        <v>270</v>
      </c>
      <c r="E126" s="151">
        <f t="shared" si="117"/>
        <v>133481.38</v>
      </c>
      <c r="F126" s="152">
        <f t="shared" si="118"/>
        <v>137742.88</v>
      </c>
      <c r="G126" s="54">
        <f t="shared" si="146"/>
        <v>-3.0938078251304169e-02</v>
      </c>
      <c r="H126" s="153">
        <f t="shared" si="119"/>
        <v>407726.12</v>
      </c>
      <c r="I126" s="153">
        <f t="shared" si="120"/>
        <v>414957.75</v>
      </c>
      <c r="J126" s="54">
        <f t="shared" si="147"/>
        <v>-1.7427388691981304e-02</v>
      </c>
      <c r="K126" s="153">
        <f t="shared" si="122"/>
        <v>889322.47999999998</v>
      </c>
      <c r="L126" s="153">
        <f t="shared" si="123"/>
        <v>930450.78000000003</v>
      </c>
      <c r="M126" s="55">
        <f t="shared" si="148"/>
        <v>-4.4202553089374645e-02</v>
      </c>
      <c r="O126" s="63">
        <f>SUMIF('2024 AC'!$B$3:$B$250,"*"&amp;$D126&amp;"*",'2024 AC'!C$3:C$250)</f>
        <v>206965.85000000001</v>
      </c>
      <c r="P126" s="53">
        <f>SUMIF('2024 AC'!$B$3:$B$250,"*"&amp;$D126&amp;"*",'2024 AC'!D$3:D$250)</f>
        <v>153116.42000000001</v>
      </c>
      <c r="Q126" s="53">
        <f>SUMIF('2024 AC'!$B$3:$B$250,"*"&amp;$D126&amp;"*",'2024 AC'!E$3:E$250)</f>
        <v>168110.14000000001</v>
      </c>
      <c r="R126" s="53">
        <f>SUMIF('2024 AC'!$B$3:$B$250,"*"&amp;$D126&amp;"*",'2024 AC'!F$3:F$250)</f>
        <v>166661.51000000001</v>
      </c>
      <c r="S126" s="53">
        <f>SUMIF('2024 AC'!$B$3:$B$250,"*"&amp;$D126&amp;"*",'2024 AC'!G$3:G$250)</f>
        <v>163763.56</v>
      </c>
      <c r="T126" s="53">
        <f>SUMIF('2024 AC'!$B$3:$B$250,"*"&amp;$D126&amp;"*",'2024 AC'!H$3:H$250)</f>
        <v>164526.91</v>
      </c>
      <c r="U126" s="53">
        <f>SUMIF('2024 AC'!$B$3:$B$250,"*"&amp;$D126&amp;"*",'2024 AC'!I$3:I$250)</f>
        <v>159440.79999999999</v>
      </c>
      <c r="V126" s="53">
        <f>SUMIF('2024 AC'!$B$3:$B$250,"*"&amp;$D126&amp;"*",'2024 AC'!J$3:J$250)</f>
        <v>154378.51999999999</v>
      </c>
      <c r="W126" s="53">
        <f>SUMIF('2024 AC'!$B$3:$B$250,"*"&amp;$D126&amp;"*",'2024 AC'!K$3:K$250)</f>
        <v>145051.91</v>
      </c>
      <c r="X126" s="53">
        <f>SUMIF('2024 AC'!$B$3:$B$250,"*"&amp;$D126&amp;"*",'2024 AC'!L$3:L$250)</f>
        <v>140645.85000000001</v>
      </c>
      <c r="Y126" s="53">
        <f>SUMIF('2024 AC'!$B$3:$B$250,"*"&amp;$D126&amp;"*",'2024 AC'!M$3:M$250)</f>
        <v>134980.37</v>
      </c>
      <c r="Z126" s="93">
        <f>SUMIF('2024 AC'!$B$3:$B$250,"*"&amp;$D126&amp;"*",'2024 AC'!N$3:N$250)</f>
        <v>137474.07999999999</v>
      </c>
      <c r="AA126" s="92">
        <f t="shared" si="83"/>
        <v>1895115.9199999999</v>
      </c>
      <c r="AB126" s="93">
        <f t="shared" si="84"/>
        <v>528192.41000000003</v>
      </c>
      <c r="AC126" s="93">
        <f t="shared" si="85"/>
        <v>494951.97999999998</v>
      </c>
      <c r="AD126" s="93">
        <f t="shared" si="86"/>
        <v>458871.22999999998</v>
      </c>
      <c r="AE126" s="93">
        <f t="shared" si="87"/>
        <v>413100.29999999993</v>
      </c>
      <c r="AF126" s="92">
        <f t="shared" si="88"/>
        <v>1895115.9199999999</v>
      </c>
      <c r="AH126" s="63">
        <f>SUMIF('2025 AC'!$B$3:$B$250,"*"&amp;$D126&amp;"*",'2025 AC'!C$3:C$250)</f>
        <v>238891.20000000001</v>
      </c>
      <c r="AI126" s="53">
        <f>SUMIF('2025 AC'!$B$3:$B$250,"*"&amp;$D126&amp;"*",'2025 AC'!D$3:D$250)</f>
        <v>140944.38</v>
      </c>
      <c r="AJ126" s="53">
        <f>SUMIF('2025 AC'!$B$3:$B$250,"*"&amp;$D126&amp;"*",'2025 AC'!E$3:E$250)</f>
        <v>135657.45000000001</v>
      </c>
      <c r="AK126" s="53">
        <f>SUMIF('2025 AC'!$B$3:$B$250,"*"&amp;$D126&amp;"*",'2025 AC'!F$3:F$250)</f>
        <v>142917.64000000001</v>
      </c>
      <c r="AL126" s="53">
        <f>SUMIF('2025 AC'!$B$3:$B$250,"*"&amp;$D126&amp;"*",'2025 AC'!G$3:G$250)</f>
        <v>134297.23000000001</v>
      </c>
      <c r="AM126" s="53">
        <f>SUMIF('2025 AC'!$B$3:$B$250,"*"&amp;$D126&amp;"*",'2025 AC'!H$3:H$250)</f>
        <v>137742.88</v>
      </c>
      <c r="AN126" s="53">
        <f>SUMIF('2025 AC'!$B$3:$B$250,"*"&amp;$D126&amp;"*",'2025 AC'!I$3:I$250)</f>
        <v>138233.14000000001</v>
      </c>
      <c r="AO126" s="53">
        <f>SUMIF('2025 AC'!$B$3:$B$250,"*"&amp;$D126&amp;"*",'2025 AC'!J$3:J$250)</f>
        <v>130417.34</v>
      </c>
      <c r="AP126" s="53">
        <f>SUMIF('2025 AC'!$B$3:$B$250,"*"&amp;$D126&amp;"*",'2025 AC'!K$3:K$250)</f>
        <v>133322.48999999999</v>
      </c>
      <c r="AQ126" s="53">
        <f>SUMIF('2025 AC'!$B$3:$B$250,"*"&amp;$D126&amp;"*",'2025 AC'!L$3:L$250)</f>
        <v>138155.76999999999</v>
      </c>
      <c r="AR126" s="53">
        <f>SUMIF('2025 AC'!$B$3:$B$250,"*"&amp;$D126&amp;"*",'2025 AC'!M$3:M$250)</f>
        <v>135955.79999999999</v>
      </c>
      <c r="AS126" s="53">
        <f>SUMIF('2025 AC'!$B$3:$B$250,"*"&amp;$D126&amp;"*",'2025 AC'!N$3:N$250)</f>
        <v>143482.76999999999</v>
      </c>
      <c r="AT126" s="94">
        <f t="shared" si="138"/>
        <v>1750018.0900000001</v>
      </c>
      <c r="AU126" s="93">
        <f t="shared" si="90"/>
        <v>515493.03000000003</v>
      </c>
      <c r="AV126" s="93">
        <f t="shared" si="91"/>
        <v>414957.75</v>
      </c>
      <c r="AW126" s="93">
        <f t="shared" si="92"/>
        <v>401972.96999999997</v>
      </c>
      <c r="AX126" s="93">
        <f t="shared" si="93"/>
        <v>417594.33999999997</v>
      </c>
      <c r="AY126" s="92">
        <f t="shared" si="94"/>
        <v>1750018.0899999999</v>
      </c>
      <c r="BA126" s="63">
        <f>SUMIF('2026 AC'!$B$3:$B$254,"*"&amp;$D126&amp;"*",'2026 AC'!C$3:C$254)</f>
        <v>194480.13</v>
      </c>
      <c r="BB126" s="53">
        <f>SUMIF('2026 AC'!$B$3:$B$254,"*"&amp;$D126&amp;"*",'2026 AC'!D$3:D$254)</f>
        <v>147430</v>
      </c>
      <c r="BC126" s="53">
        <f>SUMIF('2026 AC'!$B$3:$B$254,"*"&amp;$D126&amp;"*",'2026 AC'!E$3:E$254)</f>
        <v>139686.23000000001</v>
      </c>
      <c r="BD126" s="53">
        <f>SUMIF('2026 AC'!$B$3:$B$254,"*"&amp;$D126&amp;"*",'2026 AC'!F$3:F$254)</f>
        <v>141355.76000000001</v>
      </c>
      <c r="BE126" s="53">
        <f>SUMIF('2026 AC'!$B$3:$B$254,"*"&amp;$D126&amp;"*",'2026 AC'!G$3:G$254)</f>
        <v>132888.98000000001</v>
      </c>
      <c r="BF126" s="53">
        <f>SUMIF('2026 AC'!$B$3:$B$254,"*"&amp;$D126&amp;"*",'2026 AC'!H$3:H$254)</f>
        <v>133481.38</v>
      </c>
      <c r="BG126" s="53">
        <f>SUMIF('2026 AC'!$B$3:$B$254,"*"&amp;$D126&amp;"*",'2026 AC'!I$3:I$254)</f>
        <v>0</v>
      </c>
      <c r="BH126" s="53">
        <f>SUMIF('2026 AC'!$B$3:$B$254,"*"&amp;$D126&amp;"*",'2026 AC'!J$3:J$254)</f>
        <v>0</v>
      </c>
      <c r="BI126" s="53">
        <f>SUMIF('2026 AC'!$B$3:$B$254,"*"&amp;$D126&amp;"*",'2026 AC'!K$3:K$254)</f>
        <v>0</v>
      </c>
      <c r="BJ126" s="53">
        <f>SUMIF('2026 AC'!$B$3:$B$254,"*"&amp;$D126&amp;"*",'2026 AC'!L$3:L$254)</f>
        <v>0</v>
      </c>
      <c r="BK126" s="53">
        <f>SUMIF('2026 AC'!$B$3:$B$254,"*"&amp;$D126&amp;"*",'2026 AC'!M$3:M$254)</f>
        <v>0</v>
      </c>
      <c r="BL126" s="93">
        <f>SUMIF('2026 AC'!$B$3:$B$254,"*"&amp;$D126&amp;"*",'2026 AC'!N$3:N$254)</f>
        <v>0</v>
      </c>
      <c r="BM126" s="92">
        <f t="shared" si="139"/>
        <v>889322.47999999998</v>
      </c>
      <c r="BN126" s="93">
        <f t="shared" si="96"/>
        <v>481596.35999999999</v>
      </c>
      <c r="BO126" s="93">
        <f t="shared" si="97"/>
        <v>407726.12</v>
      </c>
      <c r="BP126" s="93">
        <f t="shared" si="98"/>
        <v>0</v>
      </c>
      <c r="BQ126" s="93">
        <f t="shared" si="99"/>
        <v>0</v>
      </c>
      <c r="BR126" s="92">
        <f t="shared" si="100"/>
        <v>889322.47999999998</v>
      </c>
    </row>
    <row r="127" ht="15" customHeight="1" outlineLevel="1">
      <c r="A127" t="s">
        <v>272</v>
      </c>
      <c r="B127" t="s">
        <v>273</v>
      </c>
      <c r="C127" s="34" t="s">
        <v>275</v>
      </c>
      <c r="D127" s="35" t="s">
        <v>273</v>
      </c>
      <c r="E127" s="151">
        <f t="shared" si="117"/>
        <v>33034</v>
      </c>
      <c r="F127" s="152">
        <f t="shared" si="118"/>
        <v>31792</v>
      </c>
      <c r="G127" s="54">
        <f t="shared" si="146"/>
        <v>3.9066431806743837e-02</v>
      </c>
      <c r="H127" s="153">
        <f t="shared" si="119"/>
        <v>100594</v>
      </c>
      <c r="I127" s="153">
        <f t="shared" si="120"/>
        <v>95643</v>
      </c>
      <c r="J127" s="54">
        <f t="shared" si="147"/>
        <v>5.1765419319762029e-02</v>
      </c>
      <c r="K127" s="153">
        <f t="shared" si="122"/>
        <v>220025</v>
      </c>
      <c r="L127" s="153">
        <f t="shared" si="123"/>
        <v>219461</v>
      </c>
      <c r="M127" s="55">
        <f t="shared" si="148"/>
        <v>2.5699326987482971e-03</v>
      </c>
      <c r="O127" s="63">
        <f>SUMIF('2024 AC'!$B$3:$B$250,"*"&amp;$D127&amp;"*",'2024 AC'!C$3:C$250)</f>
        <v>48754</v>
      </c>
      <c r="P127" s="53">
        <f>SUMIF('2024 AC'!$B$3:$B$250,"*"&amp;$D127&amp;"*",'2024 AC'!D$3:D$250)</f>
        <v>36644</v>
      </c>
      <c r="Q127" s="53">
        <f>SUMIF('2024 AC'!$B$3:$B$250,"*"&amp;$D127&amp;"*",'2024 AC'!E$3:E$250)</f>
        <v>39440</v>
      </c>
      <c r="R127" s="53">
        <f>SUMIF('2024 AC'!$B$3:$B$250,"*"&amp;$D127&amp;"*",'2024 AC'!F$3:F$250)</f>
        <v>39575</v>
      </c>
      <c r="S127" s="53">
        <f>SUMIF('2024 AC'!$B$3:$B$250,"*"&amp;$D127&amp;"*",'2024 AC'!G$3:G$250)</f>
        <v>39785</v>
      </c>
      <c r="T127" s="53">
        <f>SUMIF('2024 AC'!$B$3:$B$250,"*"&amp;$D127&amp;"*",'2024 AC'!H$3:H$250)</f>
        <v>37934</v>
      </c>
      <c r="U127" s="53">
        <f>SUMIF('2024 AC'!$B$3:$B$250,"*"&amp;$D127&amp;"*",'2024 AC'!I$3:I$250)</f>
        <v>37792</v>
      </c>
      <c r="V127" s="53">
        <f>SUMIF('2024 AC'!$B$3:$B$250,"*"&amp;$D127&amp;"*",'2024 AC'!J$3:J$250)</f>
        <v>37291</v>
      </c>
      <c r="W127" s="53">
        <f>SUMIF('2024 AC'!$B$3:$B$250,"*"&amp;$D127&amp;"*",'2024 AC'!K$3:K$250)</f>
        <v>32717</v>
      </c>
      <c r="X127" s="53">
        <f>SUMIF('2024 AC'!$B$3:$B$250,"*"&amp;$D127&amp;"*",'2024 AC'!L$3:L$250)</f>
        <v>32213</v>
      </c>
      <c r="Y127" s="53">
        <f>SUMIF('2024 AC'!$B$3:$B$250,"*"&amp;$D127&amp;"*",'2024 AC'!M$3:M$250)</f>
        <v>31798</v>
      </c>
      <c r="Z127" s="93">
        <f>SUMIF('2024 AC'!$B$3:$B$250,"*"&amp;$D127&amp;"*",'2024 AC'!N$3:N$250)</f>
        <v>31814</v>
      </c>
      <c r="AA127" s="92">
        <f t="shared" si="83"/>
        <v>445757</v>
      </c>
      <c r="AB127" s="93">
        <f t="shared" si="84"/>
        <v>124838</v>
      </c>
      <c r="AC127" s="93">
        <f t="shared" si="85"/>
        <v>117294</v>
      </c>
      <c r="AD127" s="93">
        <f t="shared" si="86"/>
        <v>107800</v>
      </c>
      <c r="AE127" s="93">
        <f t="shared" si="87"/>
        <v>95825</v>
      </c>
      <c r="AF127" s="92">
        <f t="shared" si="88"/>
        <v>445757</v>
      </c>
      <c r="AH127" s="63">
        <f>SUMIF('2025 AC'!$B$3:$B$250,"*"&amp;$D127&amp;"*",'2025 AC'!C$3:C$250)</f>
        <v>59158</v>
      </c>
      <c r="AI127" s="53">
        <f>SUMIF('2025 AC'!$B$3:$B$250,"*"&amp;$D127&amp;"*",'2025 AC'!D$3:D$250)</f>
        <v>33245</v>
      </c>
      <c r="AJ127" s="53">
        <f>SUMIF('2025 AC'!$B$3:$B$250,"*"&amp;$D127&amp;"*",'2025 AC'!E$3:E$250)</f>
        <v>31415</v>
      </c>
      <c r="AK127" s="53">
        <f>SUMIF('2025 AC'!$B$3:$B$250,"*"&amp;$D127&amp;"*",'2025 AC'!F$3:F$250)</f>
        <v>31782</v>
      </c>
      <c r="AL127" s="53">
        <f>SUMIF('2025 AC'!$B$3:$B$250,"*"&amp;$D127&amp;"*",'2025 AC'!G$3:G$250)</f>
        <v>32069</v>
      </c>
      <c r="AM127" s="53">
        <f>SUMIF('2025 AC'!$B$3:$B$250,"*"&amp;$D127&amp;"*",'2025 AC'!H$3:H$250)</f>
        <v>31792</v>
      </c>
      <c r="AN127" s="53">
        <f>SUMIF('2025 AC'!$B$3:$B$250,"*"&amp;$D127&amp;"*",'2025 AC'!I$3:I$250)</f>
        <v>32565</v>
      </c>
      <c r="AO127" s="53">
        <f>SUMIF('2025 AC'!$B$3:$B$250,"*"&amp;$D127&amp;"*",'2025 AC'!J$3:J$250)</f>
        <v>31565</v>
      </c>
      <c r="AP127" s="53">
        <f>SUMIF('2025 AC'!$B$3:$B$250,"*"&amp;$D127&amp;"*",'2025 AC'!K$3:K$250)</f>
        <v>31558</v>
      </c>
      <c r="AQ127" s="53">
        <f>SUMIF('2025 AC'!$B$3:$B$250,"*"&amp;$D127&amp;"*",'2025 AC'!L$3:L$250)</f>
        <v>31720</v>
      </c>
      <c r="AR127" s="53">
        <f>SUMIF('2025 AC'!$B$3:$B$250,"*"&amp;$D127&amp;"*",'2025 AC'!M$3:M$250)</f>
        <v>33620</v>
      </c>
      <c r="AS127" s="53">
        <f>SUMIF('2025 AC'!$B$3:$B$250,"*"&amp;$D127&amp;"*",'2025 AC'!N$3:N$250)</f>
        <v>35437</v>
      </c>
      <c r="AT127" s="94">
        <f t="shared" si="138"/>
        <v>415926</v>
      </c>
      <c r="AU127" s="93">
        <f t="shared" si="90"/>
        <v>123818</v>
      </c>
      <c r="AV127" s="93">
        <f t="shared" si="91"/>
        <v>95643</v>
      </c>
      <c r="AW127" s="93">
        <f t="shared" si="92"/>
        <v>95688</v>
      </c>
      <c r="AX127" s="93">
        <f t="shared" si="93"/>
        <v>100777</v>
      </c>
      <c r="AY127" s="92">
        <f t="shared" si="94"/>
        <v>415926</v>
      </c>
      <c r="BA127" s="63">
        <f>SUMIF('2026 AC'!$B$3:$B$254,"*"&amp;$D127&amp;"*",'2026 AC'!C$3:C$254)</f>
        <v>48663</v>
      </c>
      <c r="BB127" s="53">
        <f>SUMIF('2026 AC'!$B$3:$B$254,"*"&amp;$D127&amp;"*",'2026 AC'!D$3:D$254)</f>
        <v>37371</v>
      </c>
      <c r="BC127" s="53">
        <f>SUMIF('2026 AC'!$B$3:$B$254,"*"&amp;$D127&amp;"*",'2026 AC'!E$3:E$254)</f>
        <v>33397</v>
      </c>
      <c r="BD127" s="53">
        <f>SUMIF('2026 AC'!$B$3:$B$254,"*"&amp;$D127&amp;"*",'2026 AC'!F$3:F$254)</f>
        <v>34258</v>
      </c>
      <c r="BE127" s="53">
        <f>SUMIF('2026 AC'!$B$3:$B$254,"*"&amp;$D127&amp;"*",'2026 AC'!G$3:G$254)</f>
        <v>33302</v>
      </c>
      <c r="BF127" s="53">
        <f>SUMIF('2026 AC'!$B$3:$B$254,"*"&amp;$D127&amp;"*",'2026 AC'!H$3:H$254)</f>
        <v>33034</v>
      </c>
      <c r="BG127" s="53">
        <f>SUMIF('2026 AC'!$B$3:$B$254,"*"&amp;$D127&amp;"*",'2026 AC'!I$3:I$254)</f>
        <v>0</v>
      </c>
      <c r="BH127" s="53">
        <f>SUMIF('2026 AC'!$B$3:$B$254,"*"&amp;$D127&amp;"*",'2026 AC'!J$3:J$254)</f>
        <v>0</v>
      </c>
      <c r="BI127" s="53">
        <f>SUMIF('2026 AC'!$B$3:$B$254,"*"&amp;$D127&amp;"*",'2026 AC'!K$3:K$254)</f>
        <v>0</v>
      </c>
      <c r="BJ127" s="53">
        <f>SUMIF('2026 AC'!$B$3:$B$254,"*"&amp;$D127&amp;"*",'2026 AC'!L$3:L$254)</f>
        <v>0</v>
      </c>
      <c r="BK127" s="53">
        <f>SUMIF('2026 AC'!$B$3:$B$254,"*"&amp;$D127&amp;"*",'2026 AC'!M$3:M$254)</f>
        <v>0</v>
      </c>
      <c r="BL127" s="93">
        <f>SUMIF('2026 AC'!$B$3:$B$254,"*"&amp;$D127&amp;"*",'2026 AC'!N$3:N$254)</f>
        <v>0</v>
      </c>
      <c r="BM127" s="92">
        <f t="shared" si="139"/>
        <v>220025</v>
      </c>
      <c r="BN127" s="93">
        <f t="shared" si="96"/>
        <v>119431</v>
      </c>
      <c r="BO127" s="93">
        <f t="shared" si="97"/>
        <v>100594</v>
      </c>
      <c r="BP127" s="93">
        <f t="shared" si="98"/>
        <v>0</v>
      </c>
      <c r="BQ127" s="93">
        <f t="shared" si="99"/>
        <v>0</v>
      </c>
      <c r="BR127" s="92">
        <f t="shared" si="100"/>
        <v>220025</v>
      </c>
    </row>
    <row r="128" ht="15" customHeight="1" outlineLevel="1">
      <c r="A128" t="s">
        <v>276</v>
      </c>
      <c r="B128" t="s">
        <v>277</v>
      </c>
      <c r="C128" s="34" t="s">
        <v>278</v>
      </c>
      <c r="D128" s="35" t="s">
        <v>277</v>
      </c>
      <c r="E128" s="151">
        <f t="shared" si="117"/>
        <v>4380.0500000000002</v>
      </c>
      <c r="F128" s="152">
        <f t="shared" si="118"/>
        <v>3311.4000000000001</v>
      </c>
      <c r="G128" s="54">
        <f t="shared" si="146"/>
        <v>0.32271848764872868</v>
      </c>
      <c r="H128" s="153">
        <f t="shared" si="119"/>
        <v>10951.549999999999</v>
      </c>
      <c r="I128" s="153">
        <f t="shared" si="120"/>
        <v>9908.7000000000007</v>
      </c>
      <c r="J128" s="54">
        <f t="shared" si="147"/>
        <v>0.10524589502154656</v>
      </c>
      <c r="K128" s="153">
        <f t="shared" si="122"/>
        <v>21066.450000000001</v>
      </c>
      <c r="L128" s="153">
        <f t="shared" si="123"/>
        <v>19895.700000000001</v>
      </c>
      <c r="M128" s="55">
        <f t="shared" si="148"/>
        <v>5.884437340731917e-02</v>
      </c>
      <c r="O128" s="63">
        <f>SUMIF('2024 AC'!$B$3:$B$250,"*"&amp;$D128&amp;"*",'2024 AC'!C$3:C$250)</f>
        <v>3552.0999999999999</v>
      </c>
      <c r="P128" s="53">
        <f>SUMIF('2024 AC'!$B$3:$B$250,"*"&amp;$D128&amp;"*",'2024 AC'!D$3:D$250)</f>
        <v>3557.0999999999999</v>
      </c>
      <c r="Q128" s="53">
        <f>SUMIF('2024 AC'!$B$3:$B$250,"*"&amp;$D128&amp;"*",'2024 AC'!E$3:E$250)</f>
        <v>3895.3000000000002</v>
      </c>
      <c r="R128" s="53">
        <f>SUMIF('2024 AC'!$B$3:$B$250,"*"&amp;$D128&amp;"*",'2024 AC'!F$3:F$250)</f>
        <v>3883.9000000000001</v>
      </c>
      <c r="S128" s="53">
        <f>SUMIF('2024 AC'!$B$3:$B$250,"*"&amp;$D128&amp;"*",'2024 AC'!G$3:G$250)</f>
        <v>3744.4000000000001</v>
      </c>
      <c r="T128" s="53">
        <f>SUMIF('2024 AC'!$B$3:$B$250,"*"&amp;$D128&amp;"*",'2024 AC'!H$3:H$250)</f>
        <v>3826.3000000000002</v>
      </c>
      <c r="U128" s="53">
        <f>SUMIF('2024 AC'!$B$3:$B$250,"*"&amp;$D128&amp;"*",'2024 AC'!I$3:I$250)</f>
        <v>3743.0999999999999</v>
      </c>
      <c r="V128" s="53">
        <f>SUMIF('2024 AC'!$B$3:$B$250,"*"&amp;$D128&amp;"*",'2024 AC'!J$3:J$250)</f>
        <v>3625</v>
      </c>
      <c r="W128" s="53">
        <f>SUMIF('2024 AC'!$B$3:$B$250,"*"&amp;$D128&amp;"*",'2024 AC'!K$3:K$250)</f>
        <v>3364.8000000000002</v>
      </c>
      <c r="X128" s="53">
        <f>SUMIF('2024 AC'!$B$3:$B$250,"*"&amp;$D128&amp;"*",'2024 AC'!L$3:L$250)</f>
        <v>3372.5999999999999</v>
      </c>
      <c r="Y128" s="53">
        <f>SUMIF('2024 AC'!$B$3:$B$250,"*"&amp;$D128&amp;"*",'2024 AC'!M$3:M$250)</f>
        <v>3230.4000000000001</v>
      </c>
      <c r="Z128" s="93">
        <f>SUMIF('2024 AC'!$B$3:$B$250,"*"&amp;$D128&amp;"*",'2024 AC'!N$3:N$250)</f>
        <v>3293.8000000000002</v>
      </c>
      <c r="AA128" s="92">
        <f t="shared" si="83"/>
        <v>43088.800000000003</v>
      </c>
      <c r="AB128" s="93">
        <f t="shared" si="84"/>
        <v>11004.5</v>
      </c>
      <c r="AC128" s="93">
        <f t="shared" si="85"/>
        <v>11454.6</v>
      </c>
      <c r="AD128" s="93">
        <f t="shared" si="86"/>
        <v>10732.900000000001</v>
      </c>
      <c r="AE128" s="93">
        <f t="shared" si="87"/>
        <v>9896.7999999999993</v>
      </c>
      <c r="AF128" s="92">
        <f t="shared" si="88"/>
        <v>43088.800000000003</v>
      </c>
      <c r="AH128" s="63">
        <f>SUMIF('2025 AC'!$B$3:$B$250,"*"&amp;$D128&amp;"*",'2025 AC'!C$3:C$250)</f>
        <v>3336.8000000000002</v>
      </c>
      <c r="AI128" s="53">
        <f>SUMIF('2025 AC'!$B$3:$B$250,"*"&amp;$D128&amp;"*",'2025 AC'!D$3:D$250)</f>
        <v>3398.5999999999999</v>
      </c>
      <c r="AJ128" s="53">
        <f>SUMIF('2025 AC'!$B$3:$B$250,"*"&amp;$D128&amp;"*",'2025 AC'!E$3:E$250)</f>
        <v>3251.5999999999999</v>
      </c>
      <c r="AK128" s="53">
        <f>SUMIF('2025 AC'!$B$3:$B$250,"*"&amp;$D128&amp;"*",'2025 AC'!F$3:F$250)</f>
        <v>3371.3000000000002</v>
      </c>
      <c r="AL128" s="53">
        <f>SUMIF('2025 AC'!$B$3:$B$250,"*"&amp;$D128&amp;"*",'2025 AC'!G$3:G$250)</f>
        <v>3226</v>
      </c>
      <c r="AM128" s="53">
        <f>SUMIF('2025 AC'!$B$3:$B$250,"*"&amp;$D128&amp;"*",'2025 AC'!H$3:H$250)</f>
        <v>3311.4000000000001</v>
      </c>
      <c r="AN128" s="53">
        <f>SUMIF('2025 AC'!$B$3:$B$250,"*"&amp;$D128&amp;"*",'2025 AC'!I$3:I$250)</f>
        <v>3330.9000000000001</v>
      </c>
      <c r="AO128" s="53">
        <f>SUMIF('2025 AC'!$B$3:$B$250,"*"&amp;$D128&amp;"*",'2025 AC'!J$3:J$250)</f>
        <v>3131.5</v>
      </c>
      <c r="AP128" s="53">
        <f>SUMIF('2025 AC'!$B$3:$B$250,"*"&amp;$D128&amp;"*",'2025 AC'!K$3:K$250)</f>
        <v>3199.9000000000001</v>
      </c>
      <c r="AQ128" s="53">
        <f>SUMIF('2025 AC'!$B$3:$B$250,"*"&amp;$D128&amp;"*",'2025 AC'!L$3:L$250)</f>
        <v>3332.1999999999998</v>
      </c>
      <c r="AR128" s="53">
        <f>SUMIF('2025 AC'!$B$3:$B$250,"*"&amp;$D128&amp;"*",'2025 AC'!M$3:M$250)</f>
        <v>3218</v>
      </c>
      <c r="AS128" s="53">
        <f>SUMIF('2025 AC'!$B$3:$B$250,"*"&amp;$D128&amp;"*",'2025 AC'!N$3:N$250)</f>
        <v>3294.8000000000002</v>
      </c>
      <c r="AT128" s="94">
        <f t="shared" si="138"/>
        <v>39403.000000000007</v>
      </c>
      <c r="AU128" s="93">
        <f t="shared" si="90"/>
        <v>9987</v>
      </c>
      <c r="AV128" s="93">
        <f t="shared" si="91"/>
        <v>9908.7000000000007</v>
      </c>
      <c r="AW128" s="93">
        <f t="shared" si="92"/>
        <v>9662.2999999999993</v>
      </c>
      <c r="AX128" s="93">
        <f t="shared" si="93"/>
        <v>9845</v>
      </c>
      <c r="AY128" s="92">
        <f t="shared" si="94"/>
        <v>39403</v>
      </c>
      <c r="BA128" s="63">
        <f>SUMIF('2026 AC'!$B$3:$B$254,"*"&amp;$D128&amp;"*",'2026 AC'!C$3:C$254)</f>
        <v>3321.0999999999999</v>
      </c>
      <c r="BB128" s="53">
        <f>SUMIF('2026 AC'!$B$3:$B$254,"*"&amp;$D128&amp;"*",'2026 AC'!D$3:D$254)</f>
        <v>3406.1999999999998</v>
      </c>
      <c r="BC128" s="53">
        <f>SUMIF('2026 AC'!$B$3:$B$254,"*"&amp;$D128&amp;"*",'2026 AC'!E$3:E$254)</f>
        <v>3387.5999999999999</v>
      </c>
      <c r="BD128" s="53">
        <f>SUMIF('2026 AC'!$B$3:$B$254,"*"&amp;$D128&amp;"*",'2026 AC'!F$3:F$254)</f>
        <v>3340.0999999999999</v>
      </c>
      <c r="BE128" s="53">
        <f>SUMIF('2026 AC'!$B$3:$B$254,"*"&amp;$D128&amp;"*",'2026 AC'!G$3:G$254)</f>
        <v>3231.4000000000001</v>
      </c>
      <c r="BF128" s="53">
        <f>SUMIF('2026 AC'!$B$3:$B$254,"*"&amp;$D128&amp;"*",'2026 AC'!H$3:H$254)</f>
        <v>4380.0500000000002</v>
      </c>
      <c r="BG128" s="53">
        <f>SUMIF('2026 AC'!$B$3:$B$254,"*"&amp;$D128&amp;"*",'2026 AC'!I$3:I$254)</f>
        <v>0</v>
      </c>
      <c r="BH128" s="53">
        <f>SUMIF('2026 AC'!$B$3:$B$254,"*"&amp;$D128&amp;"*",'2026 AC'!J$3:J$254)</f>
        <v>0</v>
      </c>
      <c r="BI128" s="53">
        <f>SUMIF('2026 AC'!$B$3:$B$254,"*"&amp;$D128&amp;"*",'2026 AC'!K$3:K$254)</f>
        <v>0</v>
      </c>
      <c r="BJ128" s="53">
        <f>SUMIF('2026 AC'!$B$3:$B$254,"*"&amp;$D128&amp;"*",'2026 AC'!L$3:L$254)</f>
        <v>0</v>
      </c>
      <c r="BK128" s="53">
        <f>SUMIF('2026 AC'!$B$3:$B$254,"*"&amp;$D128&amp;"*",'2026 AC'!M$3:M$254)</f>
        <v>0</v>
      </c>
      <c r="BL128" s="93">
        <f>SUMIF('2026 AC'!$B$3:$B$254,"*"&amp;$D128&amp;"*",'2026 AC'!N$3:N$254)</f>
        <v>0</v>
      </c>
      <c r="BM128" s="92">
        <f t="shared" si="139"/>
        <v>21066.450000000001</v>
      </c>
      <c r="BN128" s="93">
        <f t="shared" si="96"/>
        <v>10114.9</v>
      </c>
      <c r="BO128" s="93">
        <f t="shared" si="97"/>
        <v>10951.549999999999</v>
      </c>
      <c r="BP128" s="93">
        <f t="shared" si="98"/>
        <v>0</v>
      </c>
      <c r="BQ128" s="93">
        <f t="shared" si="99"/>
        <v>0</v>
      </c>
      <c r="BR128" s="92">
        <f t="shared" si="100"/>
        <v>21066.449999999997</v>
      </c>
    </row>
    <row r="129" ht="15" customHeight="1" outlineLevel="1">
      <c r="A129" t="s">
        <v>279</v>
      </c>
      <c r="B129" t="s">
        <v>280</v>
      </c>
      <c r="C129" s="34" t="s">
        <v>281</v>
      </c>
      <c r="D129" s="35" t="s">
        <v>280</v>
      </c>
      <c r="E129" s="151">
        <f t="shared" si="117"/>
        <v>554</v>
      </c>
      <c r="F129" s="152">
        <f t="shared" si="118"/>
        <v>565.39999999999998</v>
      </c>
      <c r="G129" s="54">
        <f t="shared" si="146"/>
        <v>-2.0162716660771095e-02</v>
      </c>
      <c r="H129" s="153">
        <f t="shared" si="119"/>
        <v>1671.4000000000001</v>
      </c>
      <c r="I129" s="153">
        <f t="shared" si="120"/>
        <v>1686.5999999999999</v>
      </c>
      <c r="J129" s="54">
        <f t="shared" si="147"/>
        <v>-9.012213921498766e-03</v>
      </c>
      <c r="K129" s="153">
        <f t="shared" si="122"/>
        <v>3395.1999999999998</v>
      </c>
      <c r="L129" s="153">
        <f t="shared" si="123"/>
        <v>3390.1999999999998</v>
      </c>
      <c r="M129" s="55">
        <f t="shared" si="148"/>
        <v>1.4748392425225651e-03</v>
      </c>
      <c r="O129" s="63">
        <f>SUMIF('2024 AC'!$B$3:$B$250,"*"&amp;$D129&amp;"*",'2024 AC'!C$3:C$250)</f>
        <v>611.39999999999998</v>
      </c>
      <c r="P129" s="53">
        <f>SUMIF('2024 AC'!$B$3:$B$250,"*"&amp;$D129&amp;"*",'2024 AC'!D$3:D$250)</f>
        <v>613.20000000000005</v>
      </c>
      <c r="Q129" s="53">
        <f>SUMIF('2024 AC'!$B$3:$B$250,"*"&amp;$D129&amp;"*",'2024 AC'!E$3:E$250)</f>
        <v>672.39999999999998</v>
      </c>
      <c r="R129" s="53">
        <f>SUMIF('2024 AC'!$B$3:$B$250,"*"&amp;$D129&amp;"*",'2024 AC'!F$3:F$250)</f>
        <v>670.39999999999998</v>
      </c>
      <c r="S129" s="53">
        <f>SUMIF('2024 AC'!$B$3:$B$250,"*"&amp;$D129&amp;"*",'2024 AC'!G$3:G$250)</f>
        <v>645.79999999999995</v>
      </c>
      <c r="T129" s="53">
        <f>SUMIF('2024 AC'!$B$3:$B$250,"*"&amp;$D129&amp;"*",'2024 AC'!H$3:H$250)</f>
        <v>667.20000000000005</v>
      </c>
      <c r="U129" s="53">
        <f>SUMIF('2024 AC'!$B$3:$B$250,"*"&amp;$D129&amp;"*",'2024 AC'!I$3:I$250)</f>
        <v>647.70000000000005</v>
      </c>
      <c r="V129" s="53">
        <f>SUMIF('2024 AC'!$B$3:$B$250,"*"&amp;$D129&amp;"*",'2024 AC'!J$3:J$250)</f>
        <v>627.60000000000002</v>
      </c>
      <c r="W129" s="53">
        <f>SUMIF('2024 AC'!$B$3:$B$250,"*"&amp;$D129&amp;"*",'2024 AC'!K$3:K$250)</f>
        <v>571.79999999999995</v>
      </c>
      <c r="X129" s="53">
        <f>SUMIF('2024 AC'!$B$3:$B$250,"*"&amp;$D129&amp;"*",'2024 AC'!L$3:L$250)</f>
        <v>573</v>
      </c>
      <c r="Y129" s="53">
        <f>SUMIF('2024 AC'!$B$3:$B$250,"*"&amp;$D129&amp;"*",'2024 AC'!M$3:M$250)</f>
        <v>548.79999999999995</v>
      </c>
      <c r="Z129" s="93">
        <f>SUMIF('2024 AC'!$B$3:$B$250,"*"&amp;$D129&amp;"*",'2024 AC'!N$3:N$250)</f>
        <v>559.20000000000005</v>
      </c>
      <c r="AA129" s="92">
        <f t="shared" si="83"/>
        <v>7408.5</v>
      </c>
      <c r="AB129" s="93">
        <f t="shared" si="84"/>
        <v>1897</v>
      </c>
      <c r="AC129" s="93">
        <f t="shared" si="85"/>
        <v>1983.3999999999999</v>
      </c>
      <c r="AD129" s="93">
        <f t="shared" si="86"/>
        <v>1847.1000000000001</v>
      </c>
      <c r="AE129" s="93">
        <f t="shared" si="87"/>
        <v>1681</v>
      </c>
      <c r="AF129" s="92">
        <f t="shared" si="88"/>
        <v>7408.5</v>
      </c>
      <c r="AH129" s="63">
        <f>SUMIF('2025 AC'!$B$3:$B$250,"*"&amp;$D129&amp;"*",'2025 AC'!C$3:C$250)</f>
        <v>570.79999999999995</v>
      </c>
      <c r="AI129" s="53">
        <f>SUMIF('2025 AC'!$B$3:$B$250,"*"&amp;$D129&amp;"*",'2025 AC'!D$3:D$250)</f>
        <v>579.79999999999995</v>
      </c>
      <c r="AJ129" s="53">
        <f>SUMIF('2025 AC'!$B$3:$B$250,"*"&amp;$D129&amp;"*",'2025 AC'!E$3:E$250)</f>
        <v>553</v>
      </c>
      <c r="AK129" s="53">
        <f>SUMIF('2025 AC'!$B$3:$B$250,"*"&amp;$D129&amp;"*",'2025 AC'!F$3:F$250)</f>
        <v>571.60000000000002</v>
      </c>
      <c r="AL129" s="53">
        <f>SUMIF('2025 AC'!$B$3:$B$250,"*"&amp;$D129&amp;"*",'2025 AC'!G$3:G$250)</f>
        <v>549.60000000000002</v>
      </c>
      <c r="AM129" s="53">
        <f>SUMIF('2025 AC'!$B$3:$B$250,"*"&amp;$D129&amp;"*",'2025 AC'!H$3:H$250)</f>
        <v>565.39999999999998</v>
      </c>
      <c r="AN129" s="53">
        <f>SUMIF('2025 AC'!$B$3:$B$250,"*"&amp;$D129&amp;"*",'2025 AC'!I$3:I$250)</f>
        <v>568</v>
      </c>
      <c r="AO129" s="53">
        <f>SUMIF('2025 AC'!$B$3:$B$250,"*"&amp;$D129&amp;"*",'2025 AC'!J$3:J$250)</f>
        <v>532.79999999999995</v>
      </c>
      <c r="AP129" s="53">
        <f>SUMIF('2025 AC'!$B$3:$B$250,"*"&amp;$D129&amp;"*",'2025 AC'!K$3:K$250)</f>
        <v>543.20000000000005</v>
      </c>
      <c r="AQ129" s="53">
        <f>SUMIF('2025 AC'!$B$3:$B$250,"*"&amp;$D129&amp;"*",'2025 AC'!L$3:L$250)</f>
        <v>566.29999999999995</v>
      </c>
      <c r="AR129" s="53">
        <f>SUMIF('2025 AC'!$B$3:$B$250,"*"&amp;$D129&amp;"*",'2025 AC'!M$3:M$250)</f>
        <v>548.39999999999998</v>
      </c>
      <c r="AS129" s="53">
        <f>SUMIF('2025 AC'!$B$3:$B$250,"*"&amp;$D129&amp;"*",'2025 AC'!N$3:N$250)</f>
        <v>561.60000000000002</v>
      </c>
      <c r="AT129" s="94">
        <f t="shared" si="138"/>
        <v>6710.5</v>
      </c>
      <c r="AU129" s="93">
        <f t="shared" si="90"/>
        <v>1703.5999999999999</v>
      </c>
      <c r="AV129" s="93">
        <f t="shared" si="91"/>
        <v>1686.5999999999999</v>
      </c>
      <c r="AW129" s="93">
        <f t="shared" si="92"/>
        <v>1644</v>
      </c>
      <c r="AX129" s="93">
        <f t="shared" si="93"/>
        <v>1676.2999999999997</v>
      </c>
      <c r="AY129" s="92">
        <f t="shared" si="94"/>
        <v>6710.5</v>
      </c>
      <c r="BA129" s="63">
        <f>SUMIF('2026 AC'!$B$3:$B$254,"*"&amp;$D129&amp;"*",'2026 AC'!C$3:C$254)</f>
        <v>565.39999999999998</v>
      </c>
      <c r="BB129" s="53">
        <f>SUMIF('2026 AC'!$B$3:$B$254,"*"&amp;$D129&amp;"*",'2026 AC'!D$3:D$254)</f>
        <v>581.39999999999998</v>
      </c>
      <c r="BC129" s="53">
        <f>SUMIF('2026 AC'!$B$3:$B$254,"*"&amp;$D129&amp;"*",'2026 AC'!E$3:E$254)</f>
        <v>577</v>
      </c>
      <c r="BD129" s="53">
        <f>SUMIF('2026 AC'!$B$3:$B$254,"*"&amp;$D129&amp;"*",'2026 AC'!F$3:F$254)</f>
        <v>566.79999999999995</v>
      </c>
      <c r="BE129" s="53">
        <f>SUMIF('2026 AC'!$B$3:$B$254,"*"&amp;$D129&amp;"*",'2026 AC'!G$3:G$254)</f>
        <v>550.60000000000002</v>
      </c>
      <c r="BF129" s="53">
        <f>SUMIF('2026 AC'!$B$3:$B$254,"*"&amp;$D129&amp;"*",'2026 AC'!H$3:H$254)</f>
        <v>554</v>
      </c>
      <c r="BG129" s="53">
        <f>SUMIF('2026 AC'!$B$3:$B$254,"*"&amp;$D129&amp;"*",'2026 AC'!I$3:I$254)</f>
        <v>0</v>
      </c>
      <c r="BH129" s="53">
        <f>SUMIF('2026 AC'!$B$3:$B$254,"*"&amp;$D129&amp;"*",'2026 AC'!J$3:J$254)</f>
        <v>0</v>
      </c>
      <c r="BI129" s="53">
        <f>SUMIF('2026 AC'!$B$3:$B$254,"*"&amp;$D129&amp;"*",'2026 AC'!K$3:K$254)</f>
        <v>0</v>
      </c>
      <c r="BJ129" s="53">
        <f>SUMIF('2026 AC'!$B$3:$B$254,"*"&amp;$D129&amp;"*",'2026 AC'!L$3:L$254)</f>
        <v>0</v>
      </c>
      <c r="BK129" s="53">
        <f>SUMIF('2026 AC'!$B$3:$B$254,"*"&amp;$D129&amp;"*",'2026 AC'!M$3:M$254)</f>
        <v>0</v>
      </c>
      <c r="BL129" s="93">
        <f>SUMIF('2026 AC'!$B$3:$B$254,"*"&amp;$D129&amp;"*",'2026 AC'!N$3:N$254)</f>
        <v>0</v>
      </c>
      <c r="BM129" s="92">
        <f t="shared" si="139"/>
        <v>3395.1999999999998</v>
      </c>
      <c r="BN129" s="93">
        <f t="shared" si="96"/>
        <v>1723.8</v>
      </c>
      <c r="BO129" s="93">
        <f t="shared" si="97"/>
        <v>1671.4000000000001</v>
      </c>
      <c r="BP129" s="93">
        <f t="shared" si="98"/>
        <v>0</v>
      </c>
      <c r="BQ129" s="93">
        <f t="shared" si="99"/>
        <v>0</v>
      </c>
      <c r="BR129" s="92">
        <f t="shared" si="100"/>
        <v>3395.1999999999998</v>
      </c>
    </row>
    <row r="130" ht="15" customHeight="1" outlineLevel="1">
      <c r="A130" t="s">
        <v>282</v>
      </c>
      <c r="B130" t="s">
        <v>283</v>
      </c>
      <c r="C130" s="34" t="s">
        <v>284</v>
      </c>
      <c r="D130" s="35" t="s">
        <v>283</v>
      </c>
      <c r="E130" s="151">
        <f t="shared" si="117"/>
        <v>1659.95</v>
      </c>
      <c r="F130" s="152">
        <f t="shared" si="118"/>
        <v>1241</v>
      </c>
      <c r="G130" s="54">
        <f t="shared" si="146"/>
        <v>0.337590652699436</v>
      </c>
      <c r="H130" s="153">
        <f t="shared" si="119"/>
        <v>6244.8499999999995</v>
      </c>
      <c r="I130" s="153">
        <f t="shared" si="120"/>
        <v>3747.75</v>
      </c>
      <c r="J130" s="54">
        <f t="shared" si="147"/>
        <v>0.66629310919885254</v>
      </c>
      <c r="K130" s="153">
        <f t="shared" si="122"/>
        <v>18773.100000000002</v>
      </c>
      <c r="L130" s="153">
        <f t="shared" si="123"/>
        <v>13345.940000000001</v>
      </c>
      <c r="M130" s="55">
        <f t="shared" si="148"/>
        <v>0.40665251005174619</v>
      </c>
      <c r="O130" s="63">
        <f>SUMIF('2024 AC'!$B$3:$B$250,"*"&amp;$D130&amp;"*",'2024 AC'!C$3:C$250)</f>
        <v>5155.8000000000002</v>
      </c>
      <c r="P130" s="53">
        <f>SUMIF('2024 AC'!$B$3:$B$250,"*"&amp;$D130&amp;"*",'2024 AC'!D$3:D$250)</f>
        <v>1444.8499999999999</v>
      </c>
      <c r="Q130" s="53">
        <f>SUMIF('2024 AC'!$B$3:$B$250,"*"&amp;$D130&amp;"*",'2024 AC'!E$3:E$250)</f>
        <v>1873.2</v>
      </c>
      <c r="R130" s="53">
        <f>SUMIF('2024 AC'!$B$3:$B$250,"*"&amp;$D130&amp;"*",'2024 AC'!F$3:F$250)</f>
        <v>1840.2</v>
      </c>
      <c r="S130" s="53">
        <f>SUMIF('2024 AC'!$B$3:$B$250,"*"&amp;$D130&amp;"*",'2024 AC'!G$3:G$250)</f>
        <v>2128.8499999999999</v>
      </c>
      <c r="T130" s="53">
        <f>SUMIF('2024 AC'!$B$3:$B$250,"*"&amp;$D130&amp;"*",'2024 AC'!H$3:H$250)</f>
        <v>1438.0999999999999</v>
      </c>
      <c r="U130" s="53">
        <f>SUMIF('2024 AC'!$B$3:$B$250,"*"&amp;$D130&amp;"*",'2024 AC'!I$3:I$250)</f>
        <v>1230.6500000000001</v>
      </c>
      <c r="V130" s="53">
        <f>SUMIF('2024 AC'!$B$3:$B$250,"*"&amp;$D130&amp;"*",'2024 AC'!J$3:J$250)</f>
        <v>1281.9000000000001</v>
      </c>
      <c r="W130" s="53">
        <f>SUMIF('2024 AC'!$B$3:$B$250,"*"&amp;$D130&amp;"*",'2024 AC'!K$3:K$250)</f>
        <v>1510.8499999999999</v>
      </c>
      <c r="X130" s="53">
        <f>SUMIF('2024 AC'!$B$3:$B$250,"*"&amp;$D130&amp;"*",'2024 AC'!L$3:L$250)</f>
        <v>1410.74</v>
      </c>
      <c r="Y130" s="53">
        <f>SUMIF('2024 AC'!$B$3:$B$250,"*"&amp;$D130&amp;"*",'2024 AC'!M$3:M$250)</f>
        <v>1181.3499999999999</v>
      </c>
      <c r="Z130" s="93">
        <f>SUMIF('2024 AC'!$B$3:$B$250,"*"&amp;$D130&amp;"*",'2024 AC'!N$3:N$250)</f>
        <v>1249.55</v>
      </c>
      <c r="AA130" s="92">
        <f t="shared" si="83"/>
        <v>21746.040000000001</v>
      </c>
      <c r="AB130" s="93">
        <f t="shared" si="84"/>
        <v>8473.8500000000004</v>
      </c>
      <c r="AC130" s="93">
        <f t="shared" si="85"/>
        <v>5407.1499999999996</v>
      </c>
      <c r="AD130" s="93">
        <f t="shared" si="86"/>
        <v>4023.4000000000001</v>
      </c>
      <c r="AE130" s="93">
        <f t="shared" si="87"/>
        <v>3841.6400000000003</v>
      </c>
      <c r="AF130" s="92">
        <f t="shared" si="88"/>
        <v>21746.040000000001</v>
      </c>
      <c r="AH130" s="63">
        <f>SUMIF('2025 AC'!$B$3:$B$250,"*"&amp;$D130&amp;"*",'2025 AC'!C$3:C$250)</f>
        <v>7237.1899999999996</v>
      </c>
      <c r="AI130" s="53">
        <f>SUMIF('2025 AC'!$B$3:$B$250,"*"&amp;$D130&amp;"*",'2025 AC'!D$3:D$250)</f>
        <v>1258.4000000000001</v>
      </c>
      <c r="AJ130" s="53">
        <f>SUMIF('2025 AC'!$B$3:$B$250,"*"&amp;$D130&amp;"*",'2025 AC'!E$3:E$250)</f>
        <v>1102.5999999999999</v>
      </c>
      <c r="AK130" s="53">
        <f>SUMIF('2025 AC'!$B$3:$B$250,"*"&amp;$D130&amp;"*",'2025 AC'!F$3:F$250)</f>
        <v>1509.7</v>
      </c>
      <c r="AL130" s="53">
        <f>SUMIF('2025 AC'!$B$3:$B$250,"*"&amp;$D130&amp;"*",'2025 AC'!G$3:G$250)</f>
        <v>997.04999999999995</v>
      </c>
      <c r="AM130" s="53">
        <f>SUMIF('2025 AC'!$B$3:$B$250,"*"&amp;$D130&amp;"*",'2025 AC'!H$3:H$250)</f>
        <v>1241</v>
      </c>
      <c r="AN130" s="53">
        <f>SUMIF('2025 AC'!$B$3:$B$250,"*"&amp;$D130&amp;"*",'2025 AC'!I$3:I$250)</f>
        <v>1104.25</v>
      </c>
      <c r="AO130" s="53">
        <f>SUMIF('2025 AC'!$B$3:$B$250,"*"&amp;$D130&amp;"*",'2025 AC'!J$3:J$250)</f>
        <v>1011.7</v>
      </c>
      <c r="AP130" s="53">
        <f>SUMIF('2025 AC'!$B$3:$B$250,"*"&amp;$D130&amp;"*",'2025 AC'!K$3:K$250)</f>
        <v>1058.25</v>
      </c>
      <c r="AQ130" s="53">
        <f>SUMIF('2025 AC'!$B$3:$B$250,"*"&amp;$D130&amp;"*",'2025 AC'!L$3:L$250)</f>
        <v>1134.3</v>
      </c>
      <c r="AR130" s="53">
        <f>SUMIF('2025 AC'!$B$3:$B$250,"*"&amp;$D130&amp;"*",'2025 AC'!M$3:M$250)</f>
        <v>2164.1500000000001</v>
      </c>
      <c r="AS130" s="53">
        <f>SUMIF('2025 AC'!$B$3:$B$250,"*"&amp;$D130&amp;"*",'2025 AC'!N$3:N$250)</f>
        <v>2659.5500000000002</v>
      </c>
      <c r="AT130" s="94">
        <f t="shared" si="138"/>
        <v>22478.139999999999</v>
      </c>
      <c r="AU130" s="93">
        <f t="shared" si="90"/>
        <v>9598.1900000000005</v>
      </c>
      <c r="AV130" s="93">
        <f t="shared" si="91"/>
        <v>3747.75</v>
      </c>
      <c r="AW130" s="93">
        <f t="shared" si="92"/>
        <v>3174.1999999999998</v>
      </c>
      <c r="AX130" s="93">
        <f t="shared" si="93"/>
        <v>5958</v>
      </c>
      <c r="AY130" s="92">
        <f t="shared" si="94"/>
        <v>22478.139999999999</v>
      </c>
      <c r="BA130" s="63">
        <f>SUMIF('2026 AC'!$B$3:$B$254,"*"&amp;$D130&amp;"*",'2026 AC'!C$3:C$254)</f>
        <v>5922.6499999999996</v>
      </c>
      <c r="BB130" s="53">
        <f>SUMIF('2026 AC'!$B$3:$B$254,"*"&amp;$D130&amp;"*",'2026 AC'!D$3:D$254)</f>
        <v>4690.3000000000002</v>
      </c>
      <c r="BC130" s="53">
        <f>SUMIF('2026 AC'!$B$3:$B$254,"*"&amp;$D130&amp;"*",'2026 AC'!E$3:E$254)</f>
        <v>1915.3</v>
      </c>
      <c r="BD130" s="53">
        <f>SUMIF('2026 AC'!$B$3:$B$254,"*"&amp;$D130&amp;"*",'2026 AC'!F$3:F$254)</f>
        <v>2942.9000000000001</v>
      </c>
      <c r="BE130" s="53">
        <f>SUMIF('2026 AC'!$B$3:$B$254,"*"&amp;$D130&amp;"*",'2026 AC'!G$3:G$254)</f>
        <v>1642</v>
      </c>
      <c r="BF130" s="53">
        <f>SUMIF('2026 AC'!$B$3:$B$254,"*"&amp;$D130&amp;"*",'2026 AC'!H$3:H$254)</f>
        <v>1659.95</v>
      </c>
      <c r="BG130" s="53">
        <f>SUMIF('2026 AC'!$B$3:$B$254,"*"&amp;$D130&amp;"*",'2026 AC'!I$3:I$254)</f>
        <v>0</v>
      </c>
      <c r="BH130" s="53">
        <f>SUMIF('2026 AC'!$B$3:$B$254,"*"&amp;$D130&amp;"*",'2026 AC'!J$3:J$254)</f>
        <v>0</v>
      </c>
      <c r="BI130" s="53">
        <f>SUMIF('2026 AC'!$B$3:$B$254,"*"&amp;$D130&amp;"*",'2026 AC'!K$3:K$254)</f>
        <v>0</v>
      </c>
      <c r="BJ130" s="53">
        <f>SUMIF('2026 AC'!$B$3:$B$254,"*"&amp;$D130&amp;"*",'2026 AC'!L$3:L$254)</f>
        <v>0</v>
      </c>
      <c r="BK130" s="53">
        <f>SUMIF('2026 AC'!$B$3:$B$254,"*"&amp;$D130&amp;"*",'2026 AC'!M$3:M$254)</f>
        <v>0</v>
      </c>
      <c r="BL130" s="93">
        <f>SUMIF('2026 AC'!$B$3:$B$254,"*"&amp;$D130&amp;"*",'2026 AC'!N$3:N$254)</f>
        <v>0</v>
      </c>
      <c r="BM130" s="92">
        <f t="shared" si="139"/>
        <v>18773.100000000002</v>
      </c>
      <c r="BN130" s="93">
        <f t="shared" si="96"/>
        <v>12528.25</v>
      </c>
      <c r="BO130" s="93">
        <f t="shared" si="97"/>
        <v>6244.8499999999995</v>
      </c>
      <c r="BP130" s="93">
        <f t="shared" si="98"/>
        <v>0</v>
      </c>
      <c r="BQ130" s="93">
        <f t="shared" si="99"/>
        <v>0</v>
      </c>
      <c r="BR130" s="92">
        <f t="shared" si="100"/>
        <v>18773.099999999999</v>
      </c>
    </row>
    <row r="131" ht="15" customHeight="1" outlineLevel="1">
      <c r="A131" t="s">
        <v>285</v>
      </c>
      <c r="B131" t="s">
        <v>286</v>
      </c>
      <c r="C131" s="34" t="s">
        <v>287</v>
      </c>
      <c r="D131" s="35" t="s">
        <v>286</v>
      </c>
      <c r="E131" s="151">
        <f t="shared" si="117"/>
        <v>1432.53</v>
      </c>
      <c r="F131" s="152">
        <f t="shared" si="118"/>
        <v>1383.8399999999999</v>
      </c>
      <c r="G131" s="54">
        <f t="shared" si="146"/>
        <v>3.5184703433923041e-02</v>
      </c>
      <c r="H131" s="153">
        <f t="shared" si="119"/>
        <v>4275.96</v>
      </c>
      <c r="I131" s="153">
        <f t="shared" si="120"/>
        <v>4189.54</v>
      </c>
      <c r="J131" s="54">
        <f t="shared" si="147"/>
        <v>2.0627562930536546e-02</v>
      </c>
      <c r="K131" s="153">
        <f t="shared" si="122"/>
        <v>8640.2299999999996</v>
      </c>
      <c r="L131" s="153">
        <f t="shared" si="123"/>
        <v>8453.8299999999999</v>
      </c>
      <c r="M131" s="55">
        <f t="shared" si="148"/>
        <v>2.2049177709984661e-02</v>
      </c>
      <c r="O131" s="63">
        <f>SUMIF('2024 AC'!$B$3:$B$250,"*"&amp;$D131&amp;"*",'2024 AC'!C$3:C$250)</f>
        <v>1550.6900000000001</v>
      </c>
      <c r="P131" s="53">
        <f>SUMIF('2024 AC'!$B$3:$B$250,"*"&amp;$D131&amp;"*",'2024 AC'!D$3:D$250)</f>
        <v>1599</v>
      </c>
      <c r="Q131" s="53">
        <f>SUMIF('2024 AC'!$B$3:$B$250,"*"&amp;$D131&amp;"*",'2024 AC'!E$3:E$250)</f>
        <v>1715.3199999999999</v>
      </c>
      <c r="R131" s="53">
        <f>SUMIF('2024 AC'!$B$3:$B$250,"*"&amp;$D131&amp;"*",'2024 AC'!F$3:F$250)</f>
        <v>2870.2399999999998</v>
      </c>
      <c r="S131" s="53">
        <f>SUMIF('2024 AC'!$B$3:$B$250,"*"&amp;$D131&amp;"*",'2024 AC'!G$3:G$250)</f>
        <v>1645.53</v>
      </c>
      <c r="T131" s="53">
        <f>SUMIF('2024 AC'!$B$3:$B$250,"*"&amp;$D131&amp;"*",'2024 AC'!H$3:H$250)</f>
        <v>1649.5</v>
      </c>
      <c r="U131" s="53">
        <f>SUMIF('2024 AC'!$B$3:$B$250,"*"&amp;$D131&amp;"*",'2024 AC'!I$3:I$250)</f>
        <v>1643.1800000000001</v>
      </c>
      <c r="V131" s="53">
        <f>SUMIF('2024 AC'!$B$3:$B$250,"*"&amp;$D131&amp;"*",'2024 AC'!J$3:J$250)</f>
        <v>1622.6900000000001</v>
      </c>
      <c r="W131" s="53">
        <f>SUMIF('2024 AC'!$B$3:$B$250,"*"&amp;$D131&amp;"*",'2024 AC'!K$3:K$250)</f>
        <v>1434.3499999999999</v>
      </c>
      <c r="X131" s="53">
        <f>SUMIF('2024 AC'!$B$3:$B$250,"*"&amp;$D131&amp;"*",'2024 AC'!L$3:L$250)</f>
        <v>1413.5899999999999</v>
      </c>
      <c r="Y131" s="53">
        <f>SUMIF('2024 AC'!$B$3:$B$250,"*"&amp;$D131&amp;"*",'2024 AC'!M$3:M$250)</f>
        <v>1394</v>
      </c>
      <c r="Z131" s="93">
        <f>SUMIF('2024 AC'!$B$3:$B$250,"*"&amp;$D131&amp;"*",'2024 AC'!N$3:N$250)</f>
        <v>1395.5899999999999</v>
      </c>
      <c r="AA131" s="92">
        <f t="shared" si="83"/>
        <v>19933.68</v>
      </c>
      <c r="AB131" s="93">
        <f t="shared" si="84"/>
        <v>4865.0100000000002</v>
      </c>
      <c r="AC131" s="93">
        <f t="shared" si="85"/>
        <v>6165.2699999999995</v>
      </c>
      <c r="AD131" s="93">
        <f t="shared" si="86"/>
        <v>4700.2199999999993</v>
      </c>
      <c r="AE131" s="93">
        <f t="shared" si="87"/>
        <v>4203.1800000000003</v>
      </c>
      <c r="AF131" s="92">
        <f t="shared" si="88"/>
        <v>19933.68</v>
      </c>
      <c r="AH131" s="63">
        <f>SUMIF('2025 AC'!$B$3:$B$250,"*"&amp;$D131&amp;"*",'2025 AC'!C$3:C$250)</f>
        <v>1432.4300000000001</v>
      </c>
      <c r="AI131" s="53">
        <f>SUMIF('2025 AC'!$B$3:$B$250,"*"&amp;$D131&amp;"*",'2025 AC'!D$3:D$250)</f>
        <v>1450.6199999999999</v>
      </c>
      <c r="AJ131" s="53">
        <f>SUMIF('2025 AC'!$B$3:$B$250,"*"&amp;$D131&amp;"*",'2025 AC'!E$3:E$250)</f>
        <v>1381.24</v>
      </c>
      <c r="AK131" s="53">
        <f>SUMIF('2025 AC'!$B$3:$B$250,"*"&amp;$D131&amp;"*",'2025 AC'!F$3:F$250)</f>
        <v>1396.9300000000001</v>
      </c>
      <c r="AL131" s="53">
        <f>SUMIF('2025 AC'!$B$3:$B$250,"*"&amp;$D131&amp;"*",'2025 AC'!G$3:G$250)</f>
        <v>1408.77</v>
      </c>
      <c r="AM131" s="53">
        <f>SUMIF('2025 AC'!$B$3:$B$250,"*"&amp;$D131&amp;"*",'2025 AC'!H$3:H$250)</f>
        <v>1383.8399999999999</v>
      </c>
      <c r="AN131" s="53">
        <f>SUMIF('2025 AC'!$B$3:$B$250,"*"&amp;$D131&amp;"*",'2025 AC'!I$3:I$250)</f>
        <v>1423.3800000000001</v>
      </c>
      <c r="AO131" s="53">
        <f>SUMIF('2025 AC'!$B$3:$B$250,"*"&amp;$D131&amp;"*",'2025 AC'!J$3:J$250)</f>
        <v>1387.78</v>
      </c>
      <c r="AP131" s="53">
        <f>SUMIF('2025 AC'!$B$3:$B$250,"*"&amp;$D131&amp;"*",'2025 AC'!K$3:K$250)</f>
        <v>1394.51</v>
      </c>
      <c r="AQ131" s="53">
        <f>SUMIF('2025 AC'!$B$3:$B$250,"*"&amp;$D131&amp;"*",'2025 AC'!L$3:L$250)</f>
        <v>1393.8399999999999</v>
      </c>
      <c r="AR131" s="53">
        <f>SUMIF('2025 AC'!$B$3:$B$250,"*"&amp;$D131&amp;"*",'2025 AC'!M$3:M$250)</f>
        <v>1409.5999999999999</v>
      </c>
      <c r="AS131" s="53">
        <f>SUMIF('2025 AC'!$B$3:$B$250,"*"&amp;$D131&amp;"*",'2025 AC'!N$3:N$250)</f>
        <v>1393.5699999999999</v>
      </c>
      <c r="AT131" s="94">
        <f t="shared" si="138"/>
        <v>16856.510000000002</v>
      </c>
      <c r="AU131" s="93">
        <f t="shared" si="90"/>
        <v>4264.29</v>
      </c>
      <c r="AV131" s="93">
        <f t="shared" si="91"/>
        <v>4189.54</v>
      </c>
      <c r="AW131" s="93">
        <f t="shared" si="92"/>
        <v>4205.6700000000001</v>
      </c>
      <c r="AX131" s="93">
        <f t="shared" si="93"/>
        <v>4197.0099999999993</v>
      </c>
      <c r="AY131" s="92">
        <f t="shared" si="94"/>
        <v>16856.509999999998</v>
      </c>
      <c r="BA131" s="63">
        <f>SUMIF('2026 AC'!$B$3:$B$254,"*"&amp;$D131&amp;"*",'2026 AC'!C$3:C$254)</f>
        <v>1451.96</v>
      </c>
      <c r="BB131" s="53">
        <f>SUMIF('2026 AC'!$B$3:$B$254,"*"&amp;$D131&amp;"*",'2026 AC'!D$3:D$254)</f>
        <v>1453.0899999999999</v>
      </c>
      <c r="BC131" s="53">
        <f>SUMIF('2026 AC'!$B$3:$B$254,"*"&amp;$D131&amp;"*",'2026 AC'!E$3:E$254)</f>
        <v>1459.22</v>
      </c>
      <c r="BD131" s="53">
        <f>SUMIF('2026 AC'!$B$3:$B$254,"*"&amp;$D131&amp;"*",'2026 AC'!F$3:F$254)</f>
        <v>1398.5699999999999</v>
      </c>
      <c r="BE131" s="53">
        <f>SUMIF('2026 AC'!$B$3:$B$254,"*"&amp;$D131&amp;"*",'2026 AC'!G$3:G$254)</f>
        <v>1444.8599999999999</v>
      </c>
      <c r="BF131" s="53">
        <f>SUMIF('2026 AC'!$B$3:$B$254,"*"&amp;$D131&amp;"*",'2026 AC'!H$3:H$254)</f>
        <v>1432.53</v>
      </c>
      <c r="BG131" s="53">
        <f>SUMIF('2026 AC'!$B$3:$B$254,"*"&amp;$D131&amp;"*",'2026 AC'!I$3:I$254)</f>
        <v>0</v>
      </c>
      <c r="BH131" s="53">
        <f>SUMIF('2026 AC'!$B$3:$B$254,"*"&amp;$D131&amp;"*",'2026 AC'!J$3:J$254)</f>
        <v>0</v>
      </c>
      <c r="BI131" s="53">
        <f>SUMIF('2026 AC'!$B$3:$B$254,"*"&amp;$D131&amp;"*",'2026 AC'!K$3:K$254)</f>
        <v>0</v>
      </c>
      <c r="BJ131" s="53">
        <f>SUMIF('2026 AC'!$B$3:$B$254,"*"&amp;$D131&amp;"*",'2026 AC'!L$3:L$254)</f>
        <v>0</v>
      </c>
      <c r="BK131" s="53">
        <f>SUMIF('2026 AC'!$B$3:$B$254,"*"&amp;$D131&amp;"*",'2026 AC'!M$3:M$254)</f>
        <v>0</v>
      </c>
      <c r="BL131" s="93">
        <f>SUMIF('2026 AC'!$B$3:$B$254,"*"&amp;$D131&amp;"*",'2026 AC'!N$3:N$254)</f>
        <v>0</v>
      </c>
      <c r="BM131" s="92">
        <f t="shared" si="139"/>
        <v>8640.2299999999996</v>
      </c>
      <c r="BN131" s="93">
        <f t="shared" si="96"/>
        <v>4364.2700000000004</v>
      </c>
      <c r="BO131" s="93">
        <f t="shared" si="97"/>
        <v>4275.96</v>
      </c>
      <c r="BP131" s="93">
        <f t="shared" si="98"/>
        <v>0</v>
      </c>
      <c r="BQ131" s="93">
        <f t="shared" si="99"/>
        <v>0</v>
      </c>
      <c r="BR131" s="92">
        <f t="shared" si="100"/>
        <v>8640.2299999999996</v>
      </c>
    </row>
    <row r="132" ht="15" customHeight="1" outlineLevel="1">
      <c r="A132" t="s">
        <v>288</v>
      </c>
      <c r="B132" t="s">
        <v>289</v>
      </c>
      <c r="C132" s="34" t="s">
        <v>290</v>
      </c>
      <c r="D132" s="35" t="s">
        <v>289</v>
      </c>
      <c r="E132" s="153">
        <f t="shared" si="117"/>
        <v>0</v>
      </c>
      <c r="F132" s="153">
        <f t="shared" si="118"/>
        <v>0</v>
      </c>
      <c r="G132" s="154">
        <f>IFERROR((E132-F132)/F132,0)</f>
        <v>0</v>
      </c>
      <c r="H132" s="153">
        <f t="shared" si="119"/>
        <v>0</v>
      </c>
      <c r="I132" s="153">
        <f t="shared" si="120"/>
        <v>0</v>
      </c>
      <c r="J132" s="154">
        <f>IFERROR((H132-I132)/I132,0)</f>
        <v>0</v>
      </c>
      <c r="K132" s="153">
        <f t="shared" si="122"/>
        <v>0</v>
      </c>
      <c r="L132" s="153">
        <f t="shared" si="123"/>
        <v>0</v>
      </c>
      <c r="M132" s="155">
        <f>IFERROR((K132-L132)/L132,0)</f>
        <v>0</v>
      </c>
      <c r="O132" s="63">
        <f>SUMIF('2024 AC'!$B$3:$B$250,"*"&amp;$D132&amp;"*",'2024 AC'!C$3:C$250)</f>
        <v>0</v>
      </c>
      <c r="P132" s="53">
        <f>SUMIF('2024 AC'!$B$3:$B$250,"*"&amp;$D132&amp;"*",'2024 AC'!D$3:D$250)</f>
        <v>0</v>
      </c>
      <c r="Q132" s="53">
        <f>SUMIF('2024 AC'!$B$3:$B$250,"*"&amp;$D132&amp;"*",'2024 AC'!E$3:E$250)</f>
        <v>0</v>
      </c>
      <c r="R132" s="53">
        <f>SUMIF('2024 AC'!$B$3:$B$250,"*"&amp;$D132&amp;"*",'2024 AC'!F$3:F$250)</f>
        <v>0</v>
      </c>
      <c r="S132" s="53">
        <f>SUMIF('2024 AC'!$B$3:$B$250,"*"&amp;$D132&amp;"*",'2024 AC'!G$3:G$250)</f>
        <v>0</v>
      </c>
      <c r="T132" s="53">
        <f>SUMIF('2024 AC'!$B$3:$B$250,"*"&amp;$D132&amp;"*",'2024 AC'!H$3:H$250)</f>
        <v>0</v>
      </c>
      <c r="U132" s="53">
        <f>SUMIF('2024 AC'!$B$3:$B$250,"*"&amp;$D132&amp;"*",'2024 AC'!I$3:I$250)</f>
        <v>0</v>
      </c>
      <c r="V132" s="53">
        <f>SUMIF('2024 AC'!$B$3:$B$250,"*"&amp;$D132&amp;"*",'2024 AC'!J$3:J$250)</f>
        <v>0</v>
      </c>
      <c r="W132" s="53">
        <f>SUMIF('2024 AC'!$B$3:$B$250,"*"&amp;$D132&amp;"*",'2024 AC'!K$3:K$250)</f>
        <v>0</v>
      </c>
      <c r="X132" s="53">
        <f>SUMIF('2024 AC'!$B$3:$B$250,"*"&amp;$D132&amp;"*",'2024 AC'!L$3:L$250)</f>
        <v>0</v>
      </c>
      <c r="Y132" s="53">
        <f>SUMIF('2024 AC'!$B$3:$B$250,"*"&amp;$D132&amp;"*",'2024 AC'!M$3:M$250)</f>
        <v>0</v>
      </c>
      <c r="Z132" s="93">
        <f>SUMIF('2024 AC'!$B$3:$B$250,"*"&amp;$D132&amp;"*",'2024 AC'!N$3:N$250)</f>
        <v>0</v>
      </c>
      <c r="AA132" s="92">
        <f t="shared" si="83"/>
        <v>0</v>
      </c>
      <c r="AB132" s="93">
        <f t="shared" si="84"/>
        <v>0</v>
      </c>
      <c r="AC132" s="93">
        <f t="shared" si="85"/>
        <v>0</v>
      </c>
      <c r="AD132" s="93">
        <f t="shared" si="86"/>
        <v>0</v>
      </c>
      <c r="AE132" s="93">
        <f t="shared" si="87"/>
        <v>0</v>
      </c>
      <c r="AF132" s="92">
        <f t="shared" si="88"/>
        <v>0</v>
      </c>
      <c r="AH132" s="63">
        <f>SUMIF('2025 AC'!$B$3:$B$250,"*"&amp;$D132&amp;"*",'2025 AC'!C$3:C$250)</f>
        <v>0</v>
      </c>
      <c r="AI132" s="53">
        <f>SUMIF('2025 AC'!$B$3:$B$250,"*"&amp;$D132&amp;"*",'2025 AC'!D$3:D$250)</f>
        <v>0</v>
      </c>
      <c r="AJ132" s="53">
        <f>SUMIF('2025 AC'!$B$3:$B$250,"*"&amp;$D132&amp;"*",'2025 AC'!E$3:E$250)</f>
        <v>0</v>
      </c>
      <c r="AK132" s="53">
        <f>SUMIF('2025 AC'!$B$3:$B$250,"*"&amp;$D132&amp;"*",'2025 AC'!F$3:F$250)</f>
        <v>0</v>
      </c>
      <c r="AL132" s="53">
        <f>SUMIF('2025 AC'!$B$3:$B$250,"*"&amp;$D132&amp;"*",'2025 AC'!G$3:G$250)</f>
        <v>0</v>
      </c>
      <c r="AM132" s="53">
        <f>SUMIF('2025 AC'!$B$3:$B$250,"*"&amp;$D132&amp;"*",'2025 AC'!H$3:H$250)</f>
        <v>0</v>
      </c>
      <c r="AN132" s="53">
        <f>SUMIF('2025 AC'!$B$3:$B$250,"*"&amp;$D132&amp;"*",'2025 AC'!I$3:I$250)</f>
        <v>0</v>
      </c>
      <c r="AO132" s="53">
        <f>SUMIF('2025 AC'!$B$3:$B$250,"*"&amp;$D132&amp;"*",'2025 AC'!J$3:J$250)</f>
        <v>0</v>
      </c>
      <c r="AP132" s="53">
        <f>SUMIF('2025 AC'!$B$3:$B$250,"*"&amp;$D132&amp;"*",'2025 AC'!K$3:K$250)</f>
        <v>0</v>
      </c>
      <c r="AQ132" s="53">
        <f>SUMIF('2025 AC'!$B$3:$B$250,"*"&amp;$D132&amp;"*",'2025 AC'!L$3:L$250)</f>
        <v>0</v>
      </c>
      <c r="AR132" s="53">
        <f>SUMIF('2025 AC'!$B$3:$B$250,"*"&amp;$D132&amp;"*",'2025 AC'!M$3:M$250)</f>
        <v>0</v>
      </c>
      <c r="AS132" s="53">
        <f>SUMIF('2025 AC'!$B$3:$B$250,"*"&amp;$D132&amp;"*",'2025 AC'!N$3:N$250)</f>
        <v>0</v>
      </c>
      <c r="AT132" s="94">
        <f t="shared" si="138"/>
        <v>0</v>
      </c>
      <c r="AU132" s="93">
        <f t="shared" si="90"/>
        <v>0</v>
      </c>
      <c r="AV132" s="93">
        <f t="shared" si="91"/>
        <v>0</v>
      </c>
      <c r="AW132" s="93">
        <f t="shared" si="92"/>
        <v>0</v>
      </c>
      <c r="AX132" s="93">
        <f t="shared" si="93"/>
        <v>0</v>
      </c>
      <c r="AY132" s="92">
        <f t="shared" si="94"/>
        <v>0</v>
      </c>
      <c r="BA132" s="63">
        <f>SUMIF('2026 AC'!$B$3:$B$254,"*"&amp;$D132&amp;"*",'2026 AC'!C$3:C$254)</f>
        <v>0</v>
      </c>
      <c r="BB132" s="53">
        <f>SUMIF('2026 AC'!$B$3:$B$254,"*"&amp;$D132&amp;"*",'2026 AC'!D$3:D$254)</f>
        <v>0</v>
      </c>
      <c r="BC132" s="53">
        <f>SUMIF('2026 AC'!$B$3:$B$254,"*"&amp;$D132&amp;"*",'2026 AC'!E$3:E$254)</f>
        <v>0</v>
      </c>
      <c r="BD132" s="53">
        <f>SUMIF('2026 AC'!$B$3:$B$254,"*"&amp;$D132&amp;"*",'2026 AC'!F$3:F$254)</f>
        <v>0</v>
      </c>
      <c r="BE132" s="53">
        <f>SUMIF('2026 AC'!$B$3:$B$254,"*"&amp;$D132&amp;"*",'2026 AC'!G$3:G$254)</f>
        <v>0</v>
      </c>
      <c r="BF132" s="53">
        <f>SUMIF('2026 AC'!$B$3:$B$254,"*"&amp;$D132&amp;"*",'2026 AC'!H$3:H$254)</f>
        <v>0</v>
      </c>
      <c r="BG132" s="53">
        <f>SUMIF('2026 AC'!$B$3:$B$254,"*"&amp;$D132&amp;"*",'2026 AC'!I$3:I$254)</f>
        <v>0</v>
      </c>
      <c r="BH132" s="53">
        <f>SUMIF('2026 AC'!$B$3:$B$254,"*"&amp;$D132&amp;"*",'2026 AC'!J$3:J$254)</f>
        <v>0</v>
      </c>
      <c r="BI132" s="53">
        <f>SUMIF('2026 AC'!$B$3:$B$254,"*"&amp;$D132&amp;"*",'2026 AC'!K$3:K$254)</f>
        <v>0</v>
      </c>
      <c r="BJ132" s="53">
        <f>SUMIF('2026 AC'!$B$3:$B$254,"*"&amp;$D132&amp;"*",'2026 AC'!L$3:L$254)</f>
        <v>0</v>
      </c>
      <c r="BK132" s="53">
        <f>SUMIF('2026 AC'!$B$3:$B$254,"*"&amp;$D132&amp;"*",'2026 AC'!M$3:M$254)</f>
        <v>0</v>
      </c>
      <c r="BL132" s="93">
        <f>SUMIF('2026 AC'!$B$3:$B$254,"*"&amp;$D132&amp;"*",'2026 AC'!N$3:N$254)</f>
        <v>0</v>
      </c>
      <c r="BM132" s="92">
        <f t="shared" si="139"/>
        <v>0</v>
      </c>
      <c r="BN132" s="93">
        <f t="shared" si="96"/>
        <v>0</v>
      </c>
      <c r="BO132" s="93">
        <f t="shared" si="97"/>
        <v>0</v>
      </c>
      <c r="BP132" s="93">
        <f t="shared" si="98"/>
        <v>0</v>
      </c>
      <c r="BQ132" s="93">
        <f t="shared" si="99"/>
        <v>0</v>
      </c>
      <c r="BR132" s="92">
        <f t="shared" si="100"/>
        <v>0</v>
      </c>
    </row>
    <row r="133" ht="15" customHeight="1" outlineLevel="1">
      <c r="A133" t="s">
        <v>291</v>
      </c>
      <c r="B133" t="s">
        <v>292</v>
      </c>
      <c r="C133" s="34" t="s">
        <v>293</v>
      </c>
      <c r="D133" s="35" t="s">
        <v>292</v>
      </c>
      <c r="E133" s="151">
        <f t="shared" si="117"/>
        <v>360</v>
      </c>
      <c r="F133" s="152">
        <f t="shared" si="118"/>
        <v>320</v>
      </c>
      <c r="G133" s="54">
        <f t="shared" ref="G133:G136" si="152">(E133-F133)/F133</f>
        <v>0.125</v>
      </c>
      <c r="H133" s="153">
        <f t="shared" si="119"/>
        <v>1080</v>
      </c>
      <c r="I133" s="153">
        <f t="shared" si="120"/>
        <v>960</v>
      </c>
      <c r="J133" s="54">
        <f t="shared" ref="J133:J137" si="153">(H133-I133)/I133</f>
        <v>0.125</v>
      </c>
      <c r="K133" s="153">
        <f t="shared" si="122"/>
        <v>2120</v>
      </c>
      <c r="L133" s="153">
        <f t="shared" si="123"/>
        <v>1920</v>
      </c>
      <c r="M133" s="55">
        <f t="shared" ref="M133:M137" si="154">(K133-L133)/L133</f>
        <v>0.10416666666666667</v>
      </c>
      <c r="O133" s="63">
        <f>SUMIF('2024 AC'!$B$3:$B$250,"*"&amp;$D133&amp;"*",'2024 AC'!C$3:C$250)</f>
        <v>330</v>
      </c>
      <c r="P133" s="53">
        <f>SUMIF('2024 AC'!$B$3:$B$250,"*"&amp;$D133&amp;"*",'2024 AC'!D$3:D$250)</f>
        <v>330</v>
      </c>
      <c r="Q133" s="53">
        <f>SUMIF('2024 AC'!$B$3:$B$250,"*"&amp;$D133&amp;"*",'2024 AC'!E$3:E$250)</f>
        <v>330</v>
      </c>
      <c r="R133" s="53">
        <f>SUMIF('2024 AC'!$B$3:$B$250,"*"&amp;$D133&amp;"*",'2024 AC'!F$3:F$250)</f>
        <v>330</v>
      </c>
      <c r="S133" s="53">
        <f>SUMIF('2024 AC'!$B$3:$B$250,"*"&amp;$D133&amp;"*",'2024 AC'!G$3:G$250)</f>
        <v>330</v>
      </c>
      <c r="T133" s="53">
        <f>SUMIF('2024 AC'!$B$3:$B$250,"*"&amp;$D133&amp;"*",'2024 AC'!H$3:H$250)</f>
        <v>330</v>
      </c>
      <c r="U133" s="53">
        <f>SUMIF('2024 AC'!$B$3:$B$250,"*"&amp;$D133&amp;"*",'2024 AC'!I$3:I$250)</f>
        <v>330</v>
      </c>
      <c r="V133" s="53">
        <f>SUMIF('2024 AC'!$B$3:$B$250,"*"&amp;$D133&amp;"*",'2024 AC'!J$3:J$250)</f>
        <v>330</v>
      </c>
      <c r="W133" s="53">
        <f>SUMIF('2024 AC'!$B$3:$B$250,"*"&amp;$D133&amp;"*",'2024 AC'!K$3:K$250)</f>
        <v>320</v>
      </c>
      <c r="X133" s="53">
        <f>SUMIF('2024 AC'!$B$3:$B$250,"*"&amp;$D133&amp;"*",'2024 AC'!L$3:L$250)</f>
        <v>310</v>
      </c>
      <c r="Y133" s="53">
        <f>SUMIF('2024 AC'!$B$3:$B$250,"*"&amp;$D133&amp;"*",'2024 AC'!M$3:M$250)</f>
        <v>320</v>
      </c>
      <c r="Z133" s="93">
        <f>SUMIF('2024 AC'!$B$3:$B$250,"*"&amp;$D133&amp;"*",'2024 AC'!N$3:N$250)</f>
        <v>320</v>
      </c>
      <c r="AA133" s="92">
        <f t="shared" si="83"/>
        <v>3910</v>
      </c>
      <c r="AB133" s="93">
        <f t="shared" si="84"/>
        <v>990</v>
      </c>
      <c r="AC133" s="93">
        <f t="shared" si="85"/>
        <v>990</v>
      </c>
      <c r="AD133" s="93">
        <f t="shared" si="86"/>
        <v>980</v>
      </c>
      <c r="AE133" s="93">
        <f t="shared" si="87"/>
        <v>950</v>
      </c>
      <c r="AF133" s="92">
        <f t="shared" si="88"/>
        <v>3910</v>
      </c>
      <c r="AH133" s="63">
        <f>SUMIF('2025 AC'!$B$3:$B$250,"*"&amp;$D133&amp;"*",'2025 AC'!C$3:C$250)</f>
        <v>320</v>
      </c>
      <c r="AI133" s="53">
        <f>SUMIF('2025 AC'!$B$3:$B$250,"*"&amp;$D133&amp;"*",'2025 AC'!D$3:D$250)</f>
        <v>320</v>
      </c>
      <c r="AJ133" s="53">
        <f>SUMIF('2025 AC'!$B$3:$B$250,"*"&amp;$D133&amp;"*",'2025 AC'!E$3:E$250)</f>
        <v>320</v>
      </c>
      <c r="AK133" s="53">
        <f>SUMIF('2025 AC'!$B$3:$B$250,"*"&amp;$D133&amp;"*",'2025 AC'!F$3:F$250)</f>
        <v>320</v>
      </c>
      <c r="AL133" s="53">
        <f>SUMIF('2025 AC'!$B$3:$B$250,"*"&amp;$D133&amp;"*",'2025 AC'!G$3:G$250)</f>
        <v>320</v>
      </c>
      <c r="AM133" s="53">
        <f>SUMIF('2025 AC'!$B$3:$B$250,"*"&amp;$D133&amp;"*",'2025 AC'!H$3:H$250)</f>
        <v>320</v>
      </c>
      <c r="AN133" s="53">
        <f>SUMIF('2025 AC'!$B$3:$B$250,"*"&amp;$D133&amp;"*",'2025 AC'!I$3:I$250)</f>
        <v>320</v>
      </c>
      <c r="AO133" s="53">
        <f>SUMIF('2025 AC'!$B$3:$B$250,"*"&amp;$D133&amp;"*",'2025 AC'!J$3:J$250)</f>
        <v>320</v>
      </c>
      <c r="AP133" s="53">
        <f>SUMIF('2025 AC'!$B$3:$B$250,"*"&amp;$D133&amp;"*",'2025 AC'!K$3:K$250)</f>
        <v>320</v>
      </c>
      <c r="AQ133" s="53">
        <f>SUMIF('2025 AC'!$B$3:$B$250,"*"&amp;$D133&amp;"*",'2025 AC'!L$3:L$250)</f>
        <v>320</v>
      </c>
      <c r="AR133" s="53">
        <f>SUMIF('2025 AC'!$B$3:$B$250,"*"&amp;$D133&amp;"*",'2025 AC'!M$3:M$250)</f>
        <v>320</v>
      </c>
      <c r="AS133" s="53">
        <f>SUMIF('2025 AC'!$B$3:$B$250,"*"&amp;$D133&amp;"*",'2025 AC'!N$3:N$250)</f>
        <v>320</v>
      </c>
      <c r="AT133" s="94">
        <f t="shared" si="138"/>
        <v>3840</v>
      </c>
      <c r="AU133" s="93">
        <f t="shared" si="90"/>
        <v>960</v>
      </c>
      <c r="AV133" s="93">
        <f t="shared" si="91"/>
        <v>960</v>
      </c>
      <c r="AW133" s="93">
        <f t="shared" si="92"/>
        <v>960</v>
      </c>
      <c r="AX133" s="93">
        <f t="shared" si="93"/>
        <v>960</v>
      </c>
      <c r="AY133" s="92">
        <f t="shared" si="94"/>
        <v>3840</v>
      </c>
      <c r="BA133" s="63">
        <f>SUMIF('2026 AC'!$B$3:$B$254,"*"&amp;$D133&amp;"*",'2026 AC'!C$3:C$254)</f>
        <v>320</v>
      </c>
      <c r="BB133" s="53">
        <f>SUMIF('2026 AC'!$B$3:$B$254,"*"&amp;$D133&amp;"*",'2026 AC'!D$3:D$254)</f>
        <v>360</v>
      </c>
      <c r="BC133" s="53">
        <f>SUMIF('2026 AC'!$B$3:$B$254,"*"&amp;$D133&amp;"*",'2026 AC'!E$3:E$254)</f>
        <v>360</v>
      </c>
      <c r="BD133" s="53">
        <f>SUMIF('2026 AC'!$B$3:$B$254,"*"&amp;$D133&amp;"*",'2026 AC'!F$3:F$254)</f>
        <v>360</v>
      </c>
      <c r="BE133" s="53">
        <f>SUMIF('2026 AC'!$B$3:$B$254,"*"&amp;$D133&amp;"*",'2026 AC'!G$3:G$254)</f>
        <v>360</v>
      </c>
      <c r="BF133" s="53">
        <f>SUMIF('2026 AC'!$B$3:$B$254,"*"&amp;$D133&amp;"*",'2026 AC'!H$3:H$254)</f>
        <v>360</v>
      </c>
      <c r="BG133" s="53">
        <f>SUMIF('2026 AC'!$B$3:$B$254,"*"&amp;$D133&amp;"*",'2026 AC'!I$3:I$254)</f>
        <v>0</v>
      </c>
      <c r="BH133" s="53">
        <f>SUMIF('2026 AC'!$B$3:$B$254,"*"&amp;$D133&amp;"*",'2026 AC'!J$3:J$254)</f>
        <v>0</v>
      </c>
      <c r="BI133" s="53">
        <f>SUMIF('2026 AC'!$B$3:$B$254,"*"&amp;$D133&amp;"*",'2026 AC'!K$3:K$254)</f>
        <v>0</v>
      </c>
      <c r="BJ133" s="53">
        <f>SUMIF('2026 AC'!$B$3:$B$254,"*"&amp;$D133&amp;"*",'2026 AC'!L$3:L$254)</f>
        <v>0</v>
      </c>
      <c r="BK133" s="53">
        <f>SUMIF('2026 AC'!$B$3:$B$254,"*"&amp;$D133&amp;"*",'2026 AC'!M$3:M$254)</f>
        <v>0</v>
      </c>
      <c r="BL133" s="93">
        <f>SUMIF('2026 AC'!$B$3:$B$254,"*"&amp;$D133&amp;"*",'2026 AC'!N$3:N$254)</f>
        <v>0</v>
      </c>
      <c r="BM133" s="92">
        <f t="shared" si="139"/>
        <v>2120</v>
      </c>
      <c r="BN133" s="93">
        <f t="shared" si="96"/>
        <v>1040</v>
      </c>
      <c r="BO133" s="93">
        <f t="shared" si="97"/>
        <v>1080</v>
      </c>
      <c r="BP133" s="93">
        <f t="shared" si="98"/>
        <v>0</v>
      </c>
      <c r="BQ133" s="93">
        <f t="shared" si="99"/>
        <v>0</v>
      </c>
      <c r="BR133" s="92">
        <f t="shared" si="100"/>
        <v>2120</v>
      </c>
    </row>
    <row r="134" ht="15" customHeight="1" outlineLevel="1">
      <c r="A134" t="s">
        <v>294</v>
      </c>
      <c r="B134" t="s">
        <v>295</v>
      </c>
      <c r="C134" s="52" t="s">
        <v>296</v>
      </c>
      <c r="D134" s="35" t="s">
        <v>295</v>
      </c>
      <c r="E134" s="151">
        <f t="shared" si="117"/>
        <v>0</v>
      </c>
      <c r="F134" s="152">
        <f t="shared" si="118"/>
        <v>0</v>
      </c>
      <c r="G134" s="154">
        <f>IFERROR((E134-F134)/F134,0)</f>
        <v>0</v>
      </c>
      <c r="H134" s="153">
        <f t="shared" si="119"/>
        <v>0</v>
      </c>
      <c r="I134" s="153">
        <f t="shared" si="120"/>
        <v>9481.7700000000004</v>
      </c>
      <c r="J134" s="54">
        <f t="shared" si="153"/>
        <v>-1</v>
      </c>
      <c r="K134" s="153">
        <f t="shared" si="122"/>
        <v>0</v>
      </c>
      <c r="L134" s="153">
        <f t="shared" si="123"/>
        <v>25719.889999999999</v>
      </c>
      <c r="M134" s="55">
        <f t="shared" si="154"/>
        <v>-1</v>
      </c>
      <c r="O134" s="63">
        <f>SUMIF('2024 AC'!$B$3:$B$250,"*"&amp;$D134&amp;"*",'2024 AC'!C$3:C$250)</f>
        <v>0</v>
      </c>
      <c r="P134" s="53">
        <f>SUMIF('2024 AC'!$B$3:$B$250,"*"&amp;$D134&amp;"*",'2024 AC'!D$3:D$250)</f>
        <v>0</v>
      </c>
      <c r="Q134" s="53">
        <f>SUMIF('2024 AC'!$B$3:$B$250,"*"&amp;$D134&amp;"*",'2024 AC'!E$3:E$250)</f>
        <v>0</v>
      </c>
      <c r="R134" s="53">
        <f>SUMIF('2024 AC'!$B$3:$B$250,"*"&amp;$D134&amp;"*",'2024 AC'!F$3:F$250)</f>
        <v>0</v>
      </c>
      <c r="S134" s="53">
        <f>SUMIF('2024 AC'!$B$3:$B$250,"*"&amp;$D134&amp;"*",'2024 AC'!G$3:G$250)</f>
        <v>0</v>
      </c>
      <c r="T134" s="53">
        <f>SUMIF('2024 AC'!$B$3:$B$250,"*"&amp;$D134&amp;"*",'2024 AC'!H$3:H$250)</f>
        <v>0</v>
      </c>
      <c r="U134" s="53">
        <f>SUMIF('2024 AC'!$B$3:$B$250,"*"&amp;$D134&amp;"*",'2024 AC'!I$3:I$250)</f>
        <v>7287.25</v>
      </c>
      <c r="V134" s="53">
        <f>SUMIF('2024 AC'!$B$3:$B$250,"*"&amp;$D134&amp;"*",'2024 AC'!J$3:J$250)</f>
        <v>0</v>
      </c>
      <c r="W134" s="53">
        <f>SUMIF('2024 AC'!$B$3:$B$250,"*"&amp;$D134&amp;"*",'2024 AC'!K$3:K$250)</f>
        <v>0</v>
      </c>
      <c r="X134" s="53">
        <f>SUMIF('2024 AC'!$B$3:$B$250,"*"&amp;$D134&amp;"*",'2024 AC'!L$3:L$250)</f>
        <v>21421.5</v>
      </c>
      <c r="Y134" s="53">
        <f>SUMIF('2024 AC'!$B$3:$B$250,"*"&amp;$D134&amp;"*",'2024 AC'!M$3:M$250)</f>
        <v>0</v>
      </c>
      <c r="Z134" s="93">
        <f>SUMIF('2024 AC'!$B$3:$B$250,"*"&amp;$D134&amp;"*",'2024 AC'!N$3:N$250)</f>
        <v>0</v>
      </c>
      <c r="AA134" s="92">
        <f t="shared" si="83"/>
        <v>28708.75</v>
      </c>
      <c r="AB134" s="93">
        <f t="shared" si="84"/>
        <v>0</v>
      </c>
      <c r="AC134" s="93">
        <f t="shared" si="85"/>
        <v>0</v>
      </c>
      <c r="AD134" s="93">
        <f t="shared" si="86"/>
        <v>7287.25</v>
      </c>
      <c r="AE134" s="93">
        <f t="shared" si="87"/>
        <v>21421.5</v>
      </c>
      <c r="AF134" s="92">
        <f t="shared" si="88"/>
        <v>28708.75</v>
      </c>
      <c r="AH134" s="63">
        <f>SUMIF('2025 AC'!$B$3:$B$250,"*"&amp;$D134&amp;"*",'2025 AC'!C$3:C$250)</f>
        <v>0</v>
      </c>
      <c r="AI134" s="53">
        <f>SUMIF('2025 AC'!$B$3:$B$250,"*"&amp;$D134&amp;"*",'2025 AC'!D$3:D$250)</f>
        <v>16238.120000000001</v>
      </c>
      <c r="AJ134" s="53">
        <f>SUMIF('2025 AC'!$B$3:$B$250,"*"&amp;$D134&amp;"*",'2025 AC'!E$3:E$250)</f>
        <v>0</v>
      </c>
      <c r="AK134" s="53">
        <f>SUMIF('2025 AC'!$B$3:$B$250,"*"&amp;$D134&amp;"*",'2025 AC'!F$3:F$250)</f>
        <v>0</v>
      </c>
      <c r="AL134" s="53">
        <f>SUMIF('2025 AC'!$B$3:$B$250,"*"&amp;$D134&amp;"*",'2025 AC'!G$3:G$250)</f>
        <v>9481.7700000000004</v>
      </c>
      <c r="AM134" s="53">
        <f>SUMIF('2025 AC'!$B$3:$B$250,"*"&amp;$D134&amp;"*",'2025 AC'!H$3:H$250)</f>
        <v>0</v>
      </c>
      <c r="AN134" s="53">
        <f>SUMIF('2025 AC'!$B$3:$B$250,"*"&amp;$D134&amp;"*",'2025 AC'!I$3:I$250)</f>
        <v>0</v>
      </c>
      <c r="AO134" s="53">
        <f>SUMIF('2025 AC'!$B$3:$B$250,"*"&amp;$D134&amp;"*",'2025 AC'!J$3:J$250)</f>
        <v>18279.299999999999</v>
      </c>
      <c r="AP134" s="53">
        <f>SUMIF('2025 AC'!$B$3:$B$250,"*"&amp;$D134&amp;"*",'2025 AC'!K$3:K$250)</f>
        <v>0</v>
      </c>
      <c r="AQ134" s="53">
        <f>SUMIF('2025 AC'!$B$3:$B$250,"*"&amp;$D134&amp;"*",'2025 AC'!L$3:L$250)</f>
        <v>0</v>
      </c>
      <c r="AR134" s="53">
        <f>SUMIF('2025 AC'!$B$3:$B$250,"*"&amp;$D134&amp;"*",'2025 AC'!M$3:M$250)</f>
        <v>0</v>
      </c>
      <c r="AS134" s="53">
        <f>SUMIF('2025 AC'!$B$3:$B$250,"*"&amp;$D134&amp;"*",'2025 AC'!N$3:N$250)</f>
        <v>0</v>
      </c>
      <c r="AT134" s="94">
        <f t="shared" si="138"/>
        <v>43999.190000000002</v>
      </c>
      <c r="AU134" s="93">
        <f t="shared" si="90"/>
        <v>16238.120000000001</v>
      </c>
      <c r="AV134" s="93">
        <f t="shared" si="91"/>
        <v>9481.7700000000004</v>
      </c>
      <c r="AW134" s="93">
        <f t="shared" si="92"/>
        <v>18279.299999999999</v>
      </c>
      <c r="AX134" s="93">
        <f t="shared" si="93"/>
        <v>0</v>
      </c>
      <c r="AY134" s="92">
        <f t="shared" si="94"/>
        <v>43999.190000000002</v>
      </c>
      <c r="BA134" s="63">
        <f>SUMIF('2026 AC'!$B$3:$B$254,"*"&amp;$D134&amp;"*",'2026 AC'!C$3:C$254)</f>
        <v>0</v>
      </c>
      <c r="BB134" s="53">
        <f>SUMIF('2026 AC'!$B$3:$B$254,"*"&amp;$D134&amp;"*",'2026 AC'!D$3:D$254)</f>
        <v>0</v>
      </c>
      <c r="BC134" s="53">
        <f>SUMIF('2026 AC'!$B$3:$B$254,"*"&amp;$D134&amp;"*",'2026 AC'!E$3:E$254)</f>
        <v>0</v>
      </c>
      <c r="BD134" s="53">
        <f>SUMIF('2026 AC'!$B$3:$B$254,"*"&amp;$D134&amp;"*",'2026 AC'!F$3:F$254)</f>
        <v>0</v>
      </c>
      <c r="BE134" s="53">
        <f>SUMIF('2026 AC'!$B$3:$B$254,"*"&amp;$D134&amp;"*",'2026 AC'!G$3:G$254)</f>
        <v>0</v>
      </c>
      <c r="BF134" s="53">
        <f>SUMIF('2026 AC'!$B$3:$B$254,"*"&amp;$D134&amp;"*",'2026 AC'!H$3:H$254)</f>
        <v>0</v>
      </c>
      <c r="BG134" s="53">
        <f>SUMIF('2026 AC'!$B$3:$B$254,"*"&amp;$D134&amp;"*",'2026 AC'!I$3:I$254)</f>
        <v>0</v>
      </c>
      <c r="BH134" s="53">
        <f>SUMIF('2026 AC'!$B$3:$B$254,"*"&amp;$D134&amp;"*",'2026 AC'!J$3:J$254)</f>
        <v>0</v>
      </c>
      <c r="BI134" s="53">
        <f>SUMIF('2026 AC'!$B$3:$B$254,"*"&amp;$D134&amp;"*",'2026 AC'!K$3:K$254)</f>
        <v>0</v>
      </c>
      <c r="BJ134" s="53">
        <f>SUMIF('2026 AC'!$B$3:$B$254,"*"&amp;$D134&amp;"*",'2026 AC'!L$3:L$254)</f>
        <v>0</v>
      </c>
      <c r="BK134" s="53">
        <f>SUMIF('2026 AC'!$B$3:$B$254,"*"&amp;$D134&amp;"*",'2026 AC'!M$3:M$254)</f>
        <v>0</v>
      </c>
      <c r="BL134" s="170">
        <f>SUMIF('2026 AC'!$B$3:$B$254,"*"&amp;$D134&amp;"*",'2026 AC'!N$3:N$254)</f>
        <v>0</v>
      </c>
      <c r="BM134" s="92">
        <f t="shared" si="139"/>
        <v>0</v>
      </c>
      <c r="BN134" s="93">
        <f t="shared" si="96"/>
        <v>0</v>
      </c>
      <c r="BO134" s="93">
        <f t="shared" si="97"/>
        <v>0</v>
      </c>
      <c r="BP134" s="93">
        <f t="shared" si="98"/>
        <v>0</v>
      </c>
      <c r="BQ134" s="93">
        <f t="shared" si="99"/>
        <v>0</v>
      </c>
      <c r="BR134" s="92">
        <f t="shared" si="100"/>
        <v>0</v>
      </c>
    </row>
    <row r="135" ht="15" customHeight="1" outlineLevel="1">
      <c r="A135" t="s">
        <v>297</v>
      </c>
      <c r="B135" t="s">
        <v>298</v>
      </c>
      <c r="C135" s="52" t="s">
        <v>299</v>
      </c>
      <c r="D135" s="35" t="s">
        <v>298</v>
      </c>
      <c r="E135" s="151">
        <f t="shared" si="117"/>
        <v>600</v>
      </c>
      <c r="F135" s="152">
        <f t="shared" si="118"/>
        <v>1004</v>
      </c>
      <c r="G135" s="54">
        <f t="shared" si="152"/>
        <v>-0.40239043824701193</v>
      </c>
      <c r="H135" s="153">
        <f t="shared" si="119"/>
        <v>2150</v>
      </c>
      <c r="I135" s="153">
        <f t="shared" si="120"/>
        <v>7706</v>
      </c>
      <c r="J135" s="54">
        <f t="shared" si="153"/>
        <v>-0.7209966260057098</v>
      </c>
      <c r="K135" s="153">
        <f t="shared" si="122"/>
        <v>11190</v>
      </c>
      <c r="L135" s="153">
        <f t="shared" si="123"/>
        <v>12012</v>
      </c>
      <c r="M135" s="55">
        <f t="shared" si="154"/>
        <v>-6.8431568431568432e-02</v>
      </c>
      <c r="O135" s="63">
        <f>SUMIF('2024 AC'!$B$3:$B$250,"*"&amp;$D135&amp;"*",'2024 AC'!C$3:C$250)</f>
        <v>0</v>
      </c>
      <c r="P135" s="53">
        <f>SUMIF('2024 AC'!$B$3:$B$250,"*"&amp;$D135&amp;"*",'2024 AC'!D$3:D$250)</f>
        <v>7062</v>
      </c>
      <c r="Q135" s="53">
        <f>SUMIF('2024 AC'!$B$3:$B$250,"*"&amp;$D135&amp;"*",'2024 AC'!E$3:E$250)</f>
        <v>5024</v>
      </c>
      <c r="R135" s="53">
        <f>SUMIF('2024 AC'!$B$3:$B$250,"*"&amp;$D135&amp;"*",'2024 AC'!F$3:F$250)</f>
        <v>1616</v>
      </c>
      <c r="S135" s="53">
        <f>SUMIF('2024 AC'!$B$3:$B$250,"*"&amp;$D135&amp;"*",'2024 AC'!G$3:G$250)</f>
        <v>624</v>
      </c>
      <c r="T135" s="53">
        <f>SUMIF('2024 AC'!$B$3:$B$250,"*"&amp;$D135&amp;"*",'2024 AC'!H$3:H$250)</f>
        <v>0</v>
      </c>
      <c r="U135" s="53">
        <f>SUMIF('2024 AC'!$B$3:$B$250,"*"&amp;$D135&amp;"*",'2024 AC'!I$3:I$250)</f>
        <v>1000</v>
      </c>
      <c r="V135" s="53">
        <f>SUMIF('2024 AC'!$B$3:$B$250,"*"&amp;$D135&amp;"*",'2024 AC'!J$3:J$250)</f>
        <v>3616</v>
      </c>
      <c r="W135" s="53">
        <f>SUMIF('2024 AC'!$B$3:$B$250,"*"&amp;$D135&amp;"*",'2024 AC'!K$3:K$250)</f>
        <v>1328</v>
      </c>
      <c r="X135" s="53">
        <f>SUMIF('2024 AC'!$B$3:$B$250,"*"&amp;$D135&amp;"*",'2024 AC'!L$3:L$250)</f>
        <v>1936</v>
      </c>
      <c r="Y135" s="53">
        <f>SUMIF('2024 AC'!$B$3:$B$250,"*"&amp;$D135&amp;"*",'2024 AC'!M$3:M$250)</f>
        <v>2126</v>
      </c>
      <c r="Z135" s="93">
        <f>SUMIF('2024 AC'!$B$3:$B$250,"*"&amp;$D135&amp;"*",'2024 AC'!N$3:N$250)</f>
        <v>832</v>
      </c>
      <c r="AA135" s="92">
        <f t="shared" si="83"/>
        <v>25164</v>
      </c>
      <c r="AB135" s="93">
        <f t="shared" si="84"/>
        <v>12086</v>
      </c>
      <c r="AC135" s="93">
        <f t="shared" si="85"/>
        <v>2240</v>
      </c>
      <c r="AD135" s="93">
        <f t="shared" si="86"/>
        <v>5944</v>
      </c>
      <c r="AE135" s="93">
        <f t="shared" si="87"/>
        <v>4894</v>
      </c>
      <c r="AF135" s="92">
        <f t="shared" si="88"/>
        <v>25164</v>
      </c>
      <c r="AH135" s="63">
        <f>SUMIF('2025 AC'!$B$3:$B$250,"*"&amp;$D135&amp;"*",'2025 AC'!C$3:C$250)</f>
        <v>1352</v>
      </c>
      <c r="AI135" s="53">
        <f>SUMIF('2025 AC'!$B$3:$B$250,"*"&amp;$D135&amp;"*",'2025 AC'!D$3:D$250)</f>
        <v>360</v>
      </c>
      <c r="AJ135" s="53">
        <f>SUMIF('2025 AC'!$B$3:$B$250,"*"&amp;$D135&amp;"*",'2025 AC'!E$3:E$250)</f>
        <v>2594</v>
      </c>
      <c r="AK135" s="53">
        <f>SUMIF('2025 AC'!$B$3:$B$250,"*"&amp;$D135&amp;"*",'2025 AC'!F$3:F$250)</f>
        <v>0</v>
      </c>
      <c r="AL135" s="53">
        <f>SUMIF('2025 AC'!$B$3:$B$250,"*"&amp;$D135&amp;"*",'2025 AC'!G$3:G$250)</f>
        <v>6702</v>
      </c>
      <c r="AM135" s="53">
        <f>SUMIF('2025 AC'!$B$3:$B$250,"*"&amp;$D135&amp;"*",'2025 AC'!H$3:H$250)</f>
        <v>1004</v>
      </c>
      <c r="AN135" s="53">
        <f>SUMIF('2025 AC'!$B$3:$B$250,"*"&amp;$D135&amp;"*",'2025 AC'!I$3:I$250)</f>
        <v>892</v>
      </c>
      <c r="AO135" s="53">
        <f>SUMIF('2025 AC'!$B$3:$B$250,"*"&amp;$D135&amp;"*",'2025 AC'!J$3:J$250)</f>
        <v>262</v>
      </c>
      <c r="AP135" s="53">
        <f>SUMIF('2025 AC'!$B$3:$B$250,"*"&amp;$D135&amp;"*",'2025 AC'!K$3:K$250)</f>
        <v>1558</v>
      </c>
      <c r="AQ135" s="53">
        <f>SUMIF('2025 AC'!$B$3:$B$250,"*"&amp;$D135&amp;"*",'2025 AC'!L$3:L$250)</f>
        <v>210</v>
      </c>
      <c r="AR135" s="53">
        <f>SUMIF('2025 AC'!$B$3:$B$250,"*"&amp;$D135&amp;"*",'2025 AC'!M$3:M$250)</f>
        <v>1620</v>
      </c>
      <c r="AS135" s="53">
        <f>SUMIF('2025 AC'!$B$3:$B$250,"*"&amp;$D135&amp;"*",'2025 AC'!N$3:N$250)</f>
        <v>3820</v>
      </c>
      <c r="AT135" s="94">
        <f t="shared" si="138"/>
        <v>20374</v>
      </c>
      <c r="AU135" s="93">
        <f t="shared" si="90"/>
        <v>4306</v>
      </c>
      <c r="AV135" s="93">
        <f t="shared" si="91"/>
        <v>7706</v>
      </c>
      <c r="AW135" s="93">
        <f t="shared" si="92"/>
        <v>2712</v>
      </c>
      <c r="AX135" s="93">
        <f t="shared" si="93"/>
        <v>5650</v>
      </c>
      <c r="AY135" s="92">
        <f t="shared" si="94"/>
        <v>20374</v>
      </c>
      <c r="BA135" s="63">
        <f>SUMIF('2026 AC'!$B$3:$B$254,"*"&amp;$D135&amp;"*",'2026 AC'!C$3:C$254)</f>
        <v>3060</v>
      </c>
      <c r="BB135" s="53">
        <f>SUMIF('2026 AC'!$B$3:$B$254,"*"&amp;$D135&amp;"*",'2026 AC'!D$3:D$254)</f>
        <v>1080</v>
      </c>
      <c r="BC135" s="53">
        <f>SUMIF('2026 AC'!$B$3:$B$254,"*"&amp;$D135&amp;"*",'2026 AC'!E$3:E$254)</f>
        <v>4900</v>
      </c>
      <c r="BD135" s="53">
        <f>SUMIF('2026 AC'!$B$3:$B$254,"*"&amp;$D135&amp;"*",'2026 AC'!F$3:F$254)</f>
        <v>1000</v>
      </c>
      <c r="BE135" s="53">
        <f>SUMIF('2026 AC'!$B$3:$B$254,"*"&amp;$D135&amp;"*",'2026 AC'!G$3:G$254)</f>
        <v>550</v>
      </c>
      <c r="BF135" s="53">
        <f>SUMIF('2026 AC'!$B$3:$B$254,"*"&amp;$D135&amp;"*",'2026 AC'!H$3:H$254)</f>
        <v>600</v>
      </c>
      <c r="BG135" s="53">
        <f>SUMIF('2026 AC'!$B$3:$B$254,"*"&amp;$D135&amp;"*",'2026 AC'!I$3:I$254)</f>
        <v>0</v>
      </c>
      <c r="BH135" s="53">
        <f>SUMIF('2026 AC'!$B$3:$B$254,"*"&amp;$D135&amp;"*",'2026 AC'!J$3:J$254)</f>
        <v>0</v>
      </c>
      <c r="BI135" s="53">
        <f>SUMIF('2026 AC'!$B$3:$B$254,"*"&amp;$D135&amp;"*",'2026 AC'!K$3:K$254)</f>
        <v>0</v>
      </c>
      <c r="BJ135" s="53">
        <f>SUMIF('2026 AC'!$B$3:$B$254,"*"&amp;$D135&amp;"*",'2026 AC'!L$3:L$254)</f>
        <v>0</v>
      </c>
      <c r="BK135" s="53">
        <f>SUMIF('2026 AC'!$B$3:$B$254,"*"&amp;$D135&amp;"*",'2026 AC'!M$3:M$254)</f>
        <v>0</v>
      </c>
      <c r="BL135" s="170">
        <f>SUMIF('2026 AC'!$B$3:$B$254,"*"&amp;$D135&amp;"*",'2026 AC'!N$3:N$254)</f>
        <v>0</v>
      </c>
      <c r="BM135" s="92">
        <f t="shared" si="139"/>
        <v>11190</v>
      </c>
      <c r="BN135" s="93">
        <f t="shared" si="96"/>
        <v>9040</v>
      </c>
      <c r="BO135" s="93">
        <f t="shared" si="97"/>
        <v>2150</v>
      </c>
      <c r="BP135" s="93">
        <f t="shared" si="98"/>
        <v>0</v>
      </c>
      <c r="BQ135" s="93">
        <f t="shared" si="99"/>
        <v>0</v>
      </c>
      <c r="BR135" s="92">
        <f t="shared" si="100"/>
        <v>11190</v>
      </c>
    </row>
    <row r="136" outlineLevel="1">
      <c r="A136" t="s">
        <v>300</v>
      </c>
      <c r="B136" t="s">
        <v>301</v>
      </c>
      <c r="C136" s="52" t="s">
        <v>302</v>
      </c>
      <c r="D136" s="35" t="s">
        <v>301</v>
      </c>
      <c r="E136" s="188">
        <f t="shared" si="117"/>
        <v>37685.160000000003</v>
      </c>
      <c r="F136" s="152">
        <f t="shared" si="118"/>
        <v>32303.869999999999</v>
      </c>
      <c r="G136" s="54">
        <f t="shared" si="152"/>
        <v>0.16658344650346862</v>
      </c>
      <c r="H136" s="153">
        <f t="shared" si="119"/>
        <v>102786.33</v>
      </c>
      <c r="I136" s="153">
        <f t="shared" si="120"/>
        <v>99553.87999999999</v>
      </c>
      <c r="J136" s="54">
        <f t="shared" si="153"/>
        <v>3.2469352274366522e-02</v>
      </c>
      <c r="K136" s="153">
        <f t="shared" si="122"/>
        <v>202932.57999999999</v>
      </c>
      <c r="L136" s="153">
        <f t="shared" si="123"/>
        <v>203980.85999999999</v>
      </c>
      <c r="M136" s="55">
        <f t="shared" si="154"/>
        <v>-5.1391096203830047e-03</v>
      </c>
      <c r="O136" s="63">
        <f>SUMIF('2024 AC'!$B$3:$B$250,"*"&amp;$D136&amp;"*",'2024 AC'!C$3:C$250)</f>
        <v>25408.330000000002</v>
      </c>
      <c r="P136" s="53">
        <f>SUMIF('2024 AC'!$B$3:$B$250,"*"&amp;$D136&amp;"*",'2024 AC'!D$3:D$250)</f>
        <v>23954.700000000001</v>
      </c>
      <c r="Q136" s="53">
        <f>SUMIF('2024 AC'!$B$3:$B$250,"*"&amp;$D136&amp;"*",'2024 AC'!E$3:E$250)</f>
        <v>26134.650000000001</v>
      </c>
      <c r="R136" s="53">
        <f>SUMIF('2024 AC'!$B$3:$B$250,"*"&amp;$D136&amp;"*",'2024 AC'!F$3:F$250)</f>
        <v>0</v>
      </c>
      <c r="S136" s="53">
        <f>SUMIF('2024 AC'!$B$3:$B$250,"*"&amp;$D136&amp;"*",'2024 AC'!G$3:G$250)</f>
        <v>24888.549999999999</v>
      </c>
      <c r="T136" s="53">
        <f>SUMIF('2024 AC'!$B$3:$B$250,"*"&amp;$D136&amp;"*",'2024 AC'!H$3:H$250)</f>
        <v>25615.380000000001</v>
      </c>
      <c r="U136" s="53">
        <f>SUMIF('2024 AC'!$B$3:$B$250,"*"&amp;$D136&amp;"*",'2024 AC'!I$3:I$250)</f>
        <v>25200</v>
      </c>
      <c r="V136" s="53">
        <f>SUMIF('2024 AC'!$B$3:$B$250,"*"&amp;$D136&amp;"*",'2024 AC'!J$3:J$250)</f>
        <v>30998.080000000002</v>
      </c>
      <c r="W136" s="53">
        <f>SUMIF('2024 AC'!$B$3:$B$250,"*"&amp;$D136&amp;"*",'2024 AC'!K$3:K$250)</f>
        <v>31901.939999999999</v>
      </c>
      <c r="X136" s="53">
        <f>SUMIF('2024 AC'!$B$3:$B$250,"*"&amp;$D136&amp;"*",'2024 AC'!L$3:L$250)</f>
        <v>32641.540000000001</v>
      </c>
      <c r="Y136" s="53">
        <f>SUMIF('2024 AC'!$B$3:$B$250,"*"&amp;$D136&amp;"*",'2024 AC'!M$3:M$250)</f>
        <v>34581.080000000002</v>
      </c>
      <c r="Z136" s="93">
        <f>SUMIF('2024 AC'!$B$3:$B$250,"*"&amp;$D136&amp;"*",'2024 AC'!N$3:N$250)</f>
        <v>33288.75</v>
      </c>
      <c r="AA136" s="92">
        <f t="shared" si="83"/>
        <v>314613</v>
      </c>
      <c r="AB136" s="93">
        <f t="shared" si="84"/>
        <v>75497.679999999993</v>
      </c>
      <c r="AC136" s="93">
        <f t="shared" si="85"/>
        <v>50503.93</v>
      </c>
      <c r="AD136" s="93">
        <f t="shared" si="86"/>
        <v>88100.020000000004</v>
      </c>
      <c r="AE136" s="93">
        <f t="shared" si="87"/>
        <v>100511.37</v>
      </c>
      <c r="AF136" s="92">
        <f t="shared" si="88"/>
        <v>314613</v>
      </c>
      <c r="AH136" s="63">
        <f>SUMIF('2025 AC'!$B$3:$B$250,"*"&amp;$D136&amp;"*",'2025 AC'!C$3:C$250)</f>
        <v>37126.949999999997</v>
      </c>
      <c r="AI136" s="53">
        <f>SUMIF('2025 AC'!$B$3:$B$250,"*"&amp;$D136&amp;"*",'2025 AC'!D$3:D$250)</f>
        <v>36503.860000000001</v>
      </c>
      <c r="AJ136" s="53">
        <f>SUMIF('2025 AC'!$B$3:$B$250,"*"&amp;$D136&amp;"*",'2025 AC'!E$3:E$250)</f>
        <v>30796.169999999998</v>
      </c>
      <c r="AK136" s="53">
        <f>SUMIF('2025 AC'!$B$3:$B$250,"*"&amp;$D136&amp;"*",'2025 AC'!F$3:F$250)</f>
        <v>34376.949999999997</v>
      </c>
      <c r="AL136" s="53">
        <f>SUMIF('2025 AC'!$B$3:$B$250,"*"&amp;$D136&amp;"*",'2025 AC'!G$3:G$250)</f>
        <v>32873.059999999998</v>
      </c>
      <c r="AM136" s="53">
        <f>SUMIF('2025 AC'!$B$3:$B$250,"*"&amp;$D136&amp;"*",'2025 AC'!H$3:H$250)</f>
        <v>32303.869999999999</v>
      </c>
      <c r="AN136" s="53">
        <f>SUMIF('2025 AC'!$B$3:$B$250,"*"&amp;$D136&amp;"*",'2025 AC'!I$3:I$250)</f>
        <v>32362.490000000002</v>
      </c>
      <c r="AO136" s="53">
        <f>SUMIF('2025 AC'!$B$3:$B$250,"*"&amp;$D136&amp;"*",'2025 AC'!J$3:J$250)</f>
        <v>33392.32</v>
      </c>
      <c r="AP136" s="53">
        <f>SUMIF('2025 AC'!$B$3:$B$250,"*"&amp;$D136&amp;"*",'2025 AC'!K$3:K$250)</f>
        <v>28830.799999999999</v>
      </c>
      <c r="AQ136" s="53">
        <f>SUMIF('2025 AC'!$B$3:$B$250,"*"&amp;$D136&amp;"*",'2025 AC'!L$3:L$250)</f>
        <v>35049.980000000003</v>
      </c>
      <c r="AR136" s="53">
        <f>SUMIF('2025 AC'!$B$3:$B$250,"*"&amp;$D136&amp;"*",'2025 AC'!M$3:M$250)</f>
        <v>34223.099999999999</v>
      </c>
      <c r="AS136" s="53">
        <f>SUMIF('2025 AC'!$B$3:$B$250,"*"&amp;$D136&amp;"*",'2025 AC'!N$3:N$250)</f>
        <v>33296.150000000001</v>
      </c>
      <c r="AT136" s="94">
        <f t="shared" si="138"/>
        <v>401135.69999999995</v>
      </c>
      <c r="AU136" s="93">
        <f t="shared" si="90"/>
        <v>104426.98</v>
      </c>
      <c r="AV136" s="93">
        <f t="shared" si="91"/>
        <v>99553.87999999999</v>
      </c>
      <c r="AW136" s="93">
        <f t="shared" si="92"/>
        <v>94585.610000000001</v>
      </c>
      <c r="AX136" s="93">
        <f t="shared" si="93"/>
        <v>102569.23000000001</v>
      </c>
      <c r="AY136" s="92">
        <f t="shared" si="94"/>
        <v>401135.69999999995</v>
      </c>
      <c r="BA136" s="63">
        <f>SUMIF('2026 AC'!$B$3:$B$254,"*"&amp;$D136&amp;"*",'2026 AC'!C$3:C$254)</f>
        <v>34119.25</v>
      </c>
      <c r="BB136" s="53">
        <f>SUMIF('2026 AC'!$B$3:$B$254,"*"&amp;$D136&amp;"*",'2026 AC'!D$3:D$254)</f>
        <v>34376.93</v>
      </c>
      <c r="BC136" s="53">
        <f>SUMIF('2026 AC'!$B$3:$B$254,"*"&amp;$D136&amp;"*",'2026 AC'!E$3:E$254)</f>
        <v>31650.07</v>
      </c>
      <c r="BD136" s="53">
        <f>SUMIF('2026 AC'!$B$3:$B$254,"*"&amp;$D136&amp;"*",'2026 AC'!F$3:F$254)</f>
        <v>32460.900000000001</v>
      </c>
      <c r="BE136" s="53">
        <f>SUMIF('2026 AC'!$B$3:$B$254,"*"&amp;$D136&amp;"*",'2026 AC'!G$3:G$254)</f>
        <v>32640.27</v>
      </c>
      <c r="BF136" s="53">
        <f>SUMIF('2026 AC'!$B$3:$B$254,"*"&amp;$D136&amp;"*",'2026 AC'!H$3:H$254)</f>
        <v>37685.160000000003</v>
      </c>
      <c r="BG136" s="53">
        <f>SUMIF('2026 AC'!$B$3:$B$254,"*"&amp;$D136&amp;"*",'2026 AC'!I$3:I$254)</f>
        <v>0</v>
      </c>
      <c r="BH136" s="53">
        <f>SUMIF('2026 AC'!$B$3:$B$254,"*"&amp;$D136&amp;"*",'2026 AC'!J$3:J$254)</f>
        <v>0</v>
      </c>
      <c r="BI136" s="53">
        <f>SUMIF('2026 AC'!$B$3:$B$254,"*"&amp;$D136&amp;"*",'2026 AC'!K$3:K$254)</f>
        <v>0</v>
      </c>
      <c r="BJ136" s="53">
        <f>SUMIF('2026 AC'!$B$3:$B$254,"*"&amp;$D136&amp;"*",'2026 AC'!L$3:L$254)</f>
        <v>0</v>
      </c>
      <c r="BK136" s="53">
        <f>SUMIF('2026 AC'!$B$3:$B$254,"*"&amp;$D136&amp;"*",'2026 AC'!M$3:M$254)</f>
        <v>0</v>
      </c>
      <c r="BL136" s="170">
        <f>SUMIF('2026 AC'!$B$3:$B$254,"*"&amp;$D136&amp;"*",'2026 AC'!N$3:N$254)</f>
        <v>0</v>
      </c>
      <c r="BM136" s="92">
        <f t="shared" si="139"/>
        <v>202932.57999999999</v>
      </c>
      <c r="BN136" s="93">
        <f t="shared" si="96"/>
        <v>100146.25</v>
      </c>
      <c r="BO136" s="93">
        <f t="shared" si="97"/>
        <v>102786.33</v>
      </c>
      <c r="BP136" s="93">
        <f t="shared" si="98"/>
        <v>0</v>
      </c>
      <c r="BQ136" s="93">
        <f t="shared" si="99"/>
        <v>0</v>
      </c>
      <c r="BR136" s="92">
        <f t="shared" si="100"/>
        <v>202932.58000000002</v>
      </c>
    </row>
    <row r="137" outlineLevel="1">
      <c r="A137" t="s">
        <v>303</v>
      </c>
      <c r="B137" t="s">
        <v>304</v>
      </c>
      <c r="C137" s="34" t="s">
        <v>305</v>
      </c>
      <c r="D137" s="35" t="s">
        <v>304</v>
      </c>
      <c r="E137" s="153">
        <f t="shared" si="117"/>
        <v>0</v>
      </c>
      <c r="F137" s="153">
        <f t="shared" si="118"/>
        <v>0</v>
      </c>
      <c r="G137" s="154">
        <f t="shared" ref="G137:G138" si="155">IFERROR((E137-F137)/F137,1)</f>
        <v>1</v>
      </c>
      <c r="H137" s="153">
        <f t="shared" si="119"/>
        <v>0</v>
      </c>
      <c r="I137" s="153">
        <f t="shared" si="120"/>
        <v>0</v>
      </c>
      <c r="J137" s="54" t="e">
        <f t="shared" si="153"/>
        <v>#DIV/0!</v>
      </c>
      <c r="K137" s="153">
        <f t="shared" si="122"/>
        <v>1482.2</v>
      </c>
      <c r="L137" s="153">
        <f t="shared" si="123"/>
        <v>354.89999999999998</v>
      </c>
      <c r="M137" s="55">
        <f t="shared" si="154"/>
        <v>3.1763877148492541</v>
      </c>
      <c r="O137" s="63">
        <f>SUMIF('2024 AC'!$B$3:$B$250,"*"&amp;$D137&amp;"*",'2024 AC'!C$3:C$250)</f>
        <v>1983.9000000000001</v>
      </c>
      <c r="P137" s="53">
        <f>SUMIF('2024 AC'!$B$3:$B$250,"*"&amp;$D137&amp;"*",'2024 AC'!D$3:D$250)</f>
        <v>0</v>
      </c>
      <c r="Q137" s="53">
        <f>SUMIF('2024 AC'!$B$3:$B$250,"*"&amp;$D137&amp;"*",'2024 AC'!E$3:E$250)</f>
        <v>588.45000000000005</v>
      </c>
      <c r="R137" s="53">
        <f>SUMIF('2024 AC'!$B$3:$B$250,"*"&amp;$D137&amp;"*",'2024 AC'!F$3:F$250)</f>
        <v>225.80000000000001</v>
      </c>
      <c r="S137" s="53">
        <f>SUMIF('2024 AC'!$B$3:$B$250,"*"&amp;$D137&amp;"*",'2024 AC'!G$3:G$250)</f>
        <v>450.10000000000002</v>
      </c>
      <c r="T137" s="53">
        <f>SUMIF('2024 AC'!$B$3:$B$250,"*"&amp;$D137&amp;"*",'2024 AC'!H$3:H$250)</f>
        <v>0</v>
      </c>
      <c r="U137" s="53">
        <f>SUMIF('2024 AC'!$B$3:$B$250,"*"&amp;$D137&amp;"*",'2024 AC'!I$3:I$250)</f>
        <v>483.89999999999998</v>
      </c>
      <c r="V137" s="53">
        <f>SUMIF('2024 AC'!$B$3:$B$250,"*"&amp;$D137&amp;"*",'2024 AC'!J$3:J$250)</f>
        <v>951</v>
      </c>
      <c r="W137" s="53">
        <f>SUMIF('2024 AC'!$B$3:$B$250,"*"&amp;$D137&amp;"*",'2024 AC'!K$3:K$250)</f>
        <v>356.5</v>
      </c>
      <c r="X137" s="53">
        <f>SUMIF('2024 AC'!$B$3:$B$250,"*"&amp;$D137&amp;"*",'2024 AC'!L$3:L$250)</f>
        <v>466.75</v>
      </c>
      <c r="Y137" s="53">
        <f>SUMIF('2024 AC'!$B$3:$B$250,"*"&amp;$D137&amp;"*",'2024 AC'!M$3:M$250)</f>
        <v>500</v>
      </c>
      <c r="Z137" s="93">
        <f>SUMIF('2024 AC'!$B$3:$B$250,"*"&amp;$D137&amp;"*",'2024 AC'!N$3:N$250)</f>
        <v>500</v>
      </c>
      <c r="AA137" s="92">
        <f t="shared" si="83"/>
        <v>6506.4000000000005</v>
      </c>
      <c r="AB137" s="93">
        <f t="shared" si="84"/>
        <v>2572.3500000000004</v>
      </c>
      <c r="AC137" s="93">
        <f t="shared" si="85"/>
        <v>675.90000000000009</v>
      </c>
      <c r="AD137" s="93">
        <f t="shared" si="86"/>
        <v>1791.4000000000001</v>
      </c>
      <c r="AE137" s="93">
        <f t="shared" si="87"/>
        <v>1466.75</v>
      </c>
      <c r="AF137" s="92">
        <f t="shared" si="88"/>
        <v>6506.4000000000005</v>
      </c>
      <c r="AH137" s="63">
        <f>SUMIF('2025 AC'!$B$3:$B$250,"*"&amp;$D137&amp;"*",'2025 AC'!C$3:C$250)</f>
        <v>354.89999999999998</v>
      </c>
      <c r="AI137" s="53">
        <f>SUMIF('2025 AC'!$B$3:$B$250,"*"&amp;$D137&amp;"*",'2025 AC'!D$3:D$250)</f>
        <v>0</v>
      </c>
      <c r="AJ137" s="53">
        <f>SUMIF('2025 AC'!$B$3:$B$250,"*"&amp;$D137&amp;"*",'2025 AC'!E$3:E$250)</f>
        <v>0</v>
      </c>
      <c r="AK137" s="53">
        <f>SUMIF('2025 AC'!$B$3:$B$250,"*"&amp;$D137&amp;"*",'2025 AC'!F$3:F$250)</f>
        <v>0</v>
      </c>
      <c r="AL137" s="53">
        <f>SUMIF('2025 AC'!$B$3:$B$250,"*"&amp;$D137&amp;"*",'2025 AC'!G$3:G$250)</f>
        <v>0</v>
      </c>
      <c r="AM137" s="53">
        <f>SUMIF('2025 AC'!$B$3:$B$250,"*"&amp;$D137&amp;"*",'2025 AC'!H$3:H$250)</f>
        <v>0</v>
      </c>
      <c r="AN137" s="53">
        <f>SUMIF('2025 AC'!$B$3:$B$250,"*"&amp;$D137&amp;"*",'2025 AC'!I$3:I$250)</f>
        <v>0</v>
      </c>
      <c r="AO137" s="53">
        <f>SUMIF('2025 AC'!$B$3:$B$250,"*"&amp;$D137&amp;"*",'2025 AC'!J$3:J$250)</f>
        <v>0</v>
      </c>
      <c r="AP137" s="53">
        <f>SUMIF('2025 AC'!$B$3:$B$250,"*"&amp;$D137&amp;"*",'2025 AC'!K$3:K$250)</f>
        <v>0</v>
      </c>
      <c r="AQ137" s="53">
        <f>SUMIF('2025 AC'!$B$3:$B$250,"*"&amp;$D137&amp;"*",'2025 AC'!L$3:L$250)</f>
        <v>383.39999999999998</v>
      </c>
      <c r="AR137" s="53">
        <f>SUMIF('2025 AC'!$B$3:$B$250,"*"&amp;$D137&amp;"*",'2025 AC'!M$3:M$250)</f>
        <v>500</v>
      </c>
      <c r="AS137" s="53">
        <f>SUMIF('2025 AC'!$B$3:$B$250,"*"&amp;$D137&amp;"*",'2025 AC'!N$3:N$250)</f>
        <v>613</v>
      </c>
      <c r="AT137" s="94">
        <f t="shared" si="138"/>
        <v>1851.3</v>
      </c>
      <c r="AU137" s="93">
        <f t="shared" si="90"/>
        <v>354.89999999999998</v>
      </c>
      <c r="AV137" s="93">
        <f t="shared" si="91"/>
        <v>0</v>
      </c>
      <c r="AW137" s="93">
        <f t="shared" si="92"/>
        <v>0</v>
      </c>
      <c r="AX137" s="93">
        <f t="shared" si="93"/>
        <v>1496.4000000000001</v>
      </c>
      <c r="AY137" s="92">
        <f t="shared" si="94"/>
        <v>1851.3000000000002</v>
      </c>
      <c r="BA137" s="63">
        <f>SUMIF('2026 AC'!$B$3:$B$254,"*"&amp;$D137&amp;"*",'2026 AC'!C$3:C$254)</f>
        <v>274.19999999999999</v>
      </c>
      <c r="BB137" s="53">
        <f>SUMIF('2026 AC'!$B$3:$B$254,"*"&amp;$D137&amp;"*",'2026 AC'!D$3:D$254)</f>
        <v>500</v>
      </c>
      <c r="BC137" s="53">
        <f>SUMIF('2026 AC'!$B$3:$B$254,"*"&amp;$D137&amp;"*",'2026 AC'!E$3:E$254)</f>
        <v>708</v>
      </c>
      <c r="BD137" s="53">
        <f>SUMIF('2026 AC'!$B$3:$B$254,"*"&amp;$D137&amp;"*",'2026 AC'!F$3:F$254)</f>
        <v>0</v>
      </c>
      <c r="BE137" s="53">
        <f>SUMIF('2026 AC'!$B$3:$B$254,"*"&amp;$D137&amp;"*",'2026 AC'!G$3:G$254)</f>
        <v>0</v>
      </c>
      <c r="BF137" s="53">
        <f>SUMIF('2026 AC'!$B$3:$B$254,"*"&amp;$D137&amp;"*",'2026 AC'!H$3:H$254)</f>
        <v>0</v>
      </c>
      <c r="BG137" s="53">
        <f>SUMIF('2026 AC'!$B$3:$B$254,"*"&amp;$D137&amp;"*",'2026 AC'!I$3:I$254)</f>
        <v>0</v>
      </c>
      <c r="BH137" s="53">
        <f>SUMIF('2026 AC'!$B$3:$B$254,"*"&amp;$D137&amp;"*",'2026 AC'!J$3:J$254)</f>
        <v>0</v>
      </c>
      <c r="BI137" s="53">
        <f>SUMIF('2026 AC'!$B$3:$B$254,"*"&amp;$D137&amp;"*",'2026 AC'!K$3:K$254)</f>
        <v>0</v>
      </c>
      <c r="BJ137" s="53">
        <f>SUMIF('2026 AC'!$B$3:$B$254,"*"&amp;$D137&amp;"*",'2026 AC'!L$3:L$254)</f>
        <v>0</v>
      </c>
      <c r="BK137" s="53">
        <f>SUMIF('2026 AC'!$B$3:$B$254,"*"&amp;$D137&amp;"*",'2026 AC'!M$3:M$254)</f>
        <v>0</v>
      </c>
      <c r="BL137" s="93">
        <f>SUMIF('2026 AC'!$B$3:$B$254,"*"&amp;$D137&amp;"*",'2026 AC'!N$3:N$254)</f>
        <v>0</v>
      </c>
      <c r="BM137" s="92">
        <f t="shared" si="139"/>
        <v>1482.2</v>
      </c>
      <c r="BN137" s="93">
        <f t="shared" si="96"/>
        <v>1482.2</v>
      </c>
      <c r="BO137" s="93">
        <f t="shared" si="97"/>
        <v>0</v>
      </c>
      <c r="BP137" s="93">
        <f t="shared" si="98"/>
        <v>0</v>
      </c>
      <c r="BQ137" s="93">
        <f t="shared" si="99"/>
        <v>0</v>
      </c>
      <c r="BR137" s="92">
        <f t="shared" si="100"/>
        <v>1482.2</v>
      </c>
    </row>
    <row r="138" outlineLevel="1">
      <c r="A138" t="s">
        <v>306</v>
      </c>
      <c r="B138" t="s">
        <v>307</v>
      </c>
      <c r="C138" s="34" t="s">
        <v>308</v>
      </c>
      <c r="D138" s="35" t="s">
        <v>307</v>
      </c>
      <c r="E138" s="153">
        <f t="shared" si="117"/>
        <v>0</v>
      </c>
      <c r="F138" s="153">
        <f t="shared" si="118"/>
        <v>0</v>
      </c>
      <c r="G138" s="154">
        <f t="shared" si="155"/>
        <v>1</v>
      </c>
      <c r="H138" s="153">
        <f t="shared" si="119"/>
        <v>0</v>
      </c>
      <c r="I138" s="153">
        <f t="shared" si="120"/>
        <v>0</v>
      </c>
      <c r="J138" s="154">
        <f>IFERROR((H138-I138)/I138,1)</f>
        <v>1</v>
      </c>
      <c r="K138" s="153">
        <f t="shared" si="122"/>
        <v>4500</v>
      </c>
      <c r="L138" s="153">
        <f t="shared" si="123"/>
        <v>0</v>
      </c>
      <c r="M138" s="155">
        <f>IFERROR((K138-L138)/L138,1)</f>
        <v>1</v>
      </c>
      <c r="O138" s="63">
        <f>SUMIF('2024 AC'!$B$3:$B$250,"*"&amp;$D138&amp;"*",'2024 AC'!C$3:C$250)</f>
        <v>0</v>
      </c>
      <c r="P138" s="53">
        <f>SUMIF('2024 AC'!$B$3:$B$250,"*"&amp;$D138&amp;"*",'2024 AC'!D$3:D$250)</f>
        <v>0</v>
      </c>
      <c r="Q138" s="53">
        <f>SUMIF('2024 AC'!$B$3:$B$250,"*"&amp;$D138&amp;"*",'2024 AC'!E$3:E$250)</f>
        <v>0</v>
      </c>
      <c r="R138" s="53">
        <f>SUMIF('2024 AC'!$B$3:$B$250,"*"&amp;$D138&amp;"*",'2024 AC'!F$3:F$250)</f>
        <v>0</v>
      </c>
      <c r="S138" s="53">
        <f>SUMIF('2024 AC'!$B$3:$B$250,"*"&amp;$D138&amp;"*",'2024 AC'!G$3:G$250)</f>
        <v>0</v>
      </c>
      <c r="T138" s="53">
        <f>SUMIF('2024 AC'!$B$3:$B$250,"*"&amp;$D138&amp;"*",'2024 AC'!H$3:H$250)</f>
        <v>0</v>
      </c>
      <c r="U138" s="53">
        <f>SUMIF('2024 AC'!$B$3:$B$250,"*"&amp;$D138&amp;"*",'2024 AC'!I$3:I$250)</f>
        <v>0</v>
      </c>
      <c r="V138" s="53">
        <f>SUMIF('2024 AC'!$B$3:$B$250,"*"&amp;$D138&amp;"*",'2024 AC'!J$3:J$250)</f>
        <v>0</v>
      </c>
      <c r="W138" s="53">
        <f>SUMIF('2024 AC'!$B$3:$B$250,"*"&amp;$D138&amp;"*",'2024 AC'!K$3:K$250)</f>
        <v>0</v>
      </c>
      <c r="X138" s="53">
        <f>SUMIF('2024 AC'!$B$3:$B$250,"*"&amp;$D138&amp;"*",'2024 AC'!L$3:L$250)</f>
        <v>0</v>
      </c>
      <c r="Y138" s="53">
        <f>SUMIF('2024 AC'!$B$3:$B$250,"*"&amp;$D138&amp;"*",'2024 AC'!M$3:M$250)</f>
        <v>0</v>
      </c>
      <c r="Z138" s="93">
        <f>SUMIF('2024 AC'!$B$3:$B$250,"*"&amp;$D138&amp;"*",'2024 AC'!N$3:N$250)</f>
        <v>0</v>
      </c>
      <c r="AA138" s="92">
        <f t="shared" ref="AA138:AA201" si="156">SUM(O138:Z138)</f>
        <v>0</v>
      </c>
      <c r="AB138" s="93">
        <f t="shared" ref="AB138:AB201" si="157">SUM(O138:Q138)</f>
        <v>0</v>
      </c>
      <c r="AC138" s="93">
        <f t="shared" ref="AC138:AC201" si="158">SUM(R138:T138)</f>
        <v>0</v>
      </c>
      <c r="AD138" s="93">
        <f t="shared" ref="AD138:AD201" si="159">SUM(U138:W138)</f>
        <v>0</v>
      </c>
      <c r="AE138" s="93">
        <f t="shared" ref="AE138:AE201" si="160">SUM(X138:Z138)</f>
        <v>0</v>
      </c>
      <c r="AF138" s="92">
        <f t="shared" ref="AF138:AF201" si="161">SUM(AB138:AE138)</f>
        <v>0</v>
      </c>
      <c r="AH138" s="63">
        <f>SUMIF('2025 AC'!$B$3:$B$250,"*"&amp;$D138&amp;"*",'2025 AC'!C$3:C$250)</f>
        <v>0</v>
      </c>
      <c r="AI138" s="53">
        <f>SUMIF('2025 AC'!$B$3:$B$250,"*"&amp;$D138&amp;"*",'2025 AC'!D$3:D$250)</f>
        <v>0</v>
      </c>
      <c r="AJ138" s="53">
        <f>SUMIF('2025 AC'!$B$3:$B$250,"*"&amp;$D138&amp;"*",'2025 AC'!E$3:E$250)</f>
        <v>0</v>
      </c>
      <c r="AK138" s="53">
        <f>SUMIF('2025 AC'!$B$3:$B$250,"*"&amp;$D138&amp;"*",'2025 AC'!F$3:F$250)</f>
        <v>0</v>
      </c>
      <c r="AL138" s="53">
        <f>SUMIF('2025 AC'!$B$3:$B$250,"*"&amp;$D138&amp;"*",'2025 AC'!G$3:G$250)</f>
        <v>0</v>
      </c>
      <c r="AM138" s="53">
        <f>SUMIF('2025 AC'!$B$3:$B$250,"*"&amp;$D138&amp;"*",'2025 AC'!H$3:H$250)</f>
        <v>0</v>
      </c>
      <c r="AN138" s="53">
        <f>SUMIF('2025 AC'!$B$3:$B$250,"*"&amp;$D138&amp;"*",'2025 AC'!I$3:I$250)</f>
        <v>0</v>
      </c>
      <c r="AO138" s="53">
        <f>SUMIF('2025 AC'!$B$3:$B$250,"*"&amp;$D138&amp;"*",'2025 AC'!J$3:J$250)</f>
        <v>0</v>
      </c>
      <c r="AP138" s="53">
        <f>SUMIF('2025 AC'!$B$3:$B$250,"*"&amp;$D138&amp;"*",'2025 AC'!K$3:K$250)</f>
        <v>0</v>
      </c>
      <c r="AQ138" s="53">
        <f>SUMIF('2025 AC'!$B$3:$B$250,"*"&amp;$D138&amp;"*",'2025 AC'!L$3:L$250)</f>
        <v>0</v>
      </c>
      <c r="AR138" s="53">
        <f>SUMIF('2025 AC'!$B$3:$B$250,"*"&amp;$D138&amp;"*",'2025 AC'!M$3:M$250)</f>
        <v>4000</v>
      </c>
      <c r="AS138" s="53">
        <f>SUMIF('2025 AC'!$B$3:$B$250,"*"&amp;$D138&amp;"*",'2025 AC'!N$3:N$250)</f>
        <v>0</v>
      </c>
      <c r="AT138" s="94">
        <f t="shared" si="138"/>
        <v>4000</v>
      </c>
      <c r="AU138" s="93">
        <f t="shared" ref="AU138:AU201" si="162">SUM(AH138:AJ138)</f>
        <v>0</v>
      </c>
      <c r="AV138" s="93">
        <f t="shared" ref="AV138:AV201" si="163">SUM(AK138:AM138)</f>
        <v>0</v>
      </c>
      <c r="AW138" s="93">
        <f t="shared" ref="AW138:AW201" si="164">SUM(AN138:AP138)</f>
        <v>0</v>
      </c>
      <c r="AX138" s="93">
        <f t="shared" ref="AX138:AX201" si="165">SUM(AQ138:AS138)</f>
        <v>4000</v>
      </c>
      <c r="AY138" s="92">
        <f t="shared" ref="AY138:AY201" si="166">SUM(AU138:AX138)</f>
        <v>4000</v>
      </c>
      <c r="BA138" s="63">
        <f>SUMIF('2026 AC'!$B$3:$B$254,"*"&amp;$D138&amp;"*",'2026 AC'!C$3:C$254)</f>
        <v>0</v>
      </c>
      <c r="BB138" s="53">
        <f>SUMIF('2026 AC'!$B$3:$B$254,"*"&amp;$D138&amp;"*",'2026 AC'!D$3:D$254)</f>
        <v>0</v>
      </c>
      <c r="BC138" s="53">
        <f>SUMIF('2026 AC'!$B$3:$B$254,"*"&amp;$D138&amp;"*",'2026 AC'!E$3:E$254)</f>
        <v>4500</v>
      </c>
      <c r="BD138" s="53">
        <f>SUMIF('2026 AC'!$B$3:$B$254,"*"&amp;$D138&amp;"*",'2026 AC'!F$3:F$254)</f>
        <v>0</v>
      </c>
      <c r="BE138" s="53">
        <f>SUMIF('2026 AC'!$B$3:$B$254,"*"&amp;$D138&amp;"*",'2026 AC'!G$3:G$254)</f>
        <v>0</v>
      </c>
      <c r="BF138" s="53">
        <f>SUMIF('2026 AC'!$B$3:$B$254,"*"&amp;$D138&amp;"*",'2026 AC'!H$3:H$254)</f>
        <v>0</v>
      </c>
      <c r="BG138" s="53">
        <f>SUMIF('2026 AC'!$B$3:$B$254,"*"&amp;$D138&amp;"*",'2026 AC'!I$3:I$254)</f>
        <v>0</v>
      </c>
      <c r="BH138" s="53">
        <f>SUMIF('2026 AC'!$B$3:$B$254,"*"&amp;$D138&amp;"*",'2026 AC'!J$3:J$254)</f>
        <v>0</v>
      </c>
      <c r="BI138" s="53">
        <f>SUMIF('2026 AC'!$B$3:$B$254,"*"&amp;$D138&amp;"*",'2026 AC'!K$3:K$254)</f>
        <v>0</v>
      </c>
      <c r="BJ138" s="53">
        <f>SUMIF('2026 AC'!$B$3:$B$254,"*"&amp;$D138&amp;"*",'2026 AC'!L$3:L$254)</f>
        <v>0</v>
      </c>
      <c r="BK138" s="53">
        <f>SUMIF('2026 AC'!$B$3:$B$254,"*"&amp;$D138&amp;"*",'2026 AC'!M$3:M$254)</f>
        <v>0</v>
      </c>
      <c r="BL138" s="93">
        <f>SUMIF('2026 AC'!$B$3:$B$254,"*"&amp;$D138&amp;"*",'2026 AC'!N$3:N$254)</f>
        <v>0</v>
      </c>
      <c r="BM138" s="92">
        <f t="shared" si="139"/>
        <v>4500</v>
      </c>
      <c r="BN138" s="93">
        <f t="shared" ref="BN138:BN201" si="167">SUM(BA138:BC138)</f>
        <v>4500</v>
      </c>
      <c r="BO138" s="93">
        <f t="shared" ref="BO138:BO201" si="168">SUM(BD138:BF138)</f>
        <v>0</v>
      </c>
      <c r="BP138" s="93">
        <f t="shared" ref="BP138:BP201" si="169">SUM(BG138:BI138)</f>
        <v>0</v>
      </c>
      <c r="BQ138" s="93">
        <f t="shared" ref="BQ138:BQ201" si="170">SUM(BJ138:BL138)</f>
        <v>0</v>
      </c>
      <c r="BR138" s="92">
        <f t="shared" ref="BR138:BR201" si="171">SUM(BN138:BQ138)</f>
        <v>4500</v>
      </c>
    </row>
    <row r="139" outlineLevel="1">
      <c r="A139" t="s">
        <v>309</v>
      </c>
      <c r="B139" t="s">
        <v>310</v>
      </c>
      <c r="C139" s="52" t="s">
        <v>311</v>
      </c>
      <c r="D139" s="35" t="s">
        <v>310</v>
      </c>
      <c r="E139" s="151">
        <f t="shared" si="117"/>
        <v>2149.5999999999999</v>
      </c>
      <c r="F139" s="152">
        <f t="shared" si="118"/>
        <v>1508</v>
      </c>
      <c r="G139" s="54">
        <f t="shared" ref="G139:G146" si="172">(E139-F139)/F139</f>
        <v>0.42546419098143229</v>
      </c>
      <c r="H139" s="153">
        <f t="shared" si="119"/>
        <v>5153.1999999999998</v>
      </c>
      <c r="I139" s="153">
        <f t="shared" si="120"/>
        <v>4581.1199999999999</v>
      </c>
      <c r="J139" s="54">
        <f t="shared" ref="J139:J146" si="173">(H139-I139)/I139</f>
        <v>0.12487775915060072</v>
      </c>
      <c r="K139" s="153">
        <f t="shared" si="122"/>
        <v>23327.949999999997</v>
      </c>
      <c r="L139" s="153">
        <f t="shared" si="123"/>
        <v>21080.02</v>
      </c>
      <c r="M139" s="55">
        <f t="shared" ref="M139:M146" si="174">(K139-L139)/L139</f>
        <v>0.10663794436627654</v>
      </c>
      <c r="O139" s="63">
        <f>SUMIF('2024 AC'!$B$3:$B$250,"*"&amp;$D139&amp;"*",'2024 AC'!C$3:C$250)</f>
        <v>6403.8000000000002</v>
      </c>
      <c r="P139" s="53">
        <f>SUMIF('2024 AC'!$B$3:$B$250,"*"&amp;$D139&amp;"*",'2024 AC'!D$3:D$250)</f>
        <v>800</v>
      </c>
      <c r="Q139" s="53">
        <f>SUMIF('2024 AC'!$B$3:$B$250,"*"&amp;$D139&amp;"*",'2024 AC'!E$3:E$250)</f>
        <v>593</v>
      </c>
      <c r="R139" s="53">
        <f>SUMIF('2024 AC'!$B$3:$B$250,"*"&amp;$D139&amp;"*",'2024 AC'!F$3:F$250)</f>
        <v>1461</v>
      </c>
      <c r="S139" s="53">
        <f>SUMIF('2024 AC'!$B$3:$B$250,"*"&amp;$D139&amp;"*",'2024 AC'!G$3:G$250)</f>
        <v>1383</v>
      </c>
      <c r="T139" s="53">
        <f>SUMIF('2024 AC'!$B$3:$B$250,"*"&amp;$D139&amp;"*",'2024 AC'!H$3:H$250)</f>
        <v>2753</v>
      </c>
      <c r="U139" s="53">
        <f>SUMIF('2024 AC'!$B$3:$B$250,"*"&amp;$D139&amp;"*",'2024 AC'!I$3:I$250)</f>
        <v>1551</v>
      </c>
      <c r="V139" s="53">
        <f>SUMIF('2024 AC'!$B$3:$B$250,"*"&amp;$D139&amp;"*",'2024 AC'!J$3:J$250)</f>
        <v>2073</v>
      </c>
      <c r="W139" s="53">
        <f>SUMIF('2024 AC'!$B$3:$B$250,"*"&amp;$D139&amp;"*",'2024 AC'!K$3:K$250)</f>
        <v>467</v>
      </c>
      <c r="X139" s="53">
        <f>SUMIF('2024 AC'!$B$3:$B$250,"*"&amp;$D139&amp;"*",'2024 AC'!L$3:L$250)</f>
        <v>1254</v>
      </c>
      <c r="Y139" s="53">
        <f>SUMIF('2024 AC'!$B$3:$B$250,"*"&amp;$D139&amp;"*",'2024 AC'!M$3:M$250)</f>
        <v>1664</v>
      </c>
      <c r="Z139" s="93">
        <f>SUMIF('2024 AC'!$B$3:$B$250,"*"&amp;$D139&amp;"*",'2024 AC'!N$3:N$250)</f>
        <v>653</v>
      </c>
      <c r="AA139" s="92">
        <f t="shared" si="156"/>
        <v>21055.799999999999</v>
      </c>
      <c r="AB139" s="93">
        <f t="shared" si="157"/>
        <v>7796.8000000000002</v>
      </c>
      <c r="AC139" s="93">
        <f t="shared" si="158"/>
        <v>5597</v>
      </c>
      <c r="AD139" s="93">
        <f t="shared" si="159"/>
        <v>4091</v>
      </c>
      <c r="AE139" s="93">
        <f t="shared" si="160"/>
        <v>3571</v>
      </c>
      <c r="AF139" s="92">
        <f t="shared" si="161"/>
        <v>21055.799999999999</v>
      </c>
      <c r="AH139" s="63">
        <f>SUMIF('2025 AC'!$B$3:$B$250,"*"&amp;$D139&amp;"*",'2025 AC'!C$3:C$250)</f>
        <v>7218</v>
      </c>
      <c r="AI139" s="53">
        <f>SUMIF('2025 AC'!$B$3:$B$250,"*"&amp;$D139&amp;"*",'2025 AC'!D$3:D$250)</f>
        <v>7203.6000000000004</v>
      </c>
      <c r="AJ139" s="53">
        <f>SUMIF('2025 AC'!$B$3:$B$250,"*"&amp;$D139&amp;"*",'2025 AC'!E$3:E$250)</f>
        <v>2077.3000000000002</v>
      </c>
      <c r="AK139" s="53">
        <f>SUMIF('2025 AC'!$B$3:$B$250,"*"&amp;$D139&amp;"*",'2025 AC'!F$3:F$250)</f>
        <v>1180</v>
      </c>
      <c r="AL139" s="53">
        <f>SUMIF('2025 AC'!$B$3:$B$250,"*"&amp;$D139&amp;"*",'2025 AC'!G$3:G$250)</f>
        <v>1893.1199999999999</v>
      </c>
      <c r="AM139" s="53">
        <f>SUMIF('2025 AC'!$B$3:$B$250,"*"&amp;$D139&amp;"*",'2025 AC'!H$3:H$250)</f>
        <v>1508</v>
      </c>
      <c r="AN139" s="53">
        <f>SUMIF('2025 AC'!$B$3:$B$250,"*"&amp;$D139&amp;"*",'2025 AC'!I$3:I$250)</f>
        <v>459.5</v>
      </c>
      <c r="AO139" s="53">
        <f>SUMIF('2025 AC'!$B$3:$B$250,"*"&amp;$D139&amp;"*",'2025 AC'!J$3:J$250)</f>
        <v>2506.1999999999998</v>
      </c>
      <c r="AP139" s="53">
        <f>SUMIF('2025 AC'!$B$3:$B$250,"*"&amp;$D139&amp;"*",'2025 AC'!K$3:K$250)</f>
        <v>913</v>
      </c>
      <c r="AQ139" s="53">
        <f>SUMIF('2025 AC'!$B$3:$B$250,"*"&amp;$D139&amp;"*",'2025 AC'!L$3:L$250)</f>
        <v>913</v>
      </c>
      <c r="AR139" s="53">
        <f>SUMIF('2025 AC'!$B$3:$B$250,"*"&amp;$D139&amp;"*",'2025 AC'!M$3:M$250)</f>
        <v>1095.0999999999999</v>
      </c>
      <c r="AS139" s="53">
        <f>SUMIF('2025 AC'!$B$3:$B$250,"*"&amp;$D139&amp;"*",'2025 AC'!N$3:N$250)</f>
        <v>1594.4000000000001</v>
      </c>
      <c r="AT139" s="94">
        <f t="shared" si="138"/>
        <v>28561.220000000001</v>
      </c>
      <c r="AU139" s="93">
        <f t="shared" si="162"/>
        <v>16498.900000000001</v>
      </c>
      <c r="AV139" s="93">
        <f t="shared" si="163"/>
        <v>4581.1199999999999</v>
      </c>
      <c r="AW139" s="93">
        <f t="shared" si="164"/>
        <v>3878.6999999999998</v>
      </c>
      <c r="AX139" s="93">
        <f t="shared" si="165"/>
        <v>3602.5</v>
      </c>
      <c r="AY139" s="92">
        <f t="shared" si="166"/>
        <v>28561.220000000001</v>
      </c>
      <c r="BA139" s="63">
        <f>SUMIF('2026 AC'!$B$3:$B$254,"*"&amp;$D139&amp;"*",'2026 AC'!C$3:C$254)</f>
        <v>1685.8399999999999</v>
      </c>
      <c r="BB139" s="53">
        <f>SUMIF('2026 AC'!$B$3:$B$254,"*"&amp;$D139&amp;"*",'2026 AC'!D$3:D$254)</f>
        <v>15511.709999999999</v>
      </c>
      <c r="BC139" s="53">
        <f>SUMIF('2026 AC'!$B$3:$B$254,"*"&amp;$D139&amp;"*",'2026 AC'!E$3:E$254)</f>
        <v>977.20000000000005</v>
      </c>
      <c r="BD139" s="53">
        <f>SUMIF('2026 AC'!$B$3:$B$254,"*"&amp;$D139&amp;"*",'2026 AC'!F$3:F$254)</f>
        <v>1844.0999999999999</v>
      </c>
      <c r="BE139" s="53">
        <f>SUMIF('2026 AC'!$B$3:$B$254,"*"&amp;$D139&amp;"*",'2026 AC'!G$3:G$254)</f>
        <v>1159.5</v>
      </c>
      <c r="BF139" s="53">
        <f>SUMIF('2026 AC'!$B$3:$B$254,"*"&amp;$D139&amp;"*",'2026 AC'!H$3:H$254)</f>
        <v>2149.5999999999999</v>
      </c>
      <c r="BG139" s="53">
        <f>SUMIF('2026 AC'!$B$3:$B$254,"*"&amp;$D139&amp;"*",'2026 AC'!I$3:I$254)</f>
        <v>0</v>
      </c>
      <c r="BH139" s="53">
        <f>SUMIF('2026 AC'!$B$3:$B$254,"*"&amp;$D139&amp;"*",'2026 AC'!J$3:J$254)</f>
        <v>0</v>
      </c>
      <c r="BI139" s="53">
        <f>SUMIF('2026 AC'!$B$3:$B$254,"*"&amp;$D139&amp;"*",'2026 AC'!K$3:K$254)</f>
        <v>0</v>
      </c>
      <c r="BJ139" s="53">
        <f>SUMIF('2026 AC'!$B$3:$B$254,"*"&amp;$D139&amp;"*",'2026 AC'!L$3:L$254)</f>
        <v>0</v>
      </c>
      <c r="BK139" s="53">
        <f>SUMIF('2026 AC'!$B$3:$B$254,"*"&amp;$D139&amp;"*",'2026 AC'!M$3:M$254)</f>
        <v>0</v>
      </c>
      <c r="BL139" s="93">
        <f>SUMIF('2026 AC'!$B$3:$B$254,"*"&amp;$D139&amp;"*",'2026 AC'!N$3:N$254)</f>
        <v>0</v>
      </c>
      <c r="BM139" s="92">
        <f t="shared" si="139"/>
        <v>23327.949999999997</v>
      </c>
      <c r="BN139" s="93">
        <f t="shared" si="167"/>
        <v>18174.75</v>
      </c>
      <c r="BO139" s="93">
        <f t="shared" si="168"/>
        <v>5153.1999999999998</v>
      </c>
      <c r="BP139" s="93">
        <f t="shared" si="169"/>
        <v>0</v>
      </c>
      <c r="BQ139" s="93">
        <f t="shared" si="170"/>
        <v>0</v>
      </c>
      <c r="BR139" s="92">
        <f t="shared" si="171"/>
        <v>23327.950000000001</v>
      </c>
    </row>
    <row r="140" outlineLevel="1">
      <c r="A140" t="s">
        <v>312</v>
      </c>
      <c r="B140" t="s">
        <v>313</v>
      </c>
      <c r="C140" s="34" t="s">
        <v>314</v>
      </c>
      <c r="D140" s="35" t="s">
        <v>313</v>
      </c>
      <c r="E140" s="151">
        <f t="shared" si="117"/>
        <v>0</v>
      </c>
      <c r="F140" s="152">
        <f t="shared" si="118"/>
        <v>0</v>
      </c>
      <c r="G140" s="54" t="e">
        <f t="shared" si="172"/>
        <v>#DIV/0!</v>
      </c>
      <c r="H140" s="153">
        <f t="shared" si="119"/>
        <v>0</v>
      </c>
      <c r="I140" s="153">
        <f t="shared" si="120"/>
        <v>0</v>
      </c>
      <c r="J140" s="54" t="e">
        <f t="shared" si="173"/>
        <v>#DIV/0!</v>
      </c>
      <c r="K140" s="153">
        <f t="shared" si="122"/>
        <v>0</v>
      </c>
      <c r="L140" s="153">
        <f t="shared" si="123"/>
        <v>-912</v>
      </c>
      <c r="M140" s="55">
        <f t="shared" si="174"/>
        <v>-1</v>
      </c>
      <c r="O140" s="63">
        <f>SUMIF('2024 AC'!$B$3:$B$250,"*"&amp;$D140&amp;"*",'2024 AC'!C$3:C$250)</f>
        <v>-1000</v>
      </c>
      <c r="P140" s="53">
        <f>SUMIF('2024 AC'!$B$3:$B$250,"*"&amp;$D140&amp;"*",'2024 AC'!D$3:D$250)</f>
        <v>-330</v>
      </c>
      <c r="Q140" s="53">
        <f>SUMIF('2024 AC'!$B$3:$B$250,"*"&amp;$D140&amp;"*",'2024 AC'!E$3:E$250)</f>
        <v>-328</v>
      </c>
      <c r="R140" s="53">
        <f>SUMIF('2024 AC'!$B$3:$B$250,"*"&amp;$D140&amp;"*",'2024 AC'!F$3:F$250)</f>
        <v>-550</v>
      </c>
      <c r="S140" s="53">
        <f>SUMIF('2024 AC'!$B$3:$B$250,"*"&amp;$D140&amp;"*",'2024 AC'!G$3:G$250)</f>
        <v>-180</v>
      </c>
      <c r="T140" s="53">
        <f>SUMIF('2024 AC'!$B$3:$B$250,"*"&amp;$D140&amp;"*",'2024 AC'!H$3:H$250)</f>
        <v>-764</v>
      </c>
      <c r="U140" s="53">
        <f>SUMIF('2024 AC'!$B$3:$B$250,"*"&amp;$D140&amp;"*",'2024 AC'!I$3:I$250)</f>
        <v>-390</v>
      </c>
      <c r="V140" s="53">
        <f>SUMIF('2024 AC'!$B$3:$B$250,"*"&amp;$D140&amp;"*",'2024 AC'!J$3:J$250)</f>
        <v>-150</v>
      </c>
      <c r="W140" s="53">
        <f>SUMIF('2024 AC'!$B$3:$B$250,"*"&amp;$D140&amp;"*",'2024 AC'!K$3:K$250)</f>
        <v>-460</v>
      </c>
      <c r="X140" s="53">
        <f>SUMIF('2024 AC'!$B$3:$B$250,"*"&amp;$D140&amp;"*",'2024 AC'!L$3:L$250)</f>
        <v>-120</v>
      </c>
      <c r="Y140" s="53">
        <f>SUMIF('2024 AC'!$B$3:$B$250,"*"&amp;$D140&amp;"*",'2024 AC'!M$3:M$250)</f>
        <v>-240</v>
      </c>
      <c r="Z140" s="93">
        <f>SUMIF('2024 AC'!$B$3:$B$250,"*"&amp;$D140&amp;"*",'2024 AC'!N$3:N$250)</f>
        <v>-674</v>
      </c>
      <c r="AA140" s="92">
        <f t="shared" si="156"/>
        <v>-5186</v>
      </c>
      <c r="AB140" s="93">
        <f t="shared" si="157"/>
        <v>-1658</v>
      </c>
      <c r="AC140" s="93">
        <f t="shared" si="158"/>
        <v>-1494</v>
      </c>
      <c r="AD140" s="93">
        <f t="shared" si="159"/>
        <v>-1000</v>
      </c>
      <c r="AE140" s="93">
        <f t="shared" si="160"/>
        <v>-1034</v>
      </c>
      <c r="AF140" s="92">
        <f t="shared" si="161"/>
        <v>-5186</v>
      </c>
      <c r="AH140" s="63">
        <f>SUMIF('2025 AC'!$B$3:$B$250,"*"&amp;$D140&amp;"*",'2025 AC'!C$3:C$250)</f>
        <v>-544</v>
      </c>
      <c r="AI140" s="53">
        <f>SUMIF('2025 AC'!$B$3:$B$250,"*"&amp;$D140&amp;"*",'2025 AC'!D$3:D$250)</f>
        <v>-268</v>
      </c>
      <c r="AJ140" s="53">
        <f>SUMIF('2025 AC'!$B$3:$B$250,"*"&amp;$D140&amp;"*",'2025 AC'!E$3:E$250)</f>
        <v>-100</v>
      </c>
      <c r="AK140" s="53">
        <f>SUMIF('2025 AC'!$B$3:$B$250,"*"&amp;$D140&amp;"*",'2025 AC'!F$3:F$250)</f>
        <v>0</v>
      </c>
      <c r="AL140" s="53">
        <f>SUMIF('2025 AC'!$B$3:$B$250,"*"&amp;$D140&amp;"*",'2025 AC'!G$3:G$250)</f>
        <v>0</v>
      </c>
      <c r="AM140" s="53">
        <f>SUMIF('2025 AC'!$B$3:$B$250,"*"&amp;$D140&amp;"*",'2025 AC'!H$3:H$250)</f>
        <v>0</v>
      </c>
      <c r="AN140" s="53">
        <f>SUMIF('2025 AC'!$B$3:$B$250,"*"&amp;$D140&amp;"*",'2025 AC'!I$3:I$250)</f>
        <v>0</v>
      </c>
      <c r="AO140" s="53">
        <f>SUMIF('2025 AC'!$B$3:$B$250,"*"&amp;$D140&amp;"*",'2025 AC'!J$3:J$250)</f>
        <v>0</v>
      </c>
      <c r="AP140" s="53">
        <f>SUMIF('2025 AC'!$B$3:$B$250,"*"&amp;$D140&amp;"*",'2025 AC'!K$3:K$250)</f>
        <v>0</v>
      </c>
      <c r="AQ140" s="53">
        <f>SUMIF('2025 AC'!$B$3:$B$250,"*"&amp;$D140&amp;"*",'2025 AC'!L$3:L$250)</f>
        <v>0</v>
      </c>
      <c r="AR140" s="53">
        <f>SUMIF('2025 AC'!$B$3:$B$250,"*"&amp;$D140&amp;"*",'2025 AC'!M$3:M$250)</f>
        <v>0</v>
      </c>
      <c r="AS140" s="53">
        <f>SUMIF('2025 AC'!$B$3:$B$250,"*"&amp;$D140&amp;"*",'2025 AC'!N$3:N$250)</f>
        <v>912</v>
      </c>
      <c r="AT140" s="94">
        <f t="shared" si="138"/>
        <v>0</v>
      </c>
      <c r="AU140" s="93">
        <f t="shared" si="162"/>
        <v>-912</v>
      </c>
      <c r="AV140" s="93">
        <f t="shared" si="163"/>
        <v>0</v>
      </c>
      <c r="AW140" s="93">
        <f t="shared" si="164"/>
        <v>0</v>
      </c>
      <c r="AX140" s="93">
        <f t="shared" si="165"/>
        <v>912</v>
      </c>
      <c r="AY140" s="92">
        <f t="shared" si="166"/>
        <v>0</v>
      </c>
      <c r="BA140" s="63">
        <f>SUMIF('2026 AC'!$B$3:$B$254,"*"&amp;$D140&amp;"*",'2026 AC'!C$3:C$254)</f>
        <v>0</v>
      </c>
      <c r="BB140" s="53">
        <f>SUMIF('2026 AC'!$B$3:$B$254,"*"&amp;$D140&amp;"*",'2026 AC'!D$3:D$254)</f>
        <v>0</v>
      </c>
      <c r="BC140" s="53">
        <f>SUMIF('2026 AC'!$B$3:$B$254,"*"&amp;$D140&amp;"*",'2026 AC'!E$3:E$254)</f>
        <v>0</v>
      </c>
      <c r="BD140" s="53">
        <f>SUMIF('2026 AC'!$B$3:$B$254,"*"&amp;$D140&amp;"*",'2026 AC'!F$3:F$254)</f>
        <v>0</v>
      </c>
      <c r="BE140" s="53">
        <f>SUMIF('2026 AC'!$B$3:$B$254,"*"&amp;$D140&amp;"*",'2026 AC'!G$3:G$254)</f>
        <v>0</v>
      </c>
      <c r="BF140" s="53">
        <f>SUMIF('2026 AC'!$B$3:$B$254,"*"&amp;$D140&amp;"*",'2026 AC'!H$3:H$254)</f>
        <v>0</v>
      </c>
      <c r="BG140" s="53">
        <f>SUMIF('2026 AC'!$B$3:$B$254,"*"&amp;$D140&amp;"*",'2026 AC'!I$3:I$254)</f>
        <v>0</v>
      </c>
      <c r="BH140" s="53">
        <f>SUMIF('2026 AC'!$B$3:$B$254,"*"&amp;$D140&amp;"*",'2026 AC'!J$3:J$254)</f>
        <v>0</v>
      </c>
      <c r="BI140" s="53">
        <f>SUMIF('2026 AC'!$B$3:$B$254,"*"&amp;$D140&amp;"*",'2026 AC'!K$3:K$254)</f>
        <v>0</v>
      </c>
      <c r="BJ140" s="53">
        <f>SUMIF('2026 AC'!$B$3:$B$254,"*"&amp;$D140&amp;"*",'2026 AC'!L$3:L$254)</f>
        <v>0</v>
      </c>
      <c r="BK140" s="53">
        <f>SUMIF('2026 AC'!$B$3:$B$254,"*"&amp;$D140&amp;"*",'2026 AC'!M$3:M$254)</f>
        <v>0</v>
      </c>
      <c r="BL140" s="93">
        <f>SUMIF('2026 AC'!$B$3:$B$254,"*"&amp;$D140&amp;"*",'2026 AC'!N$3:N$254)</f>
        <v>0</v>
      </c>
      <c r="BM140" s="92">
        <f t="shared" si="139"/>
        <v>0</v>
      </c>
      <c r="BN140" s="93">
        <f t="shared" si="167"/>
        <v>0</v>
      </c>
      <c r="BO140" s="93">
        <f t="shared" si="168"/>
        <v>0</v>
      </c>
      <c r="BP140" s="93">
        <f t="shared" si="169"/>
        <v>0</v>
      </c>
      <c r="BQ140" s="93">
        <f t="shared" si="170"/>
        <v>0</v>
      </c>
      <c r="BR140" s="92">
        <f t="shared" si="171"/>
        <v>0</v>
      </c>
    </row>
    <row r="141" outlineLevel="1">
      <c r="A141" t="s">
        <v>315</v>
      </c>
      <c r="B141" t="s">
        <v>316</v>
      </c>
      <c r="C141" s="52" t="s">
        <v>317</v>
      </c>
      <c r="D141" s="35" t="s">
        <v>316</v>
      </c>
      <c r="E141" s="188">
        <f t="shared" si="117"/>
        <v>0</v>
      </c>
      <c r="F141" s="152">
        <f t="shared" si="118"/>
        <v>0</v>
      </c>
      <c r="G141" s="154">
        <f t="shared" ref="G141:G142" si="175">IFERROR((E141-F141)/F141,0)</f>
        <v>0</v>
      </c>
      <c r="H141" s="153">
        <f t="shared" si="119"/>
        <v>0</v>
      </c>
      <c r="I141" s="153">
        <f t="shared" si="120"/>
        <v>0</v>
      </c>
      <c r="J141" s="154">
        <f>IFERROR((H141-I141)/I141,0)</f>
        <v>0</v>
      </c>
      <c r="K141" s="153">
        <f t="shared" si="122"/>
        <v>0</v>
      </c>
      <c r="L141" s="153">
        <f t="shared" si="123"/>
        <v>0</v>
      </c>
      <c r="M141" s="155">
        <f>IFERROR((K141-L141)/L141,0)</f>
        <v>0</v>
      </c>
      <c r="O141" s="63">
        <f>SUMIF('2024 AC'!$B$3:$B$250,"*"&amp;$D141&amp;"*",'2024 AC'!C$3:C$250)</f>
        <v>0</v>
      </c>
      <c r="P141" s="53">
        <f>SUMIF('2024 AC'!$B$3:$B$250,"*"&amp;$D141&amp;"*",'2024 AC'!D$3:D$250)</f>
        <v>0</v>
      </c>
      <c r="Q141" s="53">
        <f>SUMIF('2024 AC'!$B$3:$B$250,"*"&amp;$D141&amp;"*",'2024 AC'!E$3:E$250)</f>
        <v>370</v>
      </c>
      <c r="R141" s="53">
        <f>SUMIF('2024 AC'!$B$3:$B$250,"*"&amp;$D141&amp;"*",'2024 AC'!F$3:F$250)</f>
        <v>0</v>
      </c>
      <c r="S141" s="53">
        <f>SUMIF('2024 AC'!$B$3:$B$250,"*"&amp;$D141&amp;"*",'2024 AC'!G$3:G$250)</f>
        <v>0</v>
      </c>
      <c r="T141" s="53">
        <f>SUMIF('2024 AC'!$B$3:$B$250,"*"&amp;$D141&amp;"*",'2024 AC'!H$3:H$250)</f>
        <v>0</v>
      </c>
      <c r="U141" s="53">
        <f>SUMIF('2024 AC'!$B$3:$B$250,"*"&amp;$D141&amp;"*",'2024 AC'!I$3:I$250)</f>
        <v>210</v>
      </c>
      <c r="V141" s="53">
        <f>SUMIF('2024 AC'!$B$3:$B$250,"*"&amp;$D141&amp;"*",'2024 AC'!J$3:J$250)</f>
        <v>0</v>
      </c>
      <c r="W141" s="53">
        <f>SUMIF('2024 AC'!$B$3:$B$250,"*"&amp;$D141&amp;"*",'2024 AC'!K$3:K$250)</f>
        <v>0</v>
      </c>
      <c r="X141" s="53">
        <f>SUMIF('2024 AC'!$B$3:$B$250,"*"&amp;$D141&amp;"*",'2024 AC'!L$3:L$250)</f>
        <v>0</v>
      </c>
      <c r="Y141" s="53">
        <f>SUMIF('2024 AC'!$B$3:$B$250,"*"&amp;$D141&amp;"*",'2024 AC'!M$3:M$250)</f>
        <v>0</v>
      </c>
      <c r="Z141" s="93">
        <f>SUMIF('2024 AC'!$B$3:$B$250,"*"&amp;$D141&amp;"*",'2024 AC'!N$3:N$250)</f>
        <v>0</v>
      </c>
      <c r="AA141" s="92">
        <f t="shared" si="156"/>
        <v>580</v>
      </c>
      <c r="AB141" s="93">
        <f t="shared" si="157"/>
        <v>370</v>
      </c>
      <c r="AC141" s="93">
        <f t="shared" si="158"/>
        <v>0</v>
      </c>
      <c r="AD141" s="93">
        <f t="shared" si="159"/>
        <v>210</v>
      </c>
      <c r="AE141" s="93">
        <f t="shared" si="160"/>
        <v>0</v>
      </c>
      <c r="AF141" s="92">
        <f t="shared" si="161"/>
        <v>580</v>
      </c>
      <c r="AH141" s="63">
        <f>SUMIF('2025 AC'!$B$3:$B$250,"*"&amp;$D141&amp;"*",'2025 AC'!C$3:C$250)</f>
        <v>0</v>
      </c>
      <c r="AI141" s="53">
        <f>SUMIF('2025 AC'!$B$3:$B$250,"*"&amp;$D141&amp;"*",'2025 AC'!D$3:D$250)</f>
        <v>0</v>
      </c>
      <c r="AJ141" s="53">
        <f>SUMIF('2025 AC'!$B$3:$B$250,"*"&amp;$D141&amp;"*",'2025 AC'!E$3:E$250)</f>
        <v>0</v>
      </c>
      <c r="AK141" s="53">
        <f>SUMIF('2025 AC'!$B$3:$B$250,"*"&amp;$D141&amp;"*",'2025 AC'!F$3:F$250)</f>
        <v>0</v>
      </c>
      <c r="AL141" s="53">
        <f>SUMIF('2025 AC'!$B$3:$B$250,"*"&amp;$D141&amp;"*",'2025 AC'!G$3:G$250)</f>
        <v>0</v>
      </c>
      <c r="AM141" s="53">
        <f>SUMIF('2025 AC'!$B$3:$B$250,"*"&amp;$D141&amp;"*",'2025 AC'!H$3:H$250)</f>
        <v>0</v>
      </c>
      <c r="AN141" s="53">
        <f>SUMIF('2025 AC'!$B$3:$B$250,"*"&amp;$D141&amp;"*",'2025 AC'!I$3:I$250)</f>
        <v>0</v>
      </c>
      <c r="AO141" s="53">
        <f>SUMIF('2025 AC'!$B$3:$B$250,"*"&amp;$D141&amp;"*",'2025 AC'!J$3:J$250)</f>
        <v>647.10000000000002</v>
      </c>
      <c r="AP141" s="53">
        <f>SUMIF('2025 AC'!$B$3:$B$250,"*"&amp;$D141&amp;"*",'2025 AC'!K$3:K$250)</f>
        <v>0</v>
      </c>
      <c r="AQ141" s="53">
        <f>SUMIF('2025 AC'!$B$3:$B$250,"*"&amp;$D141&amp;"*",'2025 AC'!L$3:L$250)</f>
        <v>0</v>
      </c>
      <c r="AR141" s="53">
        <f>SUMIF('2025 AC'!$B$3:$B$250,"*"&amp;$D141&amp;"*",'2025 AC'!M$3:M$250)</f>
        <v>129.80000000000001</v>
      </c>
      <c r="AS141" s="53">
        <f>SUMIF('2025 AC'!$B$3:$B$250,"*"&amp;$D141&amp;"*",'2025 AC'!N$3:N$250)</f>
        <v>565.39999999999998</v>
      </c>
      <c r="AT141" s="94">
        <f t="shared" si="138"/>
        <v>1342.3000000000002</v>
      </c>
      <c r="AU141" s="93">
        <f t="shared" si="162"/>
        <v>0</v>
      </c>
      <c r="AV141" s="93">
        <f t="shared" si="163"/>
        <v>0</v>
      </c>
      <c r="AW141" s="93">
        <f t="shared" si="164"/>
        <v>647.10000000000002</v>
      </c>
      <c r="AX141" s="93">
        <f t="shared" si="165"/>
        <v>695.20000000000005</v>
      </c>
      <c r="AY141" s="92">
        <f t="shared" si="166"/>
        <v>1342.3000000000002</v>
      </c>
      <c r="BA141" s="63">
        <f>SUMIF('2026 AC'!$B$3:$B$254,"*"&amp;$D141&amp;"*",'2026 AC'!C$3:C$254)</f>
        <v>0</v>
      </c>
      <c r="BB141" s="53">
        <f>SUMIF('2026 AC'!$B$3:$B$254,"*"&amp;$D141&amp;"*",'2026 AC'!D$3:D$254)</f>
        <v>0</v>
      </c>
      <c r="BC141" s="53">
        <f>SUMIF('2026 AC'!$B$3:$B$254,"*"&amp;$D141&amp;"*",'2026 AC'!E$3:E$254)</f>
        <v>0</v>
      </c>
      <c r="BD141" s="53">
        <f>SUMIF('2026 AC'!$B$3:$B$254,"*"&amp;$D141&amp;"*",'2026 AC'!F$3:F$254)</f>
        <v>0</v>
      </c>
      <c r="BE141" s="53">
        <f>SUMIF('2026 AC'!$B$3:$B$254,"*"&amp;$D141&amp;"*",'2026 AC'!G$3:G$254)</f>
        <v>0</v>
      </c>
      <c r="BF141" s="53">
        <f>SUMIF('2026 AC'!$B$3:$B$254,"*"&amp;$D141&amp;"*",'2026 AC'!H$3:H$254)</f>
        <v>0</v>
      </c>
      <c r="BG141" s="53">
        <f>SUMIF('2026 AC'!$B$3:$B$254,"*"&amp;$D141&amp;"*",'2026 AC'!I$3:I$254)</f>
        <v>0</v>
      </c>
      <c r="BH141" s="53">
        <f>SUMIF('2026 AC'!$B$3:$B$254,"*"&amp;$D141&amp;"*",'2026 AC'!J$3:J$254)</f>
        <v>0</v>
      </c>
      <c r="BI141" s="53">
        <f>SUMIF('2026 AC'!$B$3:$B$254,"*"&amp;$D141&amp;"*",'2026 AC'!K$3:K$254)</f>
        <v>0</v>
      </c>
      <c r="BJ141" s="53">
        <f>SUMIF('2026 AC'!$B$3:$B$254,"*"&amp;$D141&amp;"*",'2026 AC'!L$3:L$254)</f>
        <v>0</v>
      </c>
      <c r="BK141" s="53">
        <f>SUMIF('2026 AC'!$B$3:$B$254,"*"&amp;$D141&amp;"*",'2026 AC'!M$3:M$254)</f>
        <v>0</v>
      </c>
      <c r="BL141" s="93">
        <f>SUMIF('2026 AC'!$B$3:$B$254,"*"&amp;$D141&amp;"*",'2026 AC'!N$3:N$254)</f>
        <v>0</v>
      </c>
      <c r="BM141" s="92">
        <f t="shared" si="139"/>
        <v>0</v>
      </c>
      <c r="BN141" s="93">
        <f t="shared" si="167"/>
        <v>0</v>
      </c>
      <c r="BO141" s="93">
        <f t="shared" si="168"/>
        <v>0</v>
      </c>
      <c r="BP141" s="93">
        <f t="shared" si="169"/>
        <v>0</v>
      </c>
      <c r="BQ141" s="93">
        <f t="shared" si="170"/>
        <v>0</v>
      </c>
      <c r="BR141" s="92">
        <f t="shared" si="171"/>
        <v>0</v>
      </c>
    </row>
    <row r="142" outlineLevel="1">
      <c r="A142" t="s">
        <v>318</v>
      </c>
      <c r="B142" t="s">
        <v>319</v>
      </c>
      <c r="C142" s="34" t="s">
        <v>320</v>
      </c>
      <c r="D142" s="35" t="s">
        <v>319</v>
      </c>
      <c r="E142" s="153">
        <f t="shared" si="117"/>
        <v>161.69999999999999</v>
      </c>
      <c r="F142" s="153">
        <f t="shared" si="118"/>
        <v>0</v>
      </c>
      <c r="G142" s="154">
        <f t="shared" si="175"/>
        <v>0</v>
      </c>
      <c r="H142" s="153">
        <f t="shared" si="119"/>
        <v>161.69999999999999</v>
      </c>
      <c r="I142" s="153">
        <f t="shared" si="120"/>
        <v>0</v>
      </c>
      <c r="J142" s="154">
        <f>IFERROR((H142-I142)/I142,1)</f>
        <v>1</v>
      </c>
      <c r="K142" s="153">
        <f t="shared" si="122"/>
        <v>935.90000000000009</v>
      </c>
      <c r="L142" s="153">
        <f t="shared" si="123"/>
        <v>0</v>
      </c>
      <c r="M142" s="155">
        <f>IFERROR((K142-L142)/L142,1)</f>
        <v>1</v>
      </c>
      <c r="O142" s="63">
        <f>SUMIF('2024 AC'!$B$3:$B$250,"*"&amp;$D142&amp;"*",'2024 AC'!C$3:C$250)</f>
        <v>0</v>
      </c>
      <c r="P142" s="53">
        <f>SUMIF('2024 AC'!$B$3:$B$250,"*"&amp;$D142&amp;"*",'2024 AC'!D$3:D$250)</f>
        <v>0</v>
      </c>
      <c r="Q142" s="53">
        <f>SUMIF('2024 AC'!$B$3:$B$250,"*"&amp;$D142&amp;"*",'2024 AC'!E$3:E$250)</f>
        <v>0</v>
      </c>
      <c r="R142" s="53">
        <f>SUMIF('2024 AC'!$B$3:$B$250,"*"&amp;$D142&amp;"*",'2024 AC'!F$3:F$250)</f>
        <v>0</v>
      </c>
      <c r="S142" s="53">
        <f>SUMIF('2024 AC'!$B$3:$B$250,"*"&amp;$D142&amp;"*",'2024 AC'!G$3:G$250)</f>
        <v>0</v>
      </c>
      <c r="T142" s="53">
        <f>SUMIF('2024 AC'!$B$3:$B$250,"*"&amp;$D142&amp;"*",'2024 AC'!H$3:H$250)</f>
        <v>0</v>
      </c>
      <c r="U142" s="53">
        <f>SUMIF('2024 AC'!$B$3:$B$250,"*"&amp;$D142&amp;"*",'2024 AC'!I$3:I$250)</f>
        <v>0</v>
      </c>
      <c r="V142" s="53">
        <f>SUMIF('2024 AC'!$B$3:$B$250,"*"&amp;$D142&amp;"*",'2024 AC'!J$3:J$250)</f>
        <v>0</v>
      </c>
      <c r="W142" s="53">
        <f>SUMIF('2024 AC'!$B$3:$B$250,"*"&amp;$D142&amp;"*",'2024 AC'!K$3:K$250)</f>
        <v>0</v>
      </c>
      <c r="X142" s="53">
        <f>SUMIF('2024 AC'!$B$3:$B$250,"*"&amp;$D142&amp;"*",'2024 AC'!L$3:L$250)</f>
        <v>0</v>
      </c>
      <c r="Y142" s="53">
        <f>SUMIF('2024 AC'!$B$3:$B$250,"*"&amp;$D142&amp;"*",'2024 AC'!M$3:M$250)</f>
        <v>0</v>
      </c>
      <c r="Z142" s="93">
        <f>SUMIF('2024 AC'!$B$3:$B$250,"*"&amp;$D142&amp;"*",'2024 AC'!N$3:N$250)</f>
        <v>0</v>
      </c>
      <c r="AA142" s="92">
        <f t="shared" si="156"/>
        <v>0</v>
      </c>
      <c r="AB142" s="93">
        <f t="shared" si="157"/>
        <v>0</v>
      </c>
      <c r="AC142" s="93">
        <f t="shared" si="158"/>
        <v>0</v>
      </c>
      <c r="AD142" s="93">
        <f t="shared" si="159"/>
        <v>0</v>
      </c>
      <c r="AE142" s="93">
        <f t="shared" si="160"/>
        <v>0</v>
      </c>
      <c r="AF142" s="92">
        <f t="shared" si="161"/>
        <v>0</v>
      </c>
      <c r="AH142" s="63">
        <f>SUMIF('2025 AC'!$B$3:$B$250,"*"&amp;$D142&amp;"*",'2025 AC'!C$3:C$250)</f>
        <v>0</v>
      </c>
      <c r="AI142" s="53">
        <f>SUMIF('2025 AC'!$B$3:$B$250,"*"&amp;$D142&amp;"*",'2025 AC'!D$3:D$250)</f>
        <v>0</v>
      </c>
      <c r="AJ142" s="53">
        <f>SUMIF('2025 AC'!$B$3:$B$250,"*"&amp;$D142&amp;"*",'2025 AC'!E$3:E$250)</f>
        <v>0</v>
      </c>
      <c r="AK142" s="53">
        <f>SUMIF('2025 AC'!$B$3:$B$250,"*"&amp;$D142&amp;"*",'2025 AC'!F$3:F$250)</f>
        <v>0</v>
      </c>
      <c r="AL142" s="53">
        <f>SUMIF('2025 AC'!$B$3:$B$250,"*"&amp;$D142&amp;"*",'2025 AC'!G$3:G$250)</f>
        <v>0</v>
      </c>
      <c r="AM142" s="53">
        <f>SUMIF('2025 AC'!$B$3:$B$250,"*"&amp;$D142&amp;"*",'2025 AC'!H$3:H$250)</f>
        <v>0</v>
      </c>
      <c r="AN142" s="53">
        <f>SUMIF('2025 AC'!$B$3:$B$250,"*"&amp;$D142&amp;"*",'2025 AC'!I$3:I$250)</f>
        <v>0</v>
      </c>
      <c r="AO142" s="53">
        <f>SUMIF('2025 AC'!$B$3:$B$250,"*"&amp;$D142&amp;"*",'2025 AC'!J$3:J$250)</f>
        <v>0</v>
      </c>
      <c r="AP142" s="53">
        <f>SUMIF('2025 AC'!$B$3:$B$250,"*"&amp;$D142&amp;"*",'2025 AC'!K$3:K$250)</f>
        <v>0</v>
      </c>
      <c r="AQ142" s="53">
        <f>SUMIF('2025 AC'!$B$3:$B$250,"*"&amp;$D142&amp;"*",'2025 AC'!L$3:L$250)</f>
        <v>0</v>
      </c>
      <c r="AR142" s="53">
        <f>SUMIF('2025 AC'!$B$3:$B$250,"*"&amp;$D142&amp;"*",'2025 AC'!M$3:M$250)</f>
        <v>0</v>
      </c>
      <c r="AS142" s="53">
        <f>SUMIF('2025 AC'!$B$3:$B$250,"*"&amp;$D142&amp;"*",'2025 AC'!N$3:N$250)</f>
        <v>0</v>
      </c>
      <c r="AT142" s="94">
        <f t="shared" si="138"/>
        <v>0</v>
      </c>
      <c r="AU142" s="93">
        <f t="shared" si="162"/>
        <v>0</v>
      </c>
      <c r="AV142" s="93">
        <f t="shared" si="163"/>
        <v>0</v>
      </c>
      <c r="AW142" s="93">
        <f t="shared" si="164"/>
        <v>0</v>
      </c>
      <c r="AX142" s="93">
        <f t="shared" si="165"/>
        <v>0</v>
      </c>
      <c r="AY142" s="92">
        <f t="shared" si="166"/>
        <v>0</v>
      </c>
      <c r="BA142" s="63">
        <f>SUMIF('2026 AC'!$B$3:$B$254,"*"&amp;$D142&amp;"*",'2026 AC'!C$3:C$254)</f>
        <v>0</v>
      </c>
      <c r="BB142" s="53">
        <f>SUMIF('2026 AC'!$B$3:$B$254,"*"&amp;$D142&amp;"*",'2026 AC'!D$3:D$254)</f>
        <v>774.20000000000005</v>
      </c>
      <c r="BC142" s="53">
        <f>SUMIF('2026 AC'!$B$3:$B$254,"*"&amp;$D142&amp;"*",'2026 AC'!E$3:E$254)</f>
        <v>0</v>
      </c>
      <c r="BD142" s="53">
        <f>SUMIF('2026 AC'!$B$3:$B$254,"*"&amp;$D142&amp;"*",'2026 AC'!F$3:F$254)</f>
        <v>0</v>
      </c>
      <c r="BE142" s="53">
        <f>SUMIF('2026 AC'!$B$3:$B$254,"*"&amp;$D142&amp;"*",'2026 AC'!G$3:G$254)</f>
        <v>0</v>
      </c>
      <c r="BF142" s="53">
        <f>SUMIF('2026 AC'!$B$3:$B$254,"*"&amp;$D142&amp;"*",'2026 AC'!H$3:H$254)</f>
        <v>161.69999999999999</v>
      </c>
      <c r="BG142" s="53">
        <f>SUMIF('2026 AC'!$B$3:$B$254,"*"&amp;$D142&amp;"*",'2026 AC'!I$3:I$254)</f>
        <v>0</v>
      </c>
      <c r="BH142" s="53">
        <f>SUMIF('2026 AC'!$B$3:$B$254,"*"&amp;$D142&amp;"*",'2026 AC'!J$3:J$254)</f>
        <v>0</v>
      </c>
      <c r="BI142" s="53">
        <f>SUMIF('2026 AC'!$B$3:$B$254,"*"&amp;$D142&amp;"*",'2026 AC'!K$3:K$254)</f>
        <v>0</v>
      </c>
      <c r="BJ142" s="53">
        <f>SUMIF('2026 AC'!$B$3:$B$254,"*"&amp;$D142&amp;"*",'2026 AC'!L$3:L$254)</f>
        <v>0</v>
      </c>
      <c r="BK142" s="53">
        <f>SUMIF('2026 AC'!$B$3:$B$254,"*"&amp;$D142&amp;"*",'2026 AC'!M$3:M$254)</f>
        <v>0</v>
      </c>
      <c r="BL142" s="93">
        <f>SUMIF('2026 AC'!$B$3:$B$254,"*"&amp;$D142&amp;"*",'2026 AC'!N$3:N$254)</f>
        <v>0</v>
      </c>
      <c r="BM142" s="92">
        <f t="shared" si="139"/>
        <v>935.90000000000009</v>
      </c>
      <c r="BN142" s="93">
        <f t="shared" si="167"/>
        <v>774.20000000000005</v>
      </c>
      <c r="BO142" s="93">
        <f t="shared" si="168"/>
        <v>161.69999999999999</v>
      </c>
      <c r="BP142" s="93">
        <f t="shared" si="169"/>
        <v>0</v>
      </c>
      <c r="BQ142" s="93">
        <f t="shared" si="170"/>
        <v>0</v>
      </c>
      <c r="BR142" s="92">
        <f t="shared" si="171"/>
        <v>935.90000000000009</v>
      </c>
    </row>
    <row r="143" outlineLevel="1">
      <c r="A143" t="s">
        <v>321</v>
      </c>
      <c r="B143" t="s">
        <v>322</v>
      </c>
      <c r="C143" s="34" t="s">
        <v>323</v>
      </c>
      <c r="D143" s="35" t="s">
        <v>322</v>
      </c>
      <c r="E143" s="153">
        <f t="shared" si="117"/>
        <v>0</v>
      </c>
      <c r="F143" s="153">
        <f t="shared" si="118"/>
        <v>0</v>
      </c>
      <c r="G143" s="54" t="e">
        <f t="shared" si="172"/>
        <v>#DIV/0!</v>
      </c>
      <c r="H143" s="153">
        <f t="shared" si="119"/>
        <v>812.63999999999999</v>
      </c>
      <c r="I143" s="153">
        <f t="shared" si="120"/>
        <v>0</v>
      </c>
      <c r="J143" s="54" t="e">
        <f t="shared" si="173"/>
        <v>#DIV/0!</v>
      </c>
      <c r="K143" s="153">
        <f t="shared" si="122"/>
        <v>5202.7800000000007</v>
      </c>
      <c r="L143" s="153">
        <f t="shared" si="123"/>
        <v>-1213.27</v>
      </c>
      <c r="M143" s="55">
        <f t="shared" si="174"/>
        <v>-5.2882293306518759</v>
      </c>
      <c r="O143" s="63">
        <f>SUMIF('2024 AC'!$B$3:$B$250,"*"&amp;$D143&amp;"*",'2024 AC'!C$3:C$250)</f>
        <v>0</v>
      </c>
      <c r="P143" s="53">
        <f>SUMIF('2024 AC'!$B$3:$B$250,"*"&amp;$D143&amp;"*",'2024 AC'!D$3:D$250)</f>
        <v>0</v>
      </c>
      <c r="Q143" s="53">
        <f>SUMIF('2024 AC'!$B$3:$B$250,"*"&amp;$D143&amp;"*",'2024 AC'!E$3:E$250)</f>
        <v>0</v>
      </c>
      <c r="R143" s="53">
        <f>SUMIF('2024 AC'!$B$3:$B$250,"*"&amp;$D143&amp;"*",'2024 AC'!F$3:F$250)</f>
        <v>0</v>
      </c>
      <c r="S143" s="53">
        <f>SUMIF('2024 AC'!$B$3:$B$250,"*"&amp;$D143&amp;"*",'2024 AC'!G$3:G$250)</f>
        <v>0</v>
      </c>
      <c r="T143" s="53">
        <f>SUMIF('2024 AC'!$B$3:$B$250,"*"&amp;$D143&amp;"*",'2024 AC'!H$3:H$250)</f>
        <v>0</v>
      </c>
      <c r="U143" s="53">
        <f>SUMIF('2024 AC'!$B$3:$B$250,"*"&amp;$D143&amp;"*",'2024 AC'!I$3:I$250)</f>
        <v>29840.139999999999</v>
      </c>
      <c r="V143" s="53">
        <f>SUMIF('2024 AC'!$B$3:$B$250,"*"&amp;$D143&amp;"*",'2024 AC'!J$3:J$250)</f>
        <v>0</v>
      </c>
      <c r="W143" s="53">
        <f>SUMIF('2024 AC'!$B$3:$B$250,"*"&amp;$D143&amp;"*",'2024 AC'!K$3:K$250)</f>
        <v>0</v>
      </c>
      <c r="X143" s="53">
        <f>SUMIF('2024 AC'!$B$3:$B$250,"*"&amp;$D143&amp;"*",'2024 AC'!L$3:L$250)</f>
        <v>662.25</v>
      </c>
      <c r="Y143" s="53">
        <f>SUMIF('2024 AC'!$B$3:$B$250,"*"&amp;$D143&amp;"*",'2024 AC'!M$3:M$250)</f>
        <v>-2512.8899999999999</v>
      </c>
      <c r="Z143" s="93">
        <f>SUMIF('2024 AC'!$B$3:$B$250,"*"&amp;$D143&amp;"*",'2024 AC'!N$3:N$250)</f>
        <v>422.05000000000001</v>
      </c>
      <c r="AA143" s="92">
        <f t="shared" si="156"/>
        <v>28411.549999999999</v>
      </c>
      <c r="AB143" s="93">
        <f t="shared" si="157"/>
        <v>0</v>
      </c>
      <c r="AC143" s="93">
        <f t="shared" si="158"/>
        <v>0</v>
      </c>
      <c r="AD143" s="93">
        <f t="shared" si="159"/>
        <v>29840.139999999999</v>
      </c>
      <c r="AE143" s="93">
        <f t="shared" si="160"/>
        <v>-1428.5899999999999</v>
      </c>
      <c r="AF143" s="92">
        <f t="shared" si="161"/>
        <v>28411.549999999999</v>
      </c>
      <c r="AH143" s="63">
        <f>SUMIF('2025 AC'!$B$3:$B$250,"*"&amp;$D143&amp;"*",'2025 AC'!C$3:C$250)</f>
        <v>0</v>
      </c>
      <c r="AI143" s="53">
        <f>SUMIF('2025 AC'!$B$3:$B$250,"*"&amp;$D143&amp;"*",'2025 AC'!D$3:D$250)</f>
        <v>-534.25</v>
      </c>
      <c r="AJ143" s="53">
        <f>SUMIF('2025 AC'!$B$3:$B$250,"*"&amp;$D143&amp;"*",'2025 AC'!E$3:E$250)</f>
        <v>-679.01999999999998</v>
      </c>
      <c r="AK143" s="53">
        <f>SUMIF('2025 AC'!$B$3:$B$250,"*"&amp;$D143&amp;"*",'2025 AC'!F$3:F$250)</f>
        <v>0</v>
      </c>
      <c r="AL143" s="53">
        <f>SUMIF('2025 AC'!$B$3:$B$250,"*"&amp;$D143&amp;"*",'2025 AC'!G$3:G$250)</f>
        <v>0</v>
      </c>
      <c r="AM143" s="53">
        <f>SUMIF('2025 AC'!$B$3:$B$250,"*"&amp;$D143&amp;"*",'2025 AC'!H$3:H$250)</f>
        <v>0</v>
      </c>
      <c r="AN143" s="53">
        <f>SUMIF('2025 AC'!$B$3:$B$250,"*"&amp;$D143&amp;"*",'2025 AC'!I$3:I$250)</f>
        <v>0</v>
      </c>
      <c r="AO143" s="53">
        <f>SUMIF('2025 AC'!$B$3:$B$250,"*"&amp;$D143&amp;"*",'2025 AC'!J$3:J$250)</f>
        <v>78859.100000000006</v>
      </c>
      <c r="AP143" s="53">
        <f>SUMIF('2025 AC'!$B$3:$B$250,"*"&amp;$D143&amp;"*",'2025 AC'!K$3:K$250)</f>
        <v>169.75999999999999</v>
      </c>
      <c r="AQ143" s="53">
        <f>SUMIF('2025 AC'!$B$3:$B$250,"*"&amp;$D143&amp;"*",'2025 AC'!L$3:L$250)</f>
        <v>-50.439999999999998</v>
      </c>
      <c r="AR143" s="53">
        <f>SUMIF('2025 AC'!$B$3:$B$250,"*"&amp;$D143&amp;"*",'2025 AC'!M$3:M$250)</f>
        <v>0</v>
      </c>
      <c r="AS143" s="53">
        <f>SUMIF('2025 AC'!$B$3:$B$250,"*"&amp;$D143&amp;"*",'2025 AC'!N$3:N$250)</f>
        <v>1437.5799999999999</v>
      </c>
      <c r="AT143" s="94">
        <f t="shared" si="138"/>
        <v>79202.729999999996</v>
      </c>
      <c r="AU143" s="93">
        <f t="shared" si="162"/>
        <v>-1213.27</v>
      </c>
      <c r="AV143" s="93">
        <f t="shared" si="163"/>
        <v>0</v>
      </c>
      <c r="AW143" s="93">
        <f t="shared" si="164"/>
        <v>79028.860000000001</v>
      </c>
      <c r="AX143" s="93">
        <f t="shared" si="165"/>
        <v>1387.1399999999999</v>
      </c>
      <c r="AY143" s="92">
        <f t="shared" si="166"/>
        <v>79202.729999999996</v>
      </c>
      <c r="BA143" s="63">
        <f>SUMIF('2026 AC'!$B$3:$B$254,"*"&amp;$D143&amp;"*",'2026 AC'!C$3:C$254)</f>
        <v>4390.1400000000003</v>
      </c>
      <c r="BB143" s="53">
        <f>SUMIF('2026 AC'!$B$3:$B$254,"*"&amp;$D143&amp;"*",'2026 AC'!D$3:D$254)</f>
        <v>0</v>
      </c>
      <c r="BC143" s="53">
        <f>SUMIF('2026 AC'!$B$3:$B$254,"*"&amp;$D143&amp;"*",'2026 AC'!E$3:E$254)</f>
        <v>0</v>
      </c>
      <c r="BD143" s="53">
        <f>SUMIF('2026 AC'!$B$3:$B$254,"*"&amp;$D143&amp;"*",'2026 AC'!F$3:F$254)</f>
        <v>0</v>
      </c>
      <c r="BE143" s="53">
        <f>SUMIF('2026 AC'!$B$3:$B$254,"*"&amp;$D143&amp;"*",'2026 AC'!G$3:G$254)</f>
        <v>812.63999999999999</v>
      </c>
      <c r="BF143" s="53">
        <f>SUMIF('2026 AC'!$B$3:$B$254,"*"&amp;$D143&amp;"*",'2026 AC'!H$3:H$254)</f>
        <v>0</v>
      </c>
      <c r="BG143" s="53">
        <f>SUMIF('2026 AC'!$B$3:$B$254,"*"&amp;$D143&amp;"*",'2026 AC'!I$3:I$254)</f>
        <v>0</v>
      </c>
      <c r="BH143" s="53">
        <f>SUMIF('2026 AC'!$B$3:$B$254,"*"&amp;$D143&amp;"*",'2026 AC'!J$3:J$254)</f>
        <v>0</v>
      </c>
      <c r="BI143" s="53">
        <f>SUMIF('2026 AC'!$B$3:$B$254,"*"&amp;$D143&amp;"*",'2026 AC'!K$3:K$254)</f>
        <v>0</v>
      </c>
      <c r="BJ143" s="53">
        <f>SUMIF('2026 AC'!$B$3:$B$254,"*"&amp;$D143&amp;"*",'2026 AC'!L$3:L$254)</f>
        <v>0</v>
      </c>
      <c r="BK143" s="53">
        <f>SUMIF('2026 AC'!$B$3:$B$254,"*"&amp;$D143&amp;"*",'2026 AC'!M$3:M$254)</f>
        <v>0</v>
      </c>
      <c r="BL143" s="93">
        <f>SUMIF('2026 AC'!$B$3:$B$254,"*"&amp;$D143&amp;"*",'2026 AC'!N$3:N$254)</f>
        <v>0</v>
      </c>
      <c r="BM143" s="92">
        <f t="shared" si="139"/>
        <v>5202.7800000000007</v>
      </c>
      <c r="BN143" s="93">
        <f t="shared" si="167"/>
        <v>4390.1400000000003</v>
      </c>
      <c r="BO143" s="93">
        <f t="shared" si="168"/>
        <v>812.63999999999999</v>
      </c>
      <c r="BP143" s="93">
        <f t="shared" si="169"/>
        <v>0</v>
      </c>
      <c r="BQ143" s="93">
        <f t="shared" si="170"/>
        <v>0</v>
      </c>
      <c r="BR143" s="92">
        <f t="shared" si="171"/>
        <v>5202.7800000000007</v>
      </c>
    </row>
    <row r="144" outlineLevel="1">
      <c r="A144" t="s">
        <v>324</v>
      </c>
      <c r="B144" t="s">
        <v>325</v>
      </c>
      <c r="C144" s="34" t="s">
        <v>326</v>
      </c>
      <c r="D144" s="35" t="s">
        <v>325</v>
      </c>
      <c r="E144" s="153">
        <f t="shared" si="117"/>
        <v>650</v>
      </c>
      <c r="F144" s="153">
        <f t="shared" si="118"/>
        <v>350</v>
      </c>
      <c r="G144" s="54">
        <f t="shared" si="172"/>
        <v>0.8571428571428571</v>
      </c>
      <c r="H144" s="153">
        <f t="shared" si="119"/>
        <v>1600</v>
      </c>
      <c r="I144" s="153">
        <f t="shared" si="120"/>
        <v>1520</v>
      </c>
      <c r="J144" s="54">
        <f t="shared" si="173"/>
        <v>5.2631578947368418e-02</v>
      </c>
      <c r="K144" s="153">
        <f t="shared" si="122"/>
        <v>3535</v>
      </c>
      <c r="L144" s="153">
        <f t="shared" si="123"/>
        <v>3260</v>
      </c>
      <c r="M144" s="55">
        <f t="shared" si="174"/>
        <v>8.4355828220858894e-02</v>
      </c>
      <c r="O144" s="63">
        <f>SUMIF('2024 AC'!$B$3:$B$250,"*"&amp;$D144&amp;"*",'2024 AC'!C$3:C$250)</f>
        <v>0</v>
      </c>
      <c r="P144" s="53">
        <f>SUMIF('2024 AC'!$B$3:$B$250,"*"&amp;$D144&amp;"*",'2024 AC'!D$3:D$250)</f>
        <v>450</v>
      </c>
      <c r="Q144" s="53">
        <f>SUMIF('2024 AC'!$B$3:$B$250,"*"&amp;$D144&amp;"*",'2024 AC'!E$3:E$250)</f>
        <v>450</v>
      </c>
      <c r="R144" s="53">
        <f>SUMIF('2024 AC'!$B$3:$B$250,"*"&amp;$D144&amp;"*",'2024 AC'!F$3:F$250)</f>
        <v>900</v>
      </c>
      <c r="S144" s="53">
        <f>SUMIF('2024 AC'!$B$3:$B$250,"*"&amp;$D144&amp;"*",'2024 AC'!G$3:G$250)</f>
        <v>0</v>
      </c>
      <c r="T144" s="53">
        <f>SUMIF('2024 AC'!$B$3:$B$250,"*"&amp;$D144&amp;"*",'2024 AC'!H$3:H$250)</f>
        <v>0</v>
      </c>
      <c r="U144" s="53">
        <f>SUMIF('2024 AC'!$B$3:$B$250,"*"&amp;$D144&amp;"*",'2024 AC'!I$3:I$250)</f>
        <v>900</v>
      </c>
      <c r="V144" s="53">
        <f>SUMIF('2024 AC'!$B$3:$B$250,"*"&amp;$D144&amp;"*",'2024 AC'!J$3:J$250)</f>
        <v>900</v>
      </c>
      <c r="W144" s="53">
        <f>SUMIF('2024 AC'!$B$3:$B$250,"*"&amp;$D144&amp;"*",'2024 AC'!K$3:K$250)</f>
        <v>450</v>
      </c>
      <c r="X144" s="53">
        <f>SUMIF('2024 AC'!$B$3:$B$250,"*"&amp;$D144&amp;"*",'2024 AC'!L$3:L$250)</f>
        <v>600</v>
      </c>
      <c r="Y144" s="53">
        <f>SUMIF('2024 AC'!$B$3:$B$250,"*"&amp;$D144&amp;"*",'2024 AC'!M$3:M$250)</f>
        <v>600</v>
      </c>
      <c r="Z144" s="93">
        <f>SUMIF('2024 AC'!$B$3:$B$250,"*"&amp;$D144&amp;"*",'2024 AC'!N$3:N$250)</f>
        <v>600</v>
      </c>
      <c r="AA144" s="92">
        <f t="shared" si="156"/>
        <v>5850</v>
      </c>
      <c r="AB144" s="93">
        <f t="shared" si="157"/>
        <v>900</v>
      </c>
      <c r="AC144" s="93">
        <f t="shared" si="158"/>
        <v>900</v>
      </c>
      <c r="AD144" s="93">
        <f t="shared" si="159"/>
        <v>2250</v>
      </c>
      <c r="AE144" s="93">
        <f t="shared" si="160"/>
        <v>1800</v>
      </c>
      <c r="AF144" s="92">
        <f t="shared" si="161"/>
        <v>5850</v>
      </c>
      <c r="AH144" s="63">
        <f>SUMIF('2025 AC'!$B$3:$B$250,"*"&amp;$D144&amp;"*",'2025 AC'!C$3:C$250)</f>
        <v>600</v>
      </c>
      <c r="AI144" s="53">
        <f>SUMIF('2025 AC'!$B$3:$B$250,"*"&amp;$D144&amp;"*",'2025 AC'!D$3:D$250)</f>
        <v>600</v>
      </c>
      <c r="AJ144" s="53">
        <f>SUMIF('2025 AC'!$B$3:$B$250,"*"&amp;$D144&amp;"*",'2025 AC'!E$3:E$250)</f>
        <v>540</v>
      </c>
      <c r="AK144" s="53">
        <f>SUMIF('2025 AC'!$B$3:$B$250,"*"&amp;$D144&amp;"*",'2025 AC'!F$3:F$250)</f>
        <v>450</v>
      </c>
      <c r="AL144" s="53">
        <f>SUMIF('2025 AC'!$B$3:$B$250,"*"&amp;$D144&amp;"*",'2025 AC'!G$3:G$250)</f>
        <v>720</v>
      </c>
      <c r="AM144" s="53">
        <f>SUMIF('2025 AC'!$B$3:$B$250,"*"&amp;$D144&amp;"*",'2025 AC'!H$3:H$250)</f>
        <v>350</v>
      </c>
      <c r="AN144" s="53">
        <f>SUMIF('2025 AC'!$B$3:$B$250,"*"&amp;$D144&amp;"*",'2025 AC'!I$3:I$250)</f>
        <v>670</v>
      </c>
      <c r="AO144" s="53">
        <f>SUMIF('2025 AC'!$B$3:$B$250,"*"&amp;$D144&amp;"*",'2025 AC'!J$3:J$250)</f>
        <v>510</v>
      </c>
      <c r="AP144" s="53">
        <f>SUMIF('2025 AC'!$B$3:$B$250,"*"&amp;$D144&amp;"*",'2025 AC'!K$3:K$250)</f>
        <v>442.39999999999998</v>
      </c>
      <c r="AQ144" s="53">
        <f>SUMIF('2025 AC'!$B$3:$B$250,"*"&amp;$D144&amp;"*",'2025 AC'!L$3:L$250)</f>
        <v>760</v>
      </c>
      <c r="AR144" s="53">
        <f>SUMIF('2025 AC'!$B$3:$B$250,"*"&amp;$D144&amp;"*",'2025 AC'!M$3:M$250)</f>
        <v>510</v>
      </c>
      <c r="AS144" s="53">
        <f>SUMIF('2025 AC'!$B$3:$B$250,"*"&amp;$D144&amp;"*",'2025 AC'!N$3:N$250)</f>
        <v>460</v>
      </c>
      <c r="AT144" s="94">
        <f t="shared" si="138"/>
        <v>6612.3999999999996</v>
      </c>
      <c r="AU144" s="93">
        <f t="shared" si="162"/>
        <v>1740</v>
      </c>
      <c r="AV144" s="93">
        <f t="shared" si="163"/>
        <v>1520</v>
      </c>
      <c r="AW144" s="93">
        <f t="shared" si="164"/>
        <v>1622.4000000000001</v>
      </c>
      <c r="AX144" s="93">
        <f t="shared" si="165"/>
        <v>1730</v>
      </c>
      <c r="AY144" s="92">
        <f t="shared" si="166"/>
        <v>6612.3999999999996</v>
      </c>
      <c r="BA144" s="63">
        <f>SUMIF('2026 AC'!$B$3:$B$254,"*"&amp;$D144&amp;"*",'2026 AC'!C$3:C$254)</f>
        <v>770</v>
      </c>
      <c r="BB144" s="53">
        <f>SUMIF('2026 AC'!$B$3:$B$254,"*"&amp;$D144&amp;"*",'2026 AC'!D$3:D$254)</f>
        <v>550</v>
      </c>
      <c r="BC144" s="53">
        <f>SUMIF('2026 AC'!$B$3:$B$254,"*"&amp;$D144&amp;"*",'2026 AC'!E$3:E$254)</f>
        <v>615</v>
      </c>
      <c r="BD144" s="53">
        <f>SUMIF('2026 AC'!$B$3:$B$254,"*"&amp;$D144&amp;"*",'2026 AC'!F$3:F$254)</f>
        <v>600</v>
      </c>
      <c r="BE144" s="53">
        <f>SUMIF('2026 AC'!$B$3:$B$254,"*"&amp;$D144&amp;"*",'2026 AC'!G$3:G$254)</f>
        <v>350</v>
      </c>
      <c r="BF144" s="53">
        <f>SUMIF('2026 AC'!$B$3:$B$254,"*"&amp;$D144&amp;"*",'2026 AC'!H$3:H$254)</f>
        <v>650</v>
      </c>
      <c r="BG144" s="53">
        <f>SUMIF('2026 AC'!$B$3:$B$254,"*"&amp;$D144&amp;"*",'2026 AC'!I$3:I$254)</f>
        <v>0</v>
      </c>
      <c r="BH144" s="53">
        <f>SUMIF('2026 AC'!$B$3:$B$254,"*"&amp;$D144&amp;"*",'2026 AC'!J$3:J$254)</f>
        <v>0</v>
      </c>
      <c r="BI144" s="53">
        <f>SUMIF('2026 AC'!$B$3:$B$254,"*"&amp;$D144&amp;"*",'2026 AC'!K$3:K$254)</f>
        <v>0</v>
      </c>
      <c r="BJ144" s="53">
        <f>SUMIF('2026 AC'!$B$3:$B$254,"*"&amp;$D144&amp;"*",'2026 AC'!L$3:L$254)</f>
        <v>0</v>
      </c>
      <c r="BK144" s="53">
        <f>SUMIF('2026 AC'!$B$3:$B$254,"*"&amp;$D144&amp;"*",'2026 AC'!M$3:M$254)</f>
        <v>0</v>
      </c>
      <c r="BL144" s="93">
        <f>SUMIF('2026 AC'!$B$3:$B$254,"*"&amp;$D144&amp;"*",'2026 AC'!N$3:N$254)</f>
        <v>0</v>
      </c>
      <c r="BM144" s="92">
        <f t="shared" si="139"/>
        <v>3535</v>
      </c>
      <c r="BN144" s="93">
        <f t="shared" si="167"/>
        <v>1935</v>
      </c>
      <c r="BO144" s="93">
        <f t="shared" si="168"/>
        <v>1600</v>
      </c>
      <c r="BP144" s="93">
        <f t="shared" si="169"/>
        <v>0</v>
      </c>
      <c r="BQ144" s="93">
        <f t="shared" si="170"/>
        <v>0</v>
      </c>
      <c r="BR144" s="92">
        <f t="shared" si="171"/>
        <v>3535</v>
      </c>
    </row>
    <row r="145" outlineLevel="1">
      <c r="A145" t="s">
        <v>327</v>
      </c>
      <c r="B145" t="s">
        <v>328</v>
      </c>
      <c r="C145" s="34" t="s">
        <v>329</v>
      </c>
      <c r="D145" s="35" t="s">
        <v>328</v>
      </c>
      <c r="E145" s="153">
        <f t="shared" si="117"/>
        <v>0</v>
      </c>
      <c r="F145" s="153">
        <f t="shared" si="118"/>
        <v>0</v>
      </c>
      <c r="G145" s="54" t="e">
        <f t="shared" si="172"/>
        <v>#DIV/0!</v>
      </c>
      <c r="H145" s="153">
        <f t="shared" si="119"/>
        <v>30</v>
      </c>
      <c r="I145" s="153">
        <f t="shared" si="120"/>
        <v>0</v>
      </c>
      <c r="J145" s="54" t="e">
        <f t="shared" si="173"/>
        <v>#DIV/0!</v>
      </c>
      <c r="K145" s="153">
        <f t="shared" si="122"/>
        <v>30</v>
      </c>
      <c r="L145" s="153">
        <f t="shared" si="123"/>
        <v>-2400</v>
      </c>
      <c r="M145" s="55">
        <f t="shared" si="174"/>
        <v>-1.0125</v>
      </c>
      <c r="O145" s="63">
        <f>SUMIF('2024 AC'!$B$3:$B$250,"*"&amp;$D145&amp;"*",'2024 AC'!C$3:C$250)</f>
        <v>-959.79999999999995</v>
      </c>
      <c r="P145" s="53">
        <f>SUMIF('2024 AC'!$B$3:$B$250,"*"&amp;$D145&amp;"*",'2024 AC'!D$3:D$250)</f>
        <v>-4028.25</v>
      </c>
      <c r="Q145" s="53">
        <f>SUMIF('2024 AC'!$B$3:$B$250,"*"&amp;$D145&amp;"*",'2024 AC'!E$3:E$250)</f>
        <v>-2000</v>
      </c>
      <c r="R145" s="53">
        <f>SUMIF('2024 AC'!$B$3:$B$250,"*"&amp;$D145&amp;"*",'2024 AC'!F$3:F$250)</f>
        <v>-1643</v>
      </c>
      <c r="S145" s="53">
        <f>SUMIF('2024 AC'!$B$3:$B$250,"*"&amp;$D145&amp;"*",'2024 AC'!G$3:G$250)</f>
        <v>-2400</v>
      </c>
      <c r="T145" s="53">
        <f>SUMIF('2024 AC'!$B$3:$B$250,"*"&amp;$D145&amp;"*",'2024 AC'!H$3:H$250)</f>
        <v>-2150</v>
      </c>
      <c r="U145" s="53">
        <f>SUMIF('2024 AC'!$B$3:$B$250,"*"&amp;$D145&amp;"*",'2024 AC'!I$3:I$250)</f>
        <v>-1732.3199999999999</v>
      </c>
      <c r="V145" s="53">
        <f>SUMIF('2024 AC'!$B$3:$B$250,"*"&amp;$D145&amp;"*",'2024 AC'!J$3:J$250)</f>
        <v>-1850</v>
      </c>
      <c r="W145" s="53">
        <f>SUMIF('2024 AC'!$B$3:$B$250,"*"&amp;$D145&amp;"*",'2024 AC'!K$3:K$250)</f>
        <v>-2100</v>
      </c>
      <c r="X145" s="53">
        <f>SUMIF('2024 AC'!$B$3:$B$250,"*"&amp;$D145&amp;"*",'2024 AC'!L$3:L$250)</f>
        <v>-1440</v>
      </c>
      <c r="Y145" s="53">
        <f>SUMIF('2024 AC'!$B$3:$B$250,"*"&amp;$D145&amp;"*",'2024 AC'!M$3:M$250)</f>
        <v>-1120</v>
      </c>
      <c r="Z145" s="93">
        <f>SUMIF('2024 AC'!$B$3:$B$250,"*"&amp;$D145&amp;"*",'2024 AC'!N$3:N$250)</f>
        <v>-550</v>
      </c>
      <c r="AA145" s="92">
        <f t="shared" si="156"/>
        <v>-21973.369999999999</v>
      </c>
      <c r="AB145" s="93">
        <f t="shared" si="157"/>
        <v>-6988.0500000000002</v>
      </c>
      <c r="AC145" s="93">
        <f t="shared" si="158"/>
        <v>-6193</v>
      </c>
      <c r="AD145" s="93">
        <f t="shared" si="159"/>
        <v>-5682.3199999999997</v>
      </c>
      <c r="AE145" s="93">
        <f t="shared" si="160"/>
        <v>-3110</v>
      </c>
      <c r="AF145" s="92">
        <f t="shared" si="161"/>
        <v>-21973.369999999999</v>
      </c>
      <c r="AH145" s="63">
        <f>SUMIF('2025 AC'!$B$3:$B$250,"*"&amp;$D145&amp;"*",'2025 AC'!C$3:C$250)</f>
        <v>-1350</v>
      </c>
      <c r="AI145" s="53">
        <f>SUMIF('2025 AC'!$B$3:$B$250,"*"&amp;$D145&amp;"*",'2025 AC'!D$3:D$250)</f>
        <v>-300</v>
      </c>
      <c r="AJ145" s="53">
        <f>SUMIF('2025 AC'!$B$3:$B$250,"*"&amp;$D145&amp;"*",'2025 AC'!E$3:E$250)</f>
        <v>-750</v>
      </c>
      <c r="AK145" s="53">
        <f>SUMIF('2025 AC'!$B$3:$B$250,"*"&amp;$D145&amp;"*",'2025 AC'!F$3:F$250)</f>
        <v>0</v>
      </c>
      <c r="AL145" s="53">
        <f>SUMIF('2025 AC'!$B$3:$B$250,"*"&amp;$D145&amp;"*",'2025 AC'!G$3:G$250)</f>
        <v>0</v>
      </c>
      <c r="AM145" s="53">
        <f>SUMIF('2025 AC'!$B$3:$B$250,"*"&amp;$D145&amp;"*",'2025 AC'!H$3:H$250)</f>
        <v>0</v>
      </c>
      <c r="AN145" s="53">
        <f>SUMIF('2025 AC'!$B$3:$B$250,"*"&amp;$D145&amp;"*",'2025 AC'!I$3:I$250)</f>
        <v>0</v>
      </c>
      <c r="AO145" s="53">
        <f>SUMIF('2025 AC'!$B$3:$B$250,"*"&amp;$D145&amp;"*",'2025 AC'!J$3:J$250)</f>
        <v>0</v>
      </c>
      <c r="AP145" s="53">
        <f>SUMIF('2025 AC'!$B$3:$B$250,"*"&amp;$D145&amp;"*",'2025 AC'!K$3:K$250)</f>
        <v>0</v>
      </c>
      <c r="AQ145" s="53">
        <f>SUMIF('2025 AC'!$B$3:$B$250,"*"&amp;$D145&amp;"*",'2025 AC'!L$3:L$250)</f>
        <v>0</v>
      </c>
      <c r="AR145" s="53">
        <f>SUMIF('2025 AC'!$B$3:$B$250,"*"&amp;$D145&amp;"*",'2025 AC'!M$3:M$250)</f>
        <v>0</v>
      </c>
      <c r="AS145" s="53">
        <f>SUMIF('2025 AC'!$B$3:$B$250,"*"&amp;$D145&amp;"*",'2025 AC'!N$3:N$250)</f>
        <v>2400</v>
      </c>
      <c r="AT145" s="94">
        <f t="shared" si="138"/>
        <v>0</v>
      </c>
      <c r="AU145" s="93">
        <f t="shared" si="162"/>
        <v>-2400</v>
      </c>
      <c r="AV145" s="93">
        <f t="shared" si="163"/>
        <v>0</v>
      </c>
      <c r="AW145" s="93">
        <f t="shared" si="164"/>
        <v>0</v>
      </c>
      <c r="AX145" s="93">
        <f t="shared" si="165"/>
        <v>2400</v>
      </c>
      <c r="AY145" s="92">
        <f t="shared" si="166"/>
        <v>0</v>
      </c>
      <c r="BA145" s="63">
        <f>SUMIF('2026 AC'!$B$3:$B$254,"*"&amp;$D145&amp;"*",'2026 AC'!C$3:C$254)</f>
        <v>0</v>
      </c>
      <c r="BB145" s="53">
        <f>SUMIF('2026 AC'!$B$3:$B$254,"*"&amp;$D145&amp;"*",'2026 AC'!D$3:D$254)</f>
        <v>0</v>
      </c>
      <c r="BC145" s="53">
        <f>SUMIF('2026 AC'!$B$3:$B$254,"*"&amp;$D145&amp;"*",'2026 AC'!E$3:E$254)</f>
        <v>0</v>
      </c>
      <c r="BD145" s="53">
        <f>SUMIF('2026 AC'!$B$3:$B$254,"*"&amp;$D145&amp;"*",'2026 AC'!F$3:F$254)</f>
        <v>30</v>
      </c>
      <c r="BE145" s="53">
        <f>SUMIF('2026 AC'!$B$3:$B$254,"*"&amp;$D145&amp;"*",'2026 AC'!G$3:G$254)</f>
        <v>0</v>
      </c>
      <c r="BF145" s="53">
        <f>SUMIF('2026 AC'!$B$3:$B$254,"*"&amp;$D145&amp;"*",'2026 AC'!H$3:H$254)</f>
        <v>0</v>
      </c>
      <c r="BG145" s="53">
        <f>SUMIF('2026 AC'!$B$3:$B$254,"*"&amp;$D145&amp;"*",'2026 AC'!I$3:I$254)</f>
        <v>0</v>
      </c>
      <c r="BH145" s="53">
        <f>SUMIF('2026 AC'!$B$3:$B$254,"*"&amp;$D145&amp;"*",'2026 AC'!J$3:J$254)</f>
        <v>0</v>
      </c>
      <c r="BI145" s="53">
        <f>SUMIF('2026 AC'!$B$3:$B$254,"*"&amp;$D145&amp;"*",'2026 AC'!K$3:K$254)</f>
        <v>0</v>
      </c>
      <c r="BJ145" s="53">
        <f>SUMIF('2026 AC'!$B$3:$B$254,"*"&amp;$D145&amp;"*",'2026 AC'!L$3:L$254)</f>
        <v>0</v>
      </c>
      <c r="BK145" s="53">
        <f>SUMIF('2026 AC'!$B$3:$B$254,"*"&amp;$D145&amp;"*",'2026 AC'!M$3:M$254)</f>
        <v>0</v>
      </c>
      <c r="BL145" s="93">
        <f>SUMIF('2026 AC'!$B$3:$B$254,"*"&amp;$D145&amp;"*",'2026 AC'!N$3:N$254)</f>
        <v>0</v>
      </c>
      <c r="BM145" s="92">
        <f t="shared" si="139"/>
        <v>30</v>
      </c>
      <c r="BN145" s="93">
        <f t="shared" si="167"/>
        <v>0</v>
      </c>
      <c r="BO145" s="93">
        <f t="shared" si="168"/>
        <v>30</v>
      </c>
      <c r="BP145" s="93">
        <f t="shared" si="169"/>
        <v>0</v>
      </c>
      <c r="BQ145" s="93">
        <f t="shared" si="170"/>
        <v>0</v>
      </c>
      <c r="BR145" s="92">
        <f t="shared" si="171"/>
        <v>30</v>
      </c>
    </row>
    <row r="146" outlineLevel="1">
      <c r="A146" t="s">
        <v>330</v>
      </c>
      <c r="B146" t="s">
        <v>331</v>
      </c>
      <c r="C146" s="34" t="s">
        <v>332</v>
      </c>
      <c r="D146" s="35" t="s">
        <v>331</v>
      </c>
      <c r="E146" s="153">
        <f t="shared" si="117"/>
        <v>0</v>
      </c>
      <c r="F146" s="153">
        <f t="shared" si="118"/>
        <v>0</v>
      </c>
      <c r="G146" s="54" t="e">
        <f t="shared" si="172"/>
        <v>#DIV/0!</v>
      </c>
      <c r="H146" s="153">
        <f t="shared" si="119"/>
        <v>315</v>
      </c>
      <c r="I146" s="153">
        <f t="shared" si="120"/>
        <v>0</v>
      </c>
      <c r="J146" s="54" t="e">
        <f t="shared" si="173"/>
        <v>#DIV/0!</v>
      </c>
      <c r="K146" s="153">
        <f t="shared" si="122"/>
        <v>8762.9699999999993</v>
      </c>
      <c r="L146" s="153">
        <f t="shared" si="123"/>
        <v>128</v>
      </c>
      <c r="M146" s="55">
        <f t="shared" si="174"/>
        <v>67.460703124999995</v>
      </c>
      <c r="O146" s="63">
        <f>SUMIF('2024 AC'!$B$3:$B$250,"*"&amp;$D146&amp;"*",'2024 AC'!C$3:C$250)</f>
        <v>0</v>
      </c>
      <c r="P146" s="53">
        <f>SUMIF('2024 AC'!$B$3:$B$250,"*"&amp;$D146&amp;"*",'2024 AC'!D$3:D$250)</f>
        <v>0</v>
      </c>
      <c r="Q146" s="53">
        <f>SUMIF('2024 AC'!$B$3:$B$250,"*"&amp;$D146&amp;"*",'2024 AC'!E$3:E$250)</f>
        <v>0</v>
      </c>
      <c r="R146" s="53">
        <f>SUMIF('2024 AC'!$B$3:$B$250,"*"&amp;$D146&amp;"*",'2024 AC'!F$3:F$250)</f>
        <v>0</v>
      </c>
      <c r="S146" s="53">
        <f>SUMIF('2024 AC'!$B$3:$B$250,"*"&amp;$D146&amp;"*",'2024 AC'!G$3:G$250)</f>
        <v>0</v>
      </c>
      <c r="T146" s="53">
        <f>SUMIF('2024 AC'!$B$3:$B$250,"*"&amp;$D146&amp;"*",'2024 AC'!H$3:H$250)</f>
        <v>0</v>
      </c>
      <c r="U146" s="53">
        <f>SUMIF('2024 AC'!$B$3:$B$250,"*"&amp;$D146&amp;"*",'2024 AC'!I$3:I$250)</f>
        <v>0</v>
      </c>
      <c r="V146" s="53">
        <f>SUMIF('2024 AC'!$B$3:$B$250,"*"&amp;$D146&amp;"*",'2024 AC'!J$3:J$250)</f>
        <v>0</v>
      </c>
      <c r="W146" s="53">
        <f>SUMIF('2024 AC'!$B$3:$B$250,"*"&amp;$D146&amp;"*",'2024 AC'!K$3:K$250)</f>
        <v>5005</v>
      </c>
      <c r="X146" s="53">
        <f>SUMIF('2024 AC'!$B$3:$B$250,"*"&amp;$D146&amp;"*",'2024 AC'!L$3:L$250)</f>
        <v>0</v>
      </c>
      <c r="Y146" s="53">
        <f>SUMIF('2024 AC'!$B$3:$B$250,"*"&amp;$D146&amp;"*",'2024 AC'!M$3:M$250)</f>
        <v>5280</v>
      </c>
      <c r="Z146" s="93">
        <f>SUMIF('2024 AC'!$B$3:$B$250,"*"&amp;$D146&amp;"*",'2024 AC'!N$3:N$250)</f>
        <v>4284</v>
      </c>
      <c r="AA146" s="92">
        <f t="shared" si="156"/>
        <v>14569</v>
      </c>
      <c r="AB146" s="93">
        <f t="shared" si="157"/>
        <v>0</v>
      </c>
      <c r="AC146" s="93">
        <f t="shared" si="158"/>
        <v>0</v>
      </c>
      <c r="AD146" s="93">
        <f t="shared" si="159"/>
        <v>5005</v>
      </c>
      <c r="AE146" s="93">
        <f t="shared" si="160"/>
        <v>9564</v>
      </c>
      <c r="AF146" s="92">
        <f t="shared" si="161"/>
        <v>14569</v>
      </c>
      <c r="AH146" s="63">
        <f>SUMIF('2025 AC'!$B$3:$B$250,"*"&amp;$D146&amp;"*",'2025 AC'!C$3:C$250)</f>
        <v>0</v>
      </c>
      <c r="AI146" s="53">
        <f>SUMIF('2025 AC'!$B$3:$B$250,"*"&amp;$D146&amp;"*",'2025 AC'!D$3:D$250)</f>
        <v>0</v>
      </c>
      <c r="AJ146" s="53">
        <f>SUMIF('2025 AC'!$B$3:$B$250,"*"&amp;$D146&amp;"*",'2025 AC'!E$3:E$250)</f>
        <v>128</v>
      </c>
      <c r="AK146" s="53">
        <f>SUMIF('2025 AC'!$B$3:$B$250,"*"&amp;$D146&amp;"*",'2025 AC'!F$3:F$250)</f>
        <v>0</v>
      </c>
      <c r="AL146" s="53">
        <f>SUMIF('2025 AC'!$B$3:$B$250,"*"&amp;$D146&amp;"*",'2025 AC'!G$3:G$250)</f>
        <v>0</v>
      </c>
      <c r="AM146" s="53">
        <f>SUMIF('2025 AC'!$B$3:$B$250,"*"&amp;$D146&amp;"*",'2025 AC'!H$3:H$250)</f>
        <v>0</v>
      </c>
      <c r="AN146" s="53">
        <f>SUMIF('2025 AC'!$B$3:$B$250,"*"&amp;$D146&amp;"*",'2025 AC'!I$3:I$250)</f>
        <v>0</v>
      </c>
      <c r="AO146" s="53">
        <f>SUMIF('2025 AC'!$B$3:$B$250,"*"&amp;$D146&amp;"*",'2025 AC'!J$3:J$250)</f>
        <v>0</v>
      </c>
      <c r="AP146" s="53">
        <f>SUMIF('2025 AC'!$B$3:$B$250,"*"&amp;$D146&amp;"*",'2025 AC'!K$3:K$250)</f>
        <v>0</v>
      </c>
      <c r="AQ146" s="53">
        <f>SUMIF('2025 AC'!$B$3:$B$250,"*"&amp;$D146&amp;"*",'2025 AC'!L$3:L$250)</f>
        <v>0</v>
      </c>
      <c r="AR146" s="53">
        <f>SUMIF('2025 AC'!$B$3:$B$250,"*"&amp;$D146&amp;"*",'2025 AC'!M$3:M$250)</f>
        <v>0</v>
      </c>
      <c r="AS146" s="53">
        <f>SUMIF('2025 AC'!$B$3:$B$250,"*"&amp;$D146&amp;"*",'2025 AC'!N$3:N$250)</f>
        <v>0</v>
      </c>
      <c r="AT146" s="94">
        <f t="shared" si="138"/>
        <v>128</v>
      </c>
      <c r="AU146" s="93">
        <f t="shared" si="162"/>
        <v>128</v>
      </c>
      <c r="AV146" s="93">
        <f t="shared" si="163"/>
        <v>0</v>
      </c>
      <c r="AW146" s="93">
        <f t="shared" si="164"/>
        <v>0</v>
      </c>
      <c r="AX146" s="93">
        <f t="shared" si="165"/>
        <v>0</v>
      </c>
      <c r="AY146" s="92">
        <f t="shared" si="166"/>
        <v>128</v>
      </c>
      <c r="BA146" s="63">
        <f>SUMIF('2026 AC'!$B$3:$B$254,"*"&amp;$D146&amp;"*",'2026 AC'!C$3:C$254)</f>
        <v>50.969999999999999</v>
      </c>
      <c r="BB146" s="53">
        <f>SUMIF('2026 AC'!$B$3:$B$254,"*"&amp;$D146&amp;"*",'2026 AC'!D$3:D$254)</f>
        <v>930</v>
      </c>
      <c r="BC146" s="53">
        <f>SUMIF('2026 AC'!$B$3:$B$254,"*"&amp;$D146&amp;"*",'2026 AC'!E$3:E$254)</f>
        <v>7467</v>
      </c>
      <c r="BD146" s="53">
        <f>SUMIF('2026 AC'!$B$3:$B$254,"*"&amp;$D146&amp;"*",'2026 AC'!F$3:F$254)</f>
        <v>45</v>
      </c>
      <c r="BE146" s="53">
        <f>SUMIF('2026 AC'!$B$3:$B$254,"*"&amp;$D146&amp;"*",'2026 AC'!G$3:G$254)</f>
        <v>270</v>
      </c>
      <c r="BF146" s="53">
        <f>SUMIF('2026 AC'!$B$3:$B$254,"*"&amp;$D146&amp;"*",'2026 AC'!H$3:H$254)</f>
        <v>0</v>
      </c>
      <c r="BG146" s="53">
        <f>SUMIF('2026 AC'!$B$3:$B$254,"*"&amp;$D146&amp;"*",'2026 AC'!I$3:I$254)</f>
        <v>0</v>
      </c>
      <c r="BH146" s="53">
        <f>SUMIF('2026 AC'!$B$3:$B$254,"*"&amp;$D146&amp;"*",'2026 AC'!J$3:J$254)</f>
        <v>0</v>
      </c>
      <c r="BI146" s="53">
        <f>SUMIF('2026 AC'!$B$3:$B$254,"*"&amp;$D146&amp;"*",'2026 AC'!K$3:K$254)</f>
        <v>0</v>
      </c>
      <c r="BJ146" s="53">
        <f>SUMIF('2026 AC'!$B$3:$B$254,"*"&amp;$D146&amp;"*",'2026 AC'!L$3:L$254)</f>
        <v>0</v>
      </c>
      <c r="BK146" s="53">
        <f>SUMIF('2026 AC'!$B$3:$B$254,"*"&amp;$D146&amp;"*",'2026 AC'!M$3:M$254)</f>
        <v>0</v>
      </c>
      <c r="BL146" s="93">
        <f>SUMIF('2026 AC'!$B$3:$B$254,"*"&amp;$D146&amp;"*",'2026 AC'!N$3:N$254)</f>
        <v>0</v>
      </c>
      <c r="BM146" s="92">
        <f t="shared" si="139"/>
        <v>8762.9699999999993</v>
      </c>
      <c r="BN146" s="93">
        <f t="shared" si="167"/>
        <v>8447.9699999999993</v>
      </c>
      <c r="BO146" s="93">
        <f t="shared" si="168"/>
        <v>315</v>
      </c>
      <c r="BP146" s="93">
        <f t="shared" si="169"/>
        <v>0</v>
      </c>
      <c r="BQ146" s="93">
        <f t="shared" si="170"/>
        <v>0</v>
      </c>
      <c r="BR146" s="92">
        <f t="shared" si="171"/>
        <v>8762.9699999999993</v>
      </c>
    </row>
    <row r="147" outlineLevel="1">
      <c r="A147" t="s">
        <v>333</v>
      </c>
      <c r="B147" t="s">
        <v>334</v>
      </c>
      <c r="C147" s="52" t="s">
        <v>335</v>
      </c>
      <c r="D147" s="35" t="s">
        <v>334</v>
      </c>
      <c r="E147" s="151">
        <f t="shared" si="117"/>
        <v>0</v>
      </c>
      <c r="F147" s="152">
        <f t="shared" si="118"/>
        <v>0</v>
      </c>
      <c r="G147" s="154">
        <f t="shared" ref="G147:G151" si="176">IFERROR((E147-F147)/F147,0)</f>
        <v>0</v>
      </c>
      <c r="H147" s="153">
        <f t="shared" si="119"/>
        <v>0</v>
      </c>
      <c r="I147" s="153">
        <f t="shared" si="120"/>
        <v>0</v>
      </c>
      <c r="J147" s="154">
        <f t="shared" ref="J147:J151" si="177">IFERROR((H147-I147)/I147,0)</f>
        <v>0</v>
      </c>
      <c r="K147" s="153">
        <f t="shared" si="122"/>
        <v>0</v>
      </c>
      <c r="L147" s="153">
        <f t="shared" si="123"/>
        <v>0</v>
      </c>
      <c r="M147" s="155">
        <f t="shared" ref="M147:M151" si="178">IFERROR((K147-L147)/L147,0)</f>
        <v>0</v>
      </c>
      <c r="O147" s="168">
        <f>SUMIF('2024 AC'!$B$3:$B$250,"*"&amp;$D147&amp;"*",'2024 AC'!C$3:C$250)</f>
        <v>0</v>
      </c>
      <c r="P147" s="169">
        <f>SUMIF('2024 AC'!$B$3:$B$250,"*"&amp;$D147&amp;"*",'2024 AC'!D$3:D$250)</f>
        <v>0</v>
      </c>
      <c r="Q147" s="169">
        <f>SUMIF('2024 AC'!$B$3:$B$250,"*"&amp;$D147&amp;"*",'2024 AC'!E$3:E$250)</f>
        <v>0</v>
      </c>
      <c r="R147" s="169">
        <f>SUMIF('2024 AC'!$B$3:$B$250,"*"&amp;$D147&amp;"*",'2024 AC'!F$3:F$250)</f>
        <v>0</v>
      </c>
      <c r="S147" s="169">
        <f>SUMIF('2024 AC'!$B$3:$B$250,"*"&amp;$D147&amp;"*",'2024 AC'!G$3:G$250)</f>
        <v>1950</v>
      </c>
      <c r="T147" s="169">
        <f>SUMIF('2024 AC'!$B$3:$B$250,"*"&amp;$D147&amp;"*",'2024 AC'!H$3:H$250)</f>
        <v>0</v>
      </c>
      <c r="U147" s="169">
        <f>SUMIF('2024 AC'!$B$3:$B$250,"*"&amp;$D147&amp;"*",'2024 AC'!I$3:I$250)</f>
        <v>0</v>
      </c>
      <c r="V147" s="169">
        <f>SUMIF('2024 AC'!$B$3:$B$250,"*"&amp;$D147&amp;"*",'2024 AC'!J$3:J$250)</f>
        <v>0</v>
      </c>
      <c r="W147" s="169">
        <f>SUMIF('2024 AC'!$B$3:$B$250,"*"&amp;$D147&amp;"*",'2024 AC'!K$3:K$250)</f>
        <v>0</v>
      </c>
      <c r="X147" s="169">
        <f>SUMIF('2024 AC'!$B$3:$B$250,"*"&amp;$D147&amp;"*",'2024 AC'!L$3:L$250)</f>
        <v>0</v>
      </c>
      <c r="Y147" s="169">
        <f>SUMIF('2024 AC'!$B$3:$B$250,"*"&amp;$D147&amp;"*",'2024 AC'!M$3:M$250)</f>
        <v>0</v>
      </c>
      <c r="Z147" s="170">
        <f>SUMIF('2024 AC'!$B$3:$B$250,"*"&amp;$D147&amp;"*",'2024 AC'!N$3:N$250)</f>
        <v>0</v>
      </c>
      <c r="AA147" s="171">
        <f t="shared" si="156"/>
        <v>1950</v>
      </c>
      <c r="AB147" s="170">
        <f t="shared" si="157"/>
        <v>0</v>
      </c>
      <c r="AC147" s="170">
        <f t="shared" si="158"/>
        <v>1950</v>
      </c>
      <c r="AD147" s="170">
        <f t="shared" si="159"/>
        <v>0</v>
      </c>
      <c r="AE147" s="170">
        <f t="shared" si="160"/>
        <v>0</v>
      </c>
      <c r="AF147" s="171">
        <f t="shared" si="161"/>
        <v>1950</v>
      </c>
      <c r="AH147" s="168">
        <f>SUMIF('2025 AC'!$B$3:$B$250,"*"&amp;$D147&amp;"*",'2025 AC'!C$3:C$250)</f>
        <v>0</v>
      </c>
      <c r="AI147" s="169">
        <f>SUMIF('2025 AC'!$B$3:$B$250,"*"&amp;$D147&amp;"*",'2025 AC'!D$3:D$250)</f>
        <v>0</v>
      </c>
      <c r="AJ147" s="169">
        <f>SUMIF('2025 AC'!$B$3:$B$250,"*"&amp;$D147&amp;"*",'2025 AC'!E$3:E$250)</f>
        <v>0</v>
      </c>
      <c r="AK147" s="169">
        <f>SUMIF('2025 AC'!$B$3:$B$250,"*"&amp;$D147&amp;"*",'2025 AC'!F$3:F$250)</f>
        <v>0</v>
      </c>
      <c r="AL147" s="169">
        <f>SUMIF('2025 AC'!$B$3:$B$250,"*"&amp;$D147&amp;"*",'2025 AC'!G$3:G$250)</f>
        <v>0</v>
      </c>
      <c r="AM147" s="169">
        <f>SUMIF('2025 AC'!$B$3:$B$250,"*"&amp;$D147&amp;"*",'2025 AC'!H$3:H$250)</f>
        <v>0</v>
      </c>
      <c r="AN147" s="169">
        <f>SUMIF('2025 AC'!$B$3:$B$250,"*"&amp;$D147&amp;"*",'2025 AC'!I$3:I$250)</f>
        <v>0</v>
      </c>
      <c r="AO147" s="169">
        <f>SUMIF('2025 AC'!$B$3:$B$250,"*"&amp;$D147&amp;"*",'2025 AC'!J$3:J$250)</f>
        <v>915</v>
      </c>
      <c r="AP147" s="169">
        <f>SUMIF('2025 AC'!$B$3:$B$250,"*"&amp;$D147&amp;"*",'2025 AC'!K$3:K$250)</f>
        <v>0</v>
      </c>
      <c r="AQ147" s="169">
        <f>SUMIF('2025 AC'!$B$3:$B$250,"*"&amp;$D147&amp;"*",'2025 AC'!L$3:L$250)</f>
        <v>0</v>
      </c>
      <c r="AR147" s="169">
        <f>SUMIF('2025 AC'!$B$3:$B$250,"*"&amp;$D147&amp;"*",'2025 AC'!M$3:M$250)</f>
        <v>0</v>
      </c>
      <c r="AS147" s="169">
        <f>SUMIF('2025 AC'!$B$3:$B$250,"*"&amp;$D147&amp;"*",'2025 AC'!N$3:N$250)</f>
        <v>3148</v>
      </c>
      <c r="AT147" s="172">
        <f t="shared" si="138"/>
        <v>4063</v>
      </c>
      <c r="AU147" s="170">
        <f t="shared" si="162"/>
        <v>0</v>
      </c>
      <c r="AV147" s="170">
        <f t="shared" si="163"/>
        <v>0</v>
      </c>
      <c r="AW147" s="170">
        <f t="shared" si="164"/>
        <v>915</v>
      </c>
      <c r="AX147" s="170">
        <f t="shared" si="165"/>
        <v>3148</v>
      </c>
      <c r="AY147" s="171">
        <f t="shared" si="166"/>
        <v>4063</v>
      </c>
      <c r="BA147" s="168">
        <f>SUMIF('2026 AC'!$B$3:$B$254,"*"&amp;$D147&amp;"*",'2026 AC'!C$3:C$254)</f>
        <v>0</v>
      </c>
      <c r="BB147" s="169">
        <f>SUMIF('2026 AC'!$B$3:$B$254,"*"&amp;$D147&amp;"*",'2026 AC'!D$3:D$254)</f>
        <v>0</v>
      </c>
      <c r="BC147" s="169">
        <f>SUMIF('2026 AC'!$B$3:$B$254,"*"&amp;$D147&amp;"*",'2026 AC'!E$3:E$254)</f>
        <v>0</v>
      </c>
      <c r="BD147" s="169">
        <f>SUMIF('2026 AC'!$B$3:$B$254,"*"&amp;$D147&amp;"*",'2026 AC'!F$3:F$254)</f>
        <v>0</v>
      </c>
      <c r="BE147" s="169">
        <f>SUMIF('2026 AC'!$B$3:$B$254,"*"&amp;$D147&amp;"*",'2026 AC'!G$3:G$254)</f>
        <v>0</v>
      </c>
      <c r="BF147" s="169">
        <f>SUMIF('2026 AC'!$B$3:$B$254,"*"&amp;$D147&amp;"*",'2026 AC'!H$3:H$254)</f>
        <v>0</v>
      </c>
      <c r="BG147" s="169">
        <f>SUMIF('2026 AC'!$B$3:$B$254,"*"&amp;$D147&amp;"*",'2026 AC'!I$3:I$254)</f>
        <v>0</v>
      </c>
      <c r="BH147" s="169">
        <f>SUMIF('2026 AC'!$B$3:$B$254,"*"&amp;$D147&amp;"*",'2026 AC'!J$3:J$254)</f>
        <v>0</v>
      </c>
      <c r="BI147" s="169">
        <f>SUMIF('2026 AC'!$B$3:$B$254,"*"&amp;$D147&amp;"*",'2026 AC'!K$3:K$254)</f>
        <v>0</v>
      </c>
      <c r="BJ147" s="169">
        <f>SUMIF('2026 AC'!$B$3:$B$254,"*"&amp;$D147&amp;"*",'2026 AC'!L$3:L$254)</f>
        <v>0</v>
      </c>
      <c r="BK147" s="169">
        <f>SUMIF('2026 AC'!$B$3:$B$254,"*"&amp;$D147&amp;"*",'2026 AC'!M$3:M$254)</f>
        <v>0</v>
      </c>
      <c r="BL147" s="170">
        <f>SUMIF('2026 AC'!$B$3:$B$254,"*"&amp;$D147&amp;"*",'2026 AC'!N$3:N$254)</f>
        <v>0</v>
      </c>
      <c r="BM147" s="171">
        <f t="shared" si="139"/>
        <v>0</v>
      </c>
      <c r="BN147" s="170">
        <f t="shared" si="167"/>
        <v>0</v>
      </c>
      <c r="BO147" s="170">
        <f t="shared" si="168"/>
        <v>0</v>
      </c>
      <c r="BP147" s="170">
        <f t="shared" si="169"/>
        <v>0</v>
      </c>
      <c r="BQ147" s="170">
        <f t="shared" si="170"/>
        <v>0</v>
      </c>
      <c r="BR147" s="171">
        <f t="shared" si="171"/>
        <v>0</v>
      </c>
    </row>
    <row r="148" outlineLevel="1">
      <c r="A148" t="s">
        <v>336</v>
      </c>
      <c r="B148" t="s">
        <v>337</v>
      </c>
      <c r="C148" s="34" t="s">
        <v>338</v>
      </c>
      <c r="D148" s="35" t="s">
        <v>337</v>
      </c>
      <c r="E148" s="153">
        <f t="shared" si="117"/>
        <v>0</v>
      </c>
      <c r="F148" s="153">
        <f t="shared" si="118"/>
        <v>0</v>
      </c>
      <c r="G148" s="54" t="e">
        <f t="shared" ref="G148:G154" si="179">(E148-F148)/F148</f>
        <v>#DIV/0!</v>
      </c>
      <c r="H148" s="153">
        <f t="shared" si="119"/>
        <v>2017.1500000000001</v>
      </c>
      <c r="I148" s="153">
        <f t="shared" si="120"/>
        <v>0</v>
      </c>
      <c r="J148" s="54" t="e">
        <f t="shared" ref="J148:J156" si="180">(H148-I148)/I148</f>
        <v>#DIV/0!</v>
      </c>
      <c r="K148" s="153">
        <f t="shared" si="122"/>
        <v>2017.1500000000001</v>
      </c>
      <c r="L148" s="153">
        <f t="shared" si="123"/>
        <v>9613.7000000000007</v>
      </c>
      <c r="M148" s="55">
        <f t="shared" ref="M148:M156" si="181">(K148-L148)/L148</f>
        <v>-0.79017963947283565</v>
      </c>
      <c r="O148" s="63">
        <f>SUMIF('2024 AC'!$B$3:$B$250,"*"&amp;$D148&amp;"*",'2024 AC'!C$3:C$250)</f>
        <v>76</v>
      </c>
      <c r="P148" s="53">
        <f>SUMIF('2024 AC'!$B$3:$B$250,"*"&amp;$D148&amp;"*",'2024 AC'!D$3:D$250)</f>
        <v>0</v>
      </c>
      <c r="Q148" s="53">
        <f>SUMIF('2024 AC'!$B$3:$B$250,"*"&amp;$D148&amp;"*",'2024 AC'!E$3:E$250)</f>
        <v>0</v>
      </c>
      <c r="R148" s="53">
        <f>SUMIF('2024 AC'!$B$3:$B$250,"*"&amp;$D148&amp;"*",'2024 AC'!F$3:F$250)</f>
        <v>217.59999999999999</v>
      </c>
      <c r="S148" s="53">
        <f>SUMIF('2024 AC'!$B$3:$B$250,"*"&amp;$D148&amp;"*",'2024 AC'!G$3:G$250)</f>
        <v>0</v>
      </c>
      <c r="T148" s="53">
        <f>SUMIF('2024 AC'!$B$3:$B$250,"*"&amp;$D148&amp;"*",'2024 AC'!H$3:H$250)</f>
        <v>28</v>
      </c>
      <c r="U148" s="53">
        <f>SUMIF('2024 AC'!$B$3:$B$250,"*"&amp;$D148&amp;"*",'2024 AC'!I$3:I$250)</f>
        <v>183</v>
      </c>
      <c r="V148" s="53">
        <f>SUMIF('2024 AC'!$B$3:$B$250,"*"&amp;$D148&amp;"*",'2024 AC'!J$3:J$250)</f>
        <v>0</v>
      </c>
      <c r="W148" s="53">
        <f>SUMIF('2024 AC'!$B$3:$B$250,"*"&amp;$D148&amp;"*",'2024 AC'!K$3:K$250)</f>
        <v>190</v>
      </c>
      <c r="X148" s="53">
        <f>SUMIF('2024 AC'!$B$3:$B$250,"*"&amp;$D148&amp;"*",'2024 AC'!L$3:L$250)</f>
        <v>0</v>
      </c>
      <c r="Y148" s="53">
        <f>SUMIF('2024 AC'!$B$3:$B$250,"*"&amp;$D148&amp;"*",'2024 AC'!M$3:M$250)</f>
        <v>0</v>
      </c>
      <c r="Z148" s="93">
        <f>SUMIF('2024 AC'!$B$3:$B$250,"*"&amp;$D148&amp;"*",'2024 AC'!N$3:N$250)</f>
        <v>9720</v>
      </c>
      <c r="AA148" s="92">
        <f t="shared" si="156"/>
        <v>10414.6</v>
      </c>
      <c r="AB148" s="93">
        <f t="shared" si="157"/>
        <v>76</v>
      </c>
      <c r="AC148" s="93">
        <f t="shared" si="158"/>
        <v>245.59999999999999</v>
      </c>
      <c r="AD148" s="93">
        <f t="shared" si="159"/>
        <v>373</v>
      </c>
      <c r="AE148" s="93">
        <f t="shared" si="160"/>
        <v>9720</v>
      </c>
      <c r="AF148" s="92">
        <f t="shared" si="161"/>
        <v>10414.6</v>
      </c>
      <c r="AH148" s="63">
        <f>SUMIF('2025 AC'!$B$3:$B$250,"*"&amp;$D148&amp;"*",'2025 AC'!C$3:C$250)</f>
        <v>0</v>
      </c>
      <c r="AI148" s="53">
        <f>SUMIF('2025 AC'!$B$3:$B$250,"*"&amp;$D148&amp;"*",'2025 AC'!D$3:D$250)</f>
        <v>0</v>
      </c>
      <c r="AJ148" s="53">
        <f>SUMIF('2025 AC'!$B$3:$B$250,"*"&amp;$D148&amp;"*",'2025 AC'!E$3:E$250)</f>
        <v>9613.7000000000007</v>
      </c>
      <c r="AK148" s="53">
        <f>SUMIF('2025 AC'!$B$3:$B$250,"*"&amp;$D148&amp;"*",'2025 AC'!F$3:F$250)</f>
        <v>0</v>
      </c>
      <c r="AL148" s="53">
        <f>SUMIF('2025 AC'!$B$3:$B$250,"*"&amp;$D148&amp;"*",'2025 AC'!G$3:G$250)</f>
        <v>0</v>
      </c>
      <c r="AM148" s="53">
        <f>SUMIF('2025 AC'!$B$3:$B$250,"*"&amp;$D148&amp;"*",'2025 AC'!H$3:H$250)</f>
        <v>0</v>
      </c>
      <c r="AN148" s="53">
        <f>SUMIF('2025 AC'!$B$3:$B$250,"*"&amp;$D148&amp;"*",'2025 AC'!I$3:I$250)</f>
        <v>22</v>
      </c>
      <c r="AO148" s="53">
        <f>SUMIF('2025 AC'!$B$3:$B$250,"*"&amp;$D148&amp;"*",'2025 AC'!J$3:J$250)</f>
        <v>0</v>
      </c>
      <c r="AP148" s="53">
        <f>SUMIF('2025 AC'!$B$3:$B$250,"*"&amp;$D148&amp;"*",'2025 AC'!K$3:K$250)</f>
        <v>3032.6999999999998</v>
      </c>
      <c r="AQ148" s="53">
        <f>SUMIF('2025 AC'!$B$3:$B$250,"*"&amp;$D148&amp;"*",'2025 AC'!L$3:L$250)</f>
        <v>0</v>
      </c>
      <c r="AR148" s="53">
        <f>SUMIF('2025 AC'!$B$3:$B$250,"*"&amp;$D148&amp;"*",'2025 AC'!M$3:M$250)</f>
        <v>20.199999999999999</v>
      </c>
      <c r="AS148" s="53">
        <f>SUMIF('2025 AC'!$B$3:$B$250,"*"&amp;$D148&amp;"*",'2025 AC'!N$3:N$250)</f>
        <v>-5400</v>
      </c>
      <c r="AT148" s="94">
        <f t="shared" si="138"/>
        <v>7288.6000000000022</v>
      </c>
      <c r="AU148" s="93">
        <f t="shared" si="162"/>
        <v>9613.7000000000007</v>
      </c>
      <c r="AV148" s="93">
        <f t="shared" si="163"/>
        <v>0</v>
      </c>
      <c r="AW148" s="93">
        <f t="shared" si="164"/>
        <v>3054.6999999999998</v>
      </c>
      <c r="AX148" s="93">
        <f t="shared" si="165"/>
        <v>-5379.8000000000002</v>
      </c>
      <c r="AY148" s="92">
        <f t="shared" si="166"/>
        <v>7288.6000000000013</v>
      </c>
      <c r="BA148" s="63">
        <f>SUMIF('2026 AC'!$B$3:$B$254,"*"&amp;$D148&amp;"*",'2026 AC'!C$3:C$254)</f>
        <v>0</v>
      </c>
      <c r="BB148" s="53">
        <f>SUMIF('2026 AC'!$B$3:$B$254,"*"&amp;$D148&amp;"*",'2026 AC'!D$3:D$254)</f>
        <v>0</v>
      </c>
      <c r="BC148" s="53">
        <f>SUMIF('2026 AC'!$B$3:$B$254,"*"&amp;$D148&amp;"*",'2026 AC'!E$3:E$254)</f>
        <v>0</v>
      </c>
      <c r="BD148" s="53">
        <f>SUMIF('2026 AC'!$B$3:$B$254,"*"&amp;$D148&amp;"*",'2026 AC'!F$3:F$254)</f>
        <v>0</v>
      </c>
      <c r="BE148" s="53">
        <f>SUMIF('2026 AC'!$B$3:$B$254,"*"&amp;$D148&amp;"*",'2026 AC'!G$3:G$254)</f>
        <v>2017.1500000000001</v>
      </c>
      <c r="BF148" s="53">
        <f>SUMIF('2026 AC'!$B$3:$B$254,"*"&amp;$D148&amp;"*",'2026 AC'!H$3:H$254)</f>
        <v>0</v>
      </c>
      <c r="BG148" s="53">
        <f>SUMIF('2026 AC'!$B$3:$B$254,"*"&amp;$D148&amp;"*",'2026 AC'!I$3:I$254)</f>
        <v>0</v>
      </c>
      <c r="BH148" s="53">
        <f>SUMIF('2026 AC'!$B$3:$B$254,"*"&amp;$D148&amp;"*",'2026 AC'!J$3:J$254)</f>
        <v>0</v>
      </c>
      <c r="BI148" s="53">
        <f>SUMIF('2026 AC'!$B$3:$B$254,"*"&amp;$D148&amp;"*",'2026 AC'!K$3:K$254)</f>
        <v>0</v>
      </c>
      <c r="BJ148" s="53">
        <f>SUMIF('2026 AC'!$B$3:$B$254,"*"&amp;$D148&amp;"*",'2026 AC'!L$3:L$254)</f>
        <v>0</v>
      </c>
      <c r="BK148" s="53">
        <f>SUMIF('2026 AC'!$B$3:$B$254,"*"&amp;$D148&amp;"*",'2026 AC'!M$3:M$254)</f>
        <v>0</v>
      </c>
      <c r="BL148" s="93">
        <f>SUMIF('2026 AC'!$B$3:$B$254,"*"&amp;$D148&amp;"*",'2026 AC'!N$3:N$254)</f>
        <v>0</v>
      </c>
      <c r="BM148" s="92">
        <f t="shared" si="139"/>
        <v>2017.1500000000001</v>
      </c>
      <c r="BN148" s="93">
        <f t="shared" si="167"/>
        <v>0</v>
      </c>
      <c r="BO148" s="93">
        <f t="shared" si="168"/>
        <v>2017.1500000000001</v>
      </c>
      <c r="BP148" s="93">
        <f t="shared" si="169"/>
        <v>0</v>
      </c>
      <c r="BQ148" s="93">
        <f t="shared" si="170"/>
        <v>0</v>
      </c>
      <c r="BR148" s="92">
        <f t="shared" si="171"/>
        <v>2017.1500000000001</v>
      </c>
    </row>
    <row r="149" outlineLevel="1">
      <c r="A149" t="s">
        <v>339</v>
      </c>
      <c r="B149" t="s">
        <v>340</v>
      </c>
      <c r="C149" s="52" t="s">
        <v>341</v>
      </c>
      <c r="D149" s="35" t="s">
        <v>340</v>
      </c>
      <c r="E149" s="151">
        <f t="shared" si="117"/>
        <v>0</v>
      </c>
      <c r="F149" s="152">
        <f t="shared" si="118"/>
        <v>0</v>
      </c>
      <c r="G149" s="154">
        <f t="shared" si="176"/>
        <v>0</v>
      </c>
      <c r="H149" s="153">
        <f t="shared" si="119"/>
        <v>0</v>
      </c>
      <c r="I149" s="153">
        <f t="shared" si="120"/>
        <v>0</v>
      </c>
      <c r="J149" s="154">
        <f t="shared" si="177"/>
        <v>0</v>
      </c>
      <c r="K149" s="153">
        <f t="shared" si="122"/>
        <v>0</v>
      </c>
      <c r="L149" s="153">
        <f t="shared" si="123"/>
        <v>0</v>
      </c>
      <c r="M149" s="155">
        <f t="shared" si="178"/>
        <v>0</v>
      </c>
      <c r="O149" s="63">
        <f>SUMIF('2024 AC'!$B$3:$B$250,"*"&amp;$D149&amp;"*",'2024 AC'!C$3:C$250)</f>
        <v>0</v>
      </c>
      <c r="P149" s="53">
        <f>SUMIF('2024 AC'!$B$3:$B$250,"*"&amp;$D149&amp;"*",'2024 AC'!D$3:D$250)</f>
        <v>0</v>
      </c>
      <c r="Q149" s="53">
        <f>SUMIF('2024 AC'!$B$3:$B$250,"*"&amp;$D149&amp;"*",'2024 AC'!E$3:E$250)</f>
        <v>0</v>
      </c>
      <c r="R149" s="53">
        <f>SUMIF('2024 AC'!$B$3:$B$250,"*"&amp;$D149&amp;"*",'2024 AC'!F$3:F$250)</f>
        <v>0</v>
      </c>
      <c r="S149" s="53">
        <f>SUMIF('2024 AC'!$B$3:$B$250,"*"&amp;$D149&amp;"*",'2024 AC'!G$3:G$250)</f>
        <v>0</v>
      </c>
      <c r="T149" s="53">
        <f>SUMIF('2024 AC'!$B$3:$B$250,"*"&amp;$D149&amp;"*",'2024 AC'!H$3:H$250)</f>
        <v>0</v>
      </c>
      <c r="U149" s="53">
        <f>SUMIF('2024 AC'!$B$3:$B$250,"*"&amp;$D149&amp;"*",'2024 AC'!I$3:I$250)</f>
        <v>886.67999999999995</v>
      </c>
      <c r="V149" s="53">
        <f>SUMIF('2024 AC'!$B$3:$B$250,"*"&amp;$D149&amp;"*",'2024 AC'!J$3:J$250)</f>
        <v>865.08000000000004</v>
      </c>
      <c r="W149" s="53">
        <f>SUMIF('2024 AC'!$B$3:$B$250,"*"&amp;$D149&amp;"*",'2024 AC'!K$3:K$250)</f>
        <v>0</v>
      </c>
      <c r="X149" s="53">
        <f>SUMIF('2024 AC'!$B$3:$B$250,"*"&amp;$D149&amp;"*",'2024 AC'!L$3:L$250)</f>
        <v>0</v>
      </c>
      <c r="Y149" s="53">
        <f>SUMIF('2024 AC'!$B$3:$B$250,"*"&amp;$D149&amp;"*",'2024 AC'!M$3:M$250)</f>
        <v>0</v>
      </c>
      <c r="Z149" s="93">
        <f>SUMIF('2024 AC'!$B$3:$B$250,"*"&amp;$D149&amp;"*",'2024 AC'!N$3:N$250)</f>
        <v>0</v>
      </c>
      <c r="AA149" s="92">
        <f t="shared" si="156"/>
        <v>1751.76</v>
      </c>
      <c r="AB149" s="93">
        <f t="shared" si="157"/>
        <v>0</v>
      </c>
      <c r="AC149" s="93">
        <f t="shared" si="158"/>
        <v>0</v>
      </c>
      <c r="AD149" s="93">
        <f t="shared" si="159"/>
        <v>1751.76</v>
      </c>
      <c r="AE149" s="93">
        <f t="shared" si="160"/>
        <v>0</v>
      </c>
      <c r="AF149" s="92">
        <f t="shared" si="161"/>
        <v>1751.76</v>
      </c>
      <c r="AH149" s="63">
        <f>SUMIF('2025 AC'!$B$3:$B$250,"*"&amp;$D149&amp;"*",'2025 AC'!C$3:C$250)</f>
        <v>0</v>
      </c>
      <c r="AI149" s="53">
        <f>SUMIF('2025 AC'!$B$3:$B$250,"*"&amp;$D149&amp;"*",'2025 AC'!D$3:D$250)</f>
        <v>0</v>
      </c>
      <c r="AJ149" s="53">
        <f>SUMIF('2025 AC'!$B$3:$B$250,"*"&amp;$D149&amp;"*",'2025 AC'!E$3:E$250)</f>
        <v>0</v>
      </c>
      <c r="AK149" s="53">
        <f>SUMIF('2025 AC'!$B$3:$B$250,"*"&amp;$D149&amp;"*",'2025 AC'!F$3:F$250)</f>
        <v>0</v>
      </c>
      <c r="AL149" s="53">
        <f>SUMIF('2025 AC'!$B$3:$B$250,"*"&amp;$D149&amp;"*",'2025 AC'!G$3:G$250)</f>
        <v>0</v>
      </c>
      <c r="AM149" s="53">
        <f>SUMIF('2025 AC'!$B$3:$B$250,"*"&amp;$D149&amp;"*",'2025 AC'!H$3:H$250)</f>
        <v>0</v>
      </c>
      <c r="AN149" s="53">
        <f>SUMIF('2025 AC'!$B$3:$B$250,"*"&amp;$D149&amp;"*",'2025 AC'!I$3:I$250)</f>
        <v>0</v>
      </c>
      <c r="AO149" s="53">
        <f>SUMIF('2025 AC'!$B$3:$B$250,"*"&amp;$D149&amp;"*",'2025 AC'!J$3:J$250)</f>
        <v>0</v>
      </c>
      <c r="AP149" s="53">
        <f>SUMIF('2025 AC'!$B$3:$B$250,"*"&amp;$D149&amp;"*",'2025 AC'!K$3:K$250)</f>
        <v>0</v>
      </c>
      <c r="AQ149" s="53">
        <f>SUMIF('2025 AC'!$B$3:$B$250,"*"&amp;$D149&amp;"*",'2025 AC'!L$3:L$250)</f>
        <v>0</v>
      </c>
      <c r="AR149" s="53">
        <f>SUMIF('2025 AC'!$B$3:$B$250,"*"&amp;$D149&amp;"*",'2025 AC'!M$3:M$250)</f>
        <v>0</v>
      </c>
      <c r="AS149" s="53">
        <f>SUMIF('2025 AC'!$B$3:$B$250,"*"&amp;$D149&amp;"*",'2025 AC'!N$3:N$250)</f>
        <v>0</v>
      </c>
      <c r="AT149" s="94">
        <f t="shared" si="138"/>
        <v>0</v>
      </c>
      <c r="AU149" s="93">
        <f t="shared" si="162"/>
        <v>0</v>
      </c>
      <c r="AV149" s="93">
        <f t="shared" si="163"/>
        <v>0</v>
      </c>
      <c r="AW149" s="93">
        <f t="shared" si="164"/>
        <v>0</v>
      </c>
      <c r="AX149" s="93">
        <f t="shared" si="165"/>
        <v>0</v>
      </c>
      <c r="AY149" s="92">
        <f t="shared" si="166"/>
        <v>0</v>
      </c>
      <c r="BA149" s="63">
        <f>SUMIF('2026 AC'!$B$3:$B$254,"*"&amp;$D149&amp;"*",'2026 AC'!C$3:C$254)</f>
        <v>0</v>
      </c>
      <c r="BB149" s="53">
        <f>SUMIF('2026 AC'!$B$3:$B$254,"*"&amp;$D149&amp;"*",'2026 AC'!D$3:D$254)</f>
        <v>0</v>
      </c>
      <c r="BC149" s="53">
        <f>SUMIF('2026 AC'!$B$3:$B$254,"*"&amp;$D149&amp;"*",'2026 AC'!E$3:E$254)</f>
        <v>0</v>
      </c>
      <c r="BD149" s="53">
        <f>SUMIF('2026 AC'!$B$3:$B$254,"*"&amp;$D149&amp;"*",'2026 AC'!F$3:F$254)</f>
        <v>0</v>
      </c>
      <c r="BE149" s="53">
        <f>SUMIF('2026 AC'!$B$3:$B$254,"*"&amp;$D149&amp;"*",'2026 AC'!G$3:G$254)</f>
        <v>0</v>
      </c>
      <c r="BF149" s="53">
        <f>SUMIF('2026 AC'!$B$3:$B$254,"*"&amp;$D149&amp;"*",'2026 AC'!H$3:H$254)</f>
        <v>0</v>
      </c>
      <c r="BG149" s="53">
        <f>SUMIF('2026 AC'!$B$3:$B$254,"*"&amp;$D149&amp;"*",'2026 AC'!I$3:I$254)</f>
        <v>0</v>
      </c>
      <c r="BH149" s="53">
        <f>SUMIF('2026 AC'!$B$3:$B$254,"*"&amp;$D149&amp;"*",'2026 AC'!J$3:J$254)</f>
        <v>0</v>
      </c>
      <c r="BI149" s="53">
        <f>SUMIF('2026 AC'!$B$3:$B$254,"*"&amp;$D149&amp;"*",'2026 AC'!K$3:K$254)</f>
        <v>0</v>
      </c>
      <c r="BJ149" s="53">
        <f>SUMIF('2026 AC'!$B$3:$B$254,"*"&amp;$D149&amp;"*",'2026 AC'!L$3:L$254)</f>
        <v>0</v>
      </c>
      <c r="BK149" s="53">
        <f>SUMIF('2026 AC'!$B$3:$B$254,"*"&amp;$D149&amp;"*",'2026 AC'!M$3:M$254)</f>
        <v>0</v>
      </c>
      <c r="BL149" s="93">
        <f>SUMIF('2026 AC'!$B$3:$B$254,"*"&amp;$D149&amp;"*",'2026 AC'!N$3:N$254)</f>
        <v>0</v>
      </c>
      <c r="BM149" s="92">
        <f t="shared" si="139"/>
        <v>0</v>
      </c>
      <c r="BN149" s="93">
        <f t="shared" si="167"/>
        <v>0</v>
      </c>
      <c r="BO149" s="93">
        <f t="shared" si="168"/>
        <v>0</v>
      </c>
      <c r="BP149" s="93">
        <f t="shared" si="169"/>
        <v>0</v>
      </c>
      <c r="BQ149" s="93">
        <f t="shared" si="170"/>
        <v>0</v>
      </c>
      <c r="BR149" s="92">
        <f t="shared" si="171"/>
        <v>0</v>
      </c>
    </row>
    <row r="150" outlineLevel="1">
      <c r="A150" t="s">
        <v>342</v>
      </c>
      <c r="B150" t="s">
        <v>343</v>
      </c>
      <c r="C150" s="52" t="s">
        <v>344</v>
      </c>
      <c r="D150" s="35" t="s">
        <v>343</v>
      </c>
      <c r="E150" s="188">
        <f t="shared" si="117"/>
        <v>0</v>
      </c>
      <c r="F150" s="152">
        <f t="shared" si="118"/>
        <v>0</v>
      </c>
      <c r="G150" s="154">
        <f t="shared" si="176"/>
        <v>0</v>
      </c>
      <c r="H150" s="153">
        <f t="shared" si="119"/>
        <v>0</v>
      </c>
      <c r="I150" s="153">
        <f t="shared" si="120"/>
        <v>0</v>
      </c>
      <c r="J150" s="154">
        <f t="shared" si="177"/>
        <v>0</v>
      </c>
      <c r="K150" s="153">
        <f t="shared" si="122"/>
        <v>0</v>
      </c>
      <c r="L150" s="153">
        <f t="shared" si="123"/>
        <v>0</v>
      </c>
      <c r="M150" s="155">
        <f t="shared" si="178"/>
        <v>0</v>
      </c>
      <c r="O150" s="63">
        <f>SUMIF('2024 AC'!$B$3:$B$250,"*"&amp;$D150&amp;"*",'2024 AC'!C$3:C$250)</f>
        <v>0</v>
      </c>
      <c r="P150" s="53">
        <f>SUMIF('2024 AC'!$B$3:$B$250,"*"&amp;$D150&amp;"*",'2024 AC'!D$3:D$250)</f>
        <v>0</v>
      </c>
      <c r="Q150" s="53">
        <f>SUMIF('2024 AC'!$B$3:$B$250,"*"&amp;$D150&amp;"*",'2024 AC'!E$3:E$250)</f>
        <v>0</v>
      </c>
      <c r="R150" s="53">
        <f>SUMIF('2024 AC'!$B$3:$B$250,"*"&amp;$D150&amp;"*",'2024 AC'!F$3:F$250)</f>
        <v>0</v>
      </c>
      <c r="S150" s="53">
        <f>SUMIF('2024 AC'!$B$3:$B$250,"*"&amp;$D150&amp;"*",'2024 AC'!G$3:G$250)</f>
        <v>0</v>
      </c>
      <c r="T150" s="53">
        <f>SUMIF('2024 AC'!$B$3:$B$250,"*"&amp;$D150&amp;"*",'2024 AC'!H$3:H$250)</f>
        <v>0</v>
      </c>
      <c r="U150" s="53">
        <f>SUMIF('2024 AC'!$B$3:$B$250,"*"&amp;$D150&amp;"*",'2024 AC'!I$3:I$250)</f>
        <v>0</v>
      </c>
      <c r="V150" s="53">
        <f>SUMIF('2024 AC'!$B$3:$B$250,"*"&amp;$D150&amp;"*",'2024 AC'!J$3:J$250)</f>
        <v>0</v>
      </c>
      <c r="W150" s="53">
        <f>SUMIF('2024 AC'!$B$3:$B$250,"*"&amp;$D150&amp;"*",'2024 AC'!K$3:K$250)</f>
        <v>0</v>
      </c>
      <c r="X150" s="53">
        <f>SUMIF('2024 AC'!$B$3:$B$250,"*"&amp;$D150&amp;"*",'2024 AC'!L$3:L$250)</f>
        <v>0</v>
      </c>
      <c r="Y150" s="53">
        <f>SUMIF('2024 AC'!$B$3:$B$250,"*"&amp;$D150&amp;"*",'2024 AC'!M$3:M$250)</f>
        <v>0</v>
      </c>
      <c r="Z150" s="93">
        <f>SUMIF('2024 AC'!$B$3:$B$250,"*"&amp;$D150&amp;"*",'2024 AC'!N$3:N$250)</f>
        <v>0</v>
      </c>
      <c r="AA150" s="92">
        <f t="shared" si="156"/>
        <v>0</v>
      </c>
      <c r="AB150" s="93">
        <f t="shared" si="157"/>
        <v>0</v>
      </c>
      <c r="AC150" s="93">
        <f t="shared" si="158"/>
        <v>0</v>
      </c>
      <c r="AD150" s="93">
        <f t="shared" si="159"/>
        <v>0</v>
      </c>
      <c r="AE150" s="93">
        <f t="shared" si="160"/>
        <v>0</v>
      </c>
      <c r="AF150" s="92">
        <f t="shared" si="161"/>
        <v>0</v>
      </c>
      <c r="AH150" s="63">
        <f>SUMIF('2025 AC'!$B$3:$B$250,"*"&amp;$D150&amp;"*",'2025 AC'!C$3:C$250)</f>
        <v>0</v>
      </c>
      <c r="AI150" s="53">
        <f>SUMIF('2025 AC'!$B$3:$B$250,"*"&amp;$D150&amp;"*",'2025 AC'!D$3:D$250)</f>
        <v>0</v>
      </c>
      <c r="AJ150" s="53">
        <f>SUMIF('2025 AC'!$B$3:$B$250,"*"&amp;$D150&amp;"*",'2025 AC'!E$3:E$250)</f>
        <v>0</v>
      </c>
      <c r="AK150" s="53">
        <f>SUMIF('2025 AC'!$B$3:$B$250,"*"&amp;$D150&amp;"*",'2025 AC'!F$3:F$250)</f>
        <v>0</v>
      </c>
      <c r="AL150" s="53">
        <f>SUMIF('2025 AC'!$B$3:$B$250,"*"&amp;$D150&amp;"*",'2025 AC'!G$3:G$250)</f>
        <v>0</v>
      </c>
      <c r="AM150" s="53">
        <f>SUMIF('2025 AC'!$B$3:$B$250,"*"&amp;$D150&amp;"*",'2025 AC'!H$3:H$250)</f>
        <v>0</v>
      </c>
      <c r="AN150" s="53">
        <f>SUMIF('2025 AC'!$B$3:$B$250,"*"&amp;$D150&amp;"*",'2025 AC'!I$3:I$250)</f>
        <v>0</v>
      </c>
      <c r="AO150" s="53">
        <f>SUMIF('2025 AC'!$B$3:$B$250,"*"&amp;$D150&amp;"*",'2025 AC'!J$3:J$250)</f>
        <v>230</v>
      </c>
      <c r="AP150" s="53">
        <f>SUMIF('2025 AC'!$B$3:$B$250,"*"&amp;$D150&amp;"*",'2025 AC'!K$3:K$250)</f>
        <v>144.63</v>
      </c>
      <c r="AQ150" s="53">
        <f>SUMIF('2025 AC'!$B$3:$B$250,"*"&amp;$D150&amp;"*",'2025 AC'!L$3:L$250)</f>
        <v>0</v>
      </c>
      <c r="AR150" s="53">
        <f>SUMIF('2025 AC'!$B$3:$B$250,"*"&amp;$D150&amp;"*",'2025 AC'!M$3:M$250)</f>
        <v>0</v>
      </c>
      <c r="AS150" s="53">
        <f>SUMIF('2025 AC'!$B$3:$B$250,"*"&amp;$D150&amp;"*",'2025 AC'!N$3:N$250)</f>
        <v>0</v>
      </c>
      <c r="AT150" s="94">
        <f t="shared" si="138"/>
        <v>374.63</v>
      </c>
      <c r="AU150" s="93">
        <f t="shared" si="162"/>
        <v>0</v>
      </c>
      <c r="AV150" s="93">
        <f t="shared" si="163"/>
        <v>0</v>
      </c>
      <c r="AW150" s="93">
        <f t="shared" si="164"/>
        <v>374.63</v>
      </c>
      <c r="AX150" s="93">
        <f t="shared" si="165"/>
        <v>0</v>
      </c>
      <c r="AY150" s="92">
        <f t="shared" si="166"/>
        <v>374.63</v>
      </c>
      <c r="BA150" s="63">
        <f>SUMIF('2026 AC'!$B$3:$B$254,"*"&amp;$D150&amp;"*",'2026 AC'!C$3:C$254)</f>
        <v>0</v>
      </c>
      <c r="BB150" s="53">
        <f>SUMIF('2026 AC'!$B$3:$B$254,"*"&amp;$D150&amp;"*",'2026 AC'!D$3:D$254)</f>
        <v>0</v>
      </c>
      <c r="BC150" s="53">
        <f>SUMIF('2026 AC'!$B$3:$B$254,"*"&amp;$D150&amp;"*",'2026 AC'!E$3:E$254)</f>
        <v>0</v>
      </c>
      <c r="BD150" s="53">
        <f>SUMIF('2026 AC'!$B$3:$B$254,"*"&amp;$D150&amp;"*",'2026 AC'!F$3:F$254)</f>
        <v>0</v>
      </c>
      <c r="BE150" s="53">
        <f>SUMIF('2026 AC'!$B$3:$B$254,"*"&amp;$D150&amp;"*",'2026 AC'!G$3:G$254)</f>
        <v>0</v>
      </c>
      <c r="BF150" s="53">
        <f>SUMIF('2026 AC'!$B$3:$B$254,"*"&amp;$D150&amp;"*",'2026 AC'!H$3:H$254)</f>
        <v>0</v>
      </c>
      <c r="BG150" s="53">
        <f>SUMIF('2026 AC'!$B$3:$B$254,"*"&amp;$D150&amp;"*",'2026 AC'!I$3:I$254)</f>
        <v>0</v>
      </c>
      <c r="BH150" s="53">
        <f>SUMIF('2026 AC'!$B$3:$B$254,"*"&amp;$D150&amp;"*",'2026 AC'!J$3:J$254)</f>
        <v>0</v>
      </c>
      <c r="BI150" s="53">
        <f>SUMIF('2026 AC'!$B$3:$B$254,"*"&amp;$D150&amp;"*",'2026 AC'!K$3:K$254)</f>
        <v>0</v>
      </c>
      <c r="BJ150" s="53">
        <f>SUMIF('2026 AC'!$B$3:$B$254,"*"&amp;$D150&amp;"*",'2026 AC'!L$3:L$254)</f>
        <v>0</v>
      </c>
      <c r="BK150" s="53">
        <f>SUMIF('2026 AC'!$B$3:$B$254,"*"&amp;$D150&amp;"*",'2026 AC'!M$3:M$254)</f>
        <v>0</v>
      </c>
      <c r="BL150" s="93">
        <f>SUMIF('2026 AC'!$B$3:$B$254,"*"&amp;$D150&amp;"*",'2026 AC'!N$3:N$254)</f>
        <v>0</v>
      </c>
      <c r="BM150" s="92">
        <f t="shared" si="139"/>
        <v>0</v>
      </c>
      <c r="BN150" s="93">
        <f t="shared" si="167"/>
        <v>0</v>
      </c>
      <c r="BO150" s="93">
        <f t="shared" si="168"/>
        <v>0</v>
      </c>
      <c r="BP150" s="93">
        <f t="shared" si="169"/>
        <v>0</v>
      </c>
      <c r="BQ150" s="93">
        <f t="shared" si="170"/>
        <v>0</v>
      </c>
      <c r="BR150" s="92">
        <f t="shared" si="171"/>
        <v>0</v>
      </c>
    </row>
    <row r="151" outlineLevel="1">
      <c r="A151" t="s">
        <v>345</v>
      </c>
      <c r="B151" t="s">
        <v>346</v>
      </c>
      <c r="C151" s="34" t="s">
        <v>347</v>
      </c>
      <c r="D151" s="35" t="s">
        <v>346</v>
      </c>
      <c r="E151" s="151">
        <f t="shared" si="117"/>
        <v>0</v>
      </c>
      <c r="F151" s="152">
        <f t="shared" si="118"/>
        <v>0</v>
      </c>
      <c r="G151" s="154">
        <f t="shared" si="176"/>
        <v>0</v>
      </c>
      <c r="H151" s="153">
        <f t="shared" si="119"/>
        <v>0</v>
      </c>
      <c r="I151" s="153">
        <f t="shared" si="120"/>
        <v>0</v>
      </c>
      <c r="J151" s="154">
        <f t="shared" si="177"/>
        <v>0</v>
      </c>
      <c r="K151" s="153">
        <f t="shared" si="122"/>
        <v>0</v>
      </c>
      <c r="L151" s="153">
        <f t="shared" si="123"/>
        <v>0</v>
      </c>
      <c r="M151" s="155">
        <f t="shared" si="178"/>
        <v>0</v>
      </c>
      <c r="O151" s="63">
        <f>SUMIF('2024 AC'!$B$3:$B$250,"*"&amp;$D151&amp;"*",'2024 AC'!C$3:C$250)</f>
        <v>0</v>
      </c>
      <c r="P151" s="53">
        <f>SUMIF('2024 AC'!$B$3:$B$250,"*"&amp;$D151&amp;"*",'2024 AC'!D$3:D$250)</f>
        <v>0</v>
      </c>
      <c r="Q151" s="53">
        <f>SUMIF('2024 AC'!$B$3:$B$250,"*"&amp;$D151&amp;"*",'2024 AC'!E$3:E$250)</f>
        <v>0</v>
      </c>
      <c r="R151" s="53">
        <f>SUMIF('2024 AC'!$B$3:$B$250,"*"&amp;$D151&amp;"*",'2024 AC'!F$3:F$250)</f>
        <v>0</v>
      </c>
      <c r="S151" s="53">
        <f>SUMIF('2024 AC'!$B$3:$B$250,"*"&amp;$D151&amp;"*",'2024 AC'!G$3:G$250)</f>
        <v>0</v>
      </c>
      <c r="T151" s="53">
        <f>SUMIF('2024 AC'!$B$3:$B$250,"*"&amp;$D151&amp;"*",'2024 AC'!H$3:H$250)</f>
        <v>0</v>
      </c>
      <c r="U151" s="53">
        <f>SUMIF('2024 AC'!$B$3:$B$250,"*"&amp;$D151&amp;"*",'2024 AC'!I$3:I$250)</f>
        <v>0</v>
      </c>
      <c r="V151" s="53">
        <f>SUMIF('2024 AC'!$B$3:$B$250,"*"&amp;$D151&amp;"*",'2024 AC'!J$3:J$250)</f>
        <v>0</v>
      </c>
      <c r="W151" s="53">
        <f>SUMIF('2024 AC'!$B$3:$B$250,"*"&amp;$D151&amp;"*",'2024 AC'!K$3:K$250)</f>
        <v>0</v>
      </c>
      <c r="X151" s="53">
        <f>SUMIF('2024 AC'!$B$3:$B$250,"*"&amp;$D151&amp;"*",'2024 AC'!L$3:L$250)</f>
        <v>0</v>
      </c>
      <c r="Y151" s="53">
        <f>SUMIF('2024 AC'!$B$3:$B$250,"*"&amp;$D151&amp;"*",'2024 AC'!M$3:M$250)</f>
        <v>0</v>
      </c>
      <c r="Z151" s="93">
        <f>SUMIF('2024 AC'!$B$3:$B$250,"*"&amp;$D151&amp;"*",'2024 AC'!N$3:N$250)</f>
        <v>0</v>
      </c>
      <c r="AA151" s="92">
        <f t="shared" si="156"/>
        <v>0</v>
      </c>
      <c r="AB151" s="93">
        <f t="shared" si="157"/>
        <v>0</v>
      </c>
      <c r="AC151" s="93">
        <f t="shared" si="158"/>
        <v>0</v>
      </c>
      <c r="AD151" s="93">
        <f t="shared" si="159"/>
        <v>0</v>
      </c>
      <c r="AE151" s="93">
        <f t="shared" si="160"/>
        <v>0</v>
      </c>
      <c r="AF151" s="92">
        <f t="shared" si="161"/>
        <v>0</v>
      </c>
      <c r="AH151" s="63">
        <f>SUMIF('2025 AC'!$B$3:$B$250,"*"&amp;$D151&amp;"*",'2025 AC'!C$3:C$250)</f>
        <v>0</v>
      </c>
      <c r="AI151" s="53">
        <f>SUMIF('2025 AC'!$B$3:$B$250,"*"&amp;$D151&amp;"*",'2025 AC'!D$3:D$250)</f>
        <v>0</v>
      </c>
      <c r="AJ151" s="53">
        <f>SUMIF('2025 AC'!$B$3:$B$250,"*"&amp;$D151&amp;"*",'2025 AC'!E$3:E$250)</f>
        <v>0</v>
      </c>
      <c r="AK151" s="53">
        <f>SUMIF('2025 AC'!$B$3:$B$250,"*"&amp;$D151&amp;"*",'2025 AC'!F$3:F$250)</f>
        <v>0</v>
      </c>
      <c r="AL151" s="53">
        <f>SUMIF('2025 AC'!$B$3:$B$250,"*"&amp;$D151&amp;"*",'2025 AC'!G$3:G$250)</f>
        <v>0</v>
      </c>
      <c r="AM151" s="53">
        <f>SUMIF('2025 AC'!$B$3:$B$250,"*"&amp;$D151&amp;"*",'2025 AC'!H$3:H$250)</f>
        <v>0</v>
      </c>
      <c r="AN151" s="53">
        <f>SUMIF('2025 AC'!$B$3:$B$250,"*"&amp;$D151&amp;"*",'2025 AC'!I$3:I$250)</f>
        <v>0</v>
      </c>
      <c r="AO151" s="53">
        <f>SUMIF('2025 AC'!$B$3:$B$250,"*"&amp;$D151&amp;"*",'2025 AC'!J$3:J$250)</f>
        <v>0</v>
      </c>
      <c r="AP151" s="53">
        <f>SUMIF('2025 AC'!$B$3:$B$250,"*"&amp;$D151&amp;"*",'2025 AC'!K$3:K$250)</f>
        <v>0</v>
      </c>
      <c r="AQ151" s="53">
        <f>SUMIF('2025 AC'!$B$3:$B$250,"*"&amp;$D151&amp;"*",'2025 AC'!L$3:L$250)</f>
        <v>1976.3699999999999</v>
      </c>
      <c r="AR151" s="53">
        <f>SUMIF('2025 AC'!$B$3:$B$250,"*"&amp;$D151&amp;"*",'2025 AC'!M$3:M$250)</f>
        <v>0</v>
      </c>
      <c r="AS151" s="53">
        <f>SUMIF('2025 AC'!$B$3:$B$250,"*"&amp;$D151&amp;"*",'2025 AC'!N$3:N$250)</f>
        <v>0</v>
      </c>
      <c r="AT151" s="94">
        <f t="shared" si="138"/>
        <v>1976.3699999999999</v>
      </c>
      <c r="AU151" s="93">
        <f t="shared" si="162"/>
        <v>0</v>
      </c>
      <c r="AV151" s="93">
        <f t="shared" si="163"/>
        <v>0</v>
      </c>
      <c r="AW151" s="93">
        <f t="shared" si="164"/>
        <v>0</v>
      </c>
      <c r="AX151" s="93">
        <f t="shared" si="165"/>
        <v>1976.3699999999999</v>
      </c>
      <c r="AY151" s="92">
        <f t="shared" si="166"/>
        <v>1976.3699999999999</v>
      </c>
      <c r="BA151" s="63">
        <f>SUMIF('2026 AC'!$B$3:$B$254,"*"&amp;$D151&amp;"*",'2026 AC'!C$3:C$254)</f>
        <v>0</v>
      </c>
      <c r="BB151" s="53">
        <f>SUMIF('2026 AC'!$B$3:$B$254,"*"&amp;$D151&amp;"*",'2026 AC'!D$3:D$254)</f>
        <v>0</v>
      </c>
      <c r="BC151" s="53">
        <f>SUMIF('2026 AC'!$B$3:$B$254,"*"&amp;$D151&amp;"*",'2026 AC'!E$3:E$254)</f>
        <v>0</v>
      </c>
      <c r="BD151" s="53">
        <f>SUMIF('2026 AC'!$B$3:$B$254,"*"&amp;$D151&amp;"*",'2026 AC'!F$3:F$254)</f>
        <v>0</v>
      </c>
      <c r="BE151" s="53">
        <f>SUMIF('2026 AC'!$B$3:$B$254,"*"&amp;$D151&amp;"*",'2026 AC'!G$3:G$254)</f>
        <v>0</v>
      </c>
      <c r="BF151" s="53">
        <f>SUMIF('2026 AC'!$B$3:$B$254,"*"&amp;$D151&amp;"*",'2026 AC'!H$3:H$254)</f>
        <v>0</v>
      </c>
      <c r="BG151" s="53">
        <f>SUMIF('2026 AC'!$B$3:$B$254,"*"&amp;$D151&amp;"*",'2026 AC'!I$3:I$254)</f>
        <v>0</v>
      </c>
      <c r="BH151" s="53">
        <f>SUMIF('2026 AC'!$B$3:$B$254,"*"&amp;$D151&amp;"*",'2026 AC'!J$3:J$254)</f>
        <v>0</v>
      </c>
      <c r="BI151" s="53">
        <f>SUMIF('2026 AC'!$B$3:$B$254,"*"&amp;$D151&amp;"*",'2026 AC'!K$3:K$254)</f>
        <v>0</v>
      </c>
      <c r="BJ151" s="53">
        <f>SUMIF('2026 AC'!$B$3:$B$254,"*"&amp;$D151&amp;"*",'2026 AC'!L$3:L$254)</f>
        <v>0</v>
      </c>
      <c r="BK151" s="53">
        <f>SUMIF('2026 AC'!$B$3:$B$254,"*"&amp;$D151&amp;"*",'2026 AC'!M$3:M$254)</f>
        <v>0</v>
      </c>
      <c r="BL151" s="93">
        <f>SUMIF('2026 AC'!$B$3:$B$254,"*"&amp;$D151&amp;"*",'2026 AC'!N$3:N$254)</f>
        <v>0</v>
      </c>
      <c r="BM151" s="92">
        <f t="shared" si="139"/>
        <v>0</v>
      </c>
      <c r="BN151" s="93">
        <f t="shared" si="167"/>
        <v>0</v>
      </c>
      <c r="BO151" s="93">
        <f t="shared" si="168"/>
        <v>0</v>
      </c>
      <c r="BP151" s="93">
        <f t="shared" si="169"/>
        <v>0</v>
      </c>
      <c r="BQ151" s="93">
        <f t="shared" si="170"/>
        <v>0</v>
      </c>
      <c r="BR151" s="92">
        <f t="shared" si="171"/>
        <v>0</v>
      </c>
    </row>
    <row r="152" outlineLevel="1">
      <c r="A152" t="s">
        <v>348</v>
      </c>
      <c r="B152" t="s">
        <v>349</v>
      </c>
      <c r="C152" s="34" t="s">
        <v>350</v>
      </c>
      <c r="D152" s="35" t="s">
        <v>349</v>
      </c>
      <c r="E152" s="151">
        <f t="shared" si="117"/>
        <v>1385.26</v>
      </c>
      <c r="F152" s="152">
        <f t="shared" si="118"/>
        <v>2785.5300000000002</v>
      </c>
      <c r="G152" s="54">
        <f t="shared" si="179"/>
        <v>-0.5026942808011402</v>
      </c>
      <c r="H152" s="153">
        <f t="shared" si="119"/>
        <v>4862.3800000000001</v>
      </c>
      <c r="I152" s="153">
        <f t="shared" si="120"/>
        <v>8543.1800000000003</v>
      </c>
      <c r="J152" s="54">
        <f t="shared" si="180"/>
        <v>-0.43084659342305792</v>
      </c>
      <c r="K152" s="153">
        <f t="shared" si="122"/>
        <v>13850.519999999999</v>
      </c>
      <c r="L152" s="153">
        <f t="shared" si="123"/>
        <v>17803.649999999998</v>
      </c>
      <c r="M152" s="55">
        <f t="shared" si="181"/>
        <v>-0.22204042429501814</v>
      </c>
      <c r="O152" s="63">
        <f>SUMIF('2024 AC'!$B$3:$B$250,"*"&amp;$D152&amp;"*",'2024 AC'!C$3:C$250)</f>
        <v>2952.6799999999998</v>
      </c>
      <c r="P152" s="53">
        <f>SUMIF('2024 AC'!$B$3:$B$250,"*"&amp;$D152&amp;"*",'2024 AC'!D$3:D$250)</f>
        <v>2851.0300000000002</v>
      </c>
      <c r="Q152" s="53">
        <f>SUMIF('2024 AC'!$B$3:$B$250,"*"&amp;$D152&amp;"*",'2024 AC'!E$3:E$250)</f>
        <v>3215.8000000000002</v>
      </c>
      <c r="R152" s="53">
        <f>SUMIF('2024 AC'!$B$3:$B$250,"*"&amp;$D152&amp;"*",'2024 AC'!F$3:F$250)</f>
        <v>2834.5599999999999</v>
      </c>
      <c r="S152" s="53">
        <f>SUMIF('2024 AC'!$B$3:$B$250,"*"&amp;$D152&amp;"*",'2024 AC'!G$3:G$250)</f>
        <v>3009.8499999999999</v>
      </c>
      <c r="T152" s="53">
        <f>SUMIF('2024 AC'!$B$3:$B$250,"*"&amp;$D152&amp;"*",'2024 AC'!H$3:H$250)</f>
        <v>3043.4400000000001</v>
      </c>
      <c r="U152" s="53">
        <f>SUMIF('2024 AC'!$B$3:$B$250,"*"&amp;$D152&amp;"*",'2024 AC'!I$3:I$250)</f>
        <v>3293.7800000000002</v>
      </c>
      <c r="V152" s="53">
        <f>SUMIF('2024 AC'!$B$3:$B$250,"*"&amp;$D152&amp;"*",'2024 AC'!J$3:J$250)</f>
        <v>2961.9499999999998</v>
      </c>
      <c r="W152" s="53">
        <f>SUMIF('2024 AC'!$B$3:$B$250,"*"&amp;$D152&amp;"*",'2024 AC'!K$3:K$250)</f>
        <v>2681.2600000000002</v>
      </c>
      <c r="X152" s="53">
        <f>SUMIF('2024 AC'!$B$3:$B$250,"*"&amp;$D152&amp;"*",'2024 AC'!L$3:L$250)</f>
        <v>2759.4499999999998</v>
      </c>
      <c r="Y152" s="53">
        <f>SUMIF('2024 AC'!$B$3:$B$250,"*"&amp;$D152&amp;"*",'2024 AC'!M$3:M$250)</f>
        <v>2669.7600000000002</v>
      </c>
      <c r="Z152" s="93">
        <f>SUMIF('2024 AC'!$B$3:$B$250,"*"&amp;$D152&amp;"*",'2024 AC'!N$3:N$250)</f>
        <v>3105.6999999999998</v>
      </c>
      <c r="AA152" s="92">
        <f t="shared" si="156"/>
        <v>35379.259999999995</v>
      </c>
      <c r="AB152" s="93">
        <f t="shared" si="157"/>
        <v>9019.5100000000002</v>
      </c>
      <c r="AC152" s="93">
        <f t="shared" si="158"/>
        <v>8887.8500000000004</v>
      </c>
      <c r="AD152" s="93">
        <f t="shared" si="159"/>
        <v>8936.9899999999998</v>
      </c>
      <c r="AE152" s="93">
        <f t="shared" si="160"/>
        <v>8534.9099999999999</v>
      </c>
      <c r="AF152" s="92">
        <f t="shared" si="161"/>
        <v>35379.259999999995</v>
      </c>
      <c r="AH152" s="63">
        <f>SUMIF('2025 AC'!$B$3:$B$250,"*"&amp;$D152&amp;"*",'2025 AC'!C$3:C$250)</f>
        <v>3225.7399999999998</v>
      </c>
      <c r="AI152" s="53">
        <f>SUMIF('2025 AC'!$B$3:$B$250,"*"&amp;$D152&amp;"*",'2025 AC'!D$3:D$250)</f>
        <v>2624.79</v>
      </c>
      <c r="AJ152" s="53">
        <f>SUMIF('2025 AC'!$B$3:$B$250,"*"&amp;$D152&amp;"*",'2025 AC'!E$3:E$250)</f>
        <v>3409.9400000000001</v>
      </c>
      <c r="AK152" s="53">
        <f>SUMIF('2025 AC'!$B$3:$B$250,"*"&amp;$D152&amp;"*",'2025 AC'!F$3:F$250)</f>
        <v>2753.1900000000001</v>
      </c>
      <c r="AL152" s="53">
        <f>SUMIF('2025 AC'!$B$3:$B$250,"*"&amp;$D152&amp;"*",'2025 AC'!G$3:G$250)</f>
        <v>3004.46</v>
      </c>
      <c r="AM152" s="53">
        <f>SUMIF('2025 AC'!$B$3:$B$250,"*"&amp;$D152&amp;"*",'2025 AC'!H$3:H$250)</f>
        <v>2785.5300000000002</v>
      </c>
      <c r="AN152" s="53">
        <f>SUMIF('2025 AC'!$B$3:$B$250,"*"&amp;$D152&amp;"*",'2025 AC'!I$3:I$250)</f>
        <v>0</v>
      </c>
      <c r="AO152" s="53">
        <f>SUMIF('2025 AC'!$B$3:$B$250,"*"&amp;$D152&amp;"*",'2025 AC'!J$3:J$250)</f>
        <v>3014.4000000000001</v>
      </c>
      <c r="AP152" s="53">
        <f>SUMIF('2025 AC'!$B$3:$B$250,"*"&amp;$D152&amp;"*",'2025 AC'!K$3:K$250)</f>
        <v>2979.77</v>
      </c>
      <c r="AQ152" s="53">
        <f>SUMIF('2025 AC'!$B$3:$B$250,"*"&amp;$D152&amp;"*",'2025 AC'!L$3:L$250)</f>
        <v>2877.0599999999999</v>
      </c>
      <c r="AR152" s="53">
        <f>SUMIF('2025 AC'!$B$3:$B$250,"*"&amp;$D152&amp;"*",'2025 AC'!M$3:M$250)</f>
        <v>3017.25</v>
      </c>
      <c r="AS152" s="53">
        <f>SUMIF('2025 AC'!$B$3:$B$250,"*"&amp;$D152&amp;"*",'2025 AC'!N$3:N$250)</f>
        <v>6486.4899999999998</v>
      </c>
      <c r="AT152" s="94">
        <f t="shared" si="138"/>
        <v>36178.620000000003</v>
      </c>
      <c r="AU152" s="93">
        <f t="shared" si="162"/>
        <v>9260.4699999999993</v>
      </c>
      <c r="AV152" s="93">
        <f t="shared" si="163"/>
        <v>8543.1800000000003</v>
      </c>
      <c r="AW152" s="93">
        <f t="shared" si="164"/>
        <v>5994.1700000000001</v>
      </c>
      <c r="AX152" s="93">
        <f t="shared" si="165"/>
        <v>12380.799999999999</v>
      </c>
      <c r="AY152" s="92">
        <f t="shared" si="166"/>
        <v>36178.619999999995</v>
      </c>
      <c r="BA152" s="63">
        <f>SUMIF('2026 AC'!$B$3:$B$254,"*"&amp;$D152&amp;"*",'2026 AC'!C$3:C$254)</f>
        <v>3166.5</v>
      </c>
      <c r="BB152" s="53">
        <f>SUMIF('2026 AC'!$B$3:$B$254,"*"&amp;$D152&amp;"*",'2026 AC'!D$3:D$254)</f>
        <v>2698.2199999999998</v>
      </c>
      <c r="BC152" s="53">
        <f>SUMIF('2026 AC'!$B$3:$B$254,"*"&amp;$D152&amp;"*",'2026 AC'!E$3:E$254)</f>
        <v>3123.4200000000001</v>
      </c>
      <c r="BD152" s="53">
        <f>SUMIF('2026 AC'!$B$3:$B$254,"*"&amp;$D152&amp;"*",'2026 AC'!F$3:F$254)</f>
        <v>2253.6399999999999</v>
      </c>
      <c r="BE152" s="53">
        <f>SUMIF('2026 AC'!$B$3:$B$254,"*"&amp;$D152&amp;"*",'2026 AC'!G$3:G$254)</f>
        <v>1223.48</v>
      </c>
      <c r="BF152" s="53">
        <f>SUMIF('2026 AC'!$B$3:$B$254,"*"&amp;$D152&amp;"*",'2026 AC'!H$3:H$254)</f>
        <v>1385.26</v>
      </c>
      <c r="BG152" s="53">
        <f>SUMIF('2026 AC'!$B$3:$B$254,"*"&amp;$D152&amp;"*",'2026 AC'!I$3:I$254)</f>
        <v>0</v>
      </c>
      <c r="BH152" s="53">
        <f>SUMIF('2026 AC'!$B$3:$B$254,"*"&amp;$D152&amp;"*",'2026 AC'!J$3:J$254)</f>
        <v>0</v>
      </c>
      <c r="BI152" s="53">
        <f>SUMIF('2026 AC'!$B$3:$B$254,"*"&amp;$D152&amp;"*",'2026 AC'!K$3:K$254)</f>
        <v>0</v>
      </c>
      <c r="BJ152" s="53">
        <f>SUMIF('2026 AC'!$B$3:$B$254,"*"&amp;$D152&amp;"*",'2026 AC'!L$3:L$254)</f>
        <v>0</v>
      </c>
      <c r="BK152" s="53">
        <f>SUMIF('2026 AC'!$B$3:$B$254,"*"&amp;$D152&amp;"*",'2026 AC'!M$3:M$254)</f>
        <v>0</v>
      </c>
      <c r="BL152" s="93">
        <f>SUMIF('2026 AC'!$B$3:$B$254,"*"&amp;$D152&amp;"*",'2026 AC'!N$3:N$254)</f>
        <v>0</v>
      </c>
      <c r="BM152" s="92">
        <f t="shared" si="139"/>
        <v>13850.519999999999</v>
      </c>
      <c r="BN152" s="93">
        <f t="shared" si="167"/>
        <v>8988.1399999999994</v>
      </c>
      <c r="BO152" s="93">
        <f t="shared" si="168"/>
        <v>4862.3800000000001</v>
      </c>
      <c r="BP152" s="93">
        <f t="shared" si="169"/>
        <v>0</v>
      </c>
      <c r="BQ152" s="93">
        <f t="shared" si="170"/>
        <v>0</v>
      </c>
      <c r="BR152" s="92">
        <f t="shared" si="171"/>
        <v>13850.52</v>
      </c>
    </row>
    <row r="153" outlineLevel="1">
      <c r="A153" t="s">
        <v>351</v>
      </c>
      <c r="B153" t="s">
        <v>352</v>
      </c>
      <c r="C153" s="34" t="s">
        <v>353</v>
      </c>
      <c r="D153" s="35" t="s">
        <v>352</v>
      </c>
      <c r="E153" s="151">
        <f t="shared" si="117"/>
        <v>32</v>
      </c>
      <c r="F153" s="152">
        <f t="shared" si="118"/>
        <v>7080</v>
      </c>
      <c r="G153" s="54">
        <f t="shared" si="179"/>
        <v>-0.99548022598870056</v>
      </c>
      <c r="H153" s="153">
        <f t="shared" si="119"/>
        <v>224</v>
      </c>
      <c r="I153" s="153">
        <f t="shared" si="120"/>
        <v>7080</v>
      </c>
      <c r="J153" s="54">
        <f t="shared" si="180"/>
        <v>-0.96836158192090394</v>
      </c>
      <c r="K153" s="153">
        <f t="shared" si="122"/>
        <v>404</v>
      </c>
      <c r="L153" s="153">
        <f t="shared" si="123"/>
        <v>9546</v>
      </c>
      <c r="M153" s="55">
        <f t="shared" si="181"/>
        <v>-0.95767860884139955</v>
      </c>
      <c r="O153" s="63">
        <f>SUMIF('2024 AC'!$B$3:$B$250,"*"&amp;$D153&amp;"*",'2024 AC'!C$3:C$250)</f>
        <v>0</v>
      </c>
      <c r="P153" s="53">
        <f>SUMIF('2024 AC'!$B$3:$B$250,"*"&amp;$D153&amp;"*",'2024 AC'!D$3:D$250)</f>
        <v>86</v>
      </c>
      <c r="Q153" s="53">
        <f>SUMIF('2024 AC'!$B$3:$B$250,"*"&amp;$D153&amp;"*",'2024 AC'!E$3:E$250)</f>
        <v>182</v>
      </c>
      <c r="R153" s="53">
        <f>SUMIF('2024 AC'!$B$3:$B$250,"*"&amp;$D153&amp;"*",'2024 AC'!F$3:F$250)</f>
        <v>0</v>
      </c>
      <c r="S153" s="53">
        <f>SUMIF('2024 AC'!$B$3:$B$250,"*"&amp;$D153&amp;"*",'2024 AC'!G$3:G$250)</f>
        <v>0</v>
      </c>
      <c r="T153" s="53">
        <f>SUMIF('2024 AC'!$B$3:$B$250,"*"&amp;$D153&amp;"*",'2024 AC'!H$3:H$250)</f>
        <v>0</v>
      </c>
      <c r="U153" s="53">
        <f>SUMIF('2024 AC'!$B$3:$B$250,"*"&amp;$D153&amp;"*",'2024 AC'!I$3:I$250)</f>
        <v>198</v>
      </c>
      <c r="V153" s="53">
        <f>SUMIF('2024 AC'!$B$3:$B$250,"*"&amp;$D153&amp;"*",'2024 AC'!J$3:J$250)</f>
        <v>286</v>
      </c>
      <c r="W153" s="53">
        <f>SUMIF('2024 AC'!$B$3:$B$250,"*"&amp;$D153&amp;"*",'2024 AC'!K$3:K$250)</f>
        <v>158</v>
      </c>
      <c r="X153" s="53">
        <f>SUMIF('2024 AC'!$B$3:$B$250,"*"&amp;$D153&amp;"*",'2024 AC'!L$3:L$250)</f>
        <v>0</v>
      </c>
      <c r="Y153" s="53">
        <f>SUMIF('2024 AC'!$B$3:$B$250,"*"&amp;$D153&amp;"*",'2024 AC'!M$3:M$250)</f>
        <v>154</v>
      </c>
      <c r="Z153" s="93">
        <f>SUMIF('2024 AC'!$B$3:$B$250,"*"&amp;$D153&amp;"*",'2024 AC'!N$3:N$250)</f>
        <v>64</v>
      </c>
      <c r="AA153" s="92">
        <f t="shared" si="156"/>
        <v>1128</v>
      </c>
      <c r="AB153" s="93">
        <f t="shared" si="157"/>
        <v>268</v>
      </c>
      <c r="AC153" s="93">
        <f t="shared" si="158"/>
        <v>0</v>
      </c>
      <c r="AD153" s="93">
        <f t="shared" si="159"/>
        <v>642</v>
      </c>
      <c r="AE153" s="93">
        <f t="shared" si="160"/>
        <v>218</v>
      </c>
      <c r="AF153" s="92">
        <f t="shared" si="161"/>
        <v>1128</v>
      </c>
      <c r="AH153" s="63">
        <f>SUMIF('2025 AC'!$B$3:$B$250,"*"&amp;$D153&amp;"*",'2025 AC'!C$3:C$250)</f>
        <v>154</v>
      </c>
      <c r="AI153" s="53">
        <f>SUMIF('2025 AC'!$B$3:$B$250,"*"&amp;$D153&amp;"*",'2025 AC'!D$3:D$250)</f>
        <v>170</v>
      </c>
      <c r="AJ153" s="53">
        <f>SUMIF('2025 AC'!$B$3:$B$250,"*"&amp;$D153&amp;"*",'2025 AC'!E$3:E$250)</f>
        <v>2142</v>
      </c>
      <c r="AK153" s="53">
        <f>SUMIF('2025 AC'!$B$3:$B$250,"*"&amp;$D153&amp;"*",'2025 AC'!F$3:F$250)</f>
        <v>0</v>
      </c>
      <c r="AL153" s="53">
        <f>SUMIF('2025 AC'!$B$3:$B$250,"*"&amp;$D153&amp;"*",'2025 AC'!G$3:G$250)</f>
        <v>0</v>
      </c>
      <c r="AM153" s="53">
        <f>SUMIF('2025 AC'!$B$3:$B$250,"*"&amp;$D153&amp;"*",'2025 AC'!H$3:H$250)</f>
        <v>7080</v>
      </c>
      <c r="AN153" s="53">
        <f>SUMIF('2025 AC'!$B$3:$B$250,"*"&amp;$D153&amp;"*",'2025 AC'!I$3:I$250)</f>
        <v>-178</v>
      </c>
      <c r="AO153" s="53">
        <f>SUMIF('2025 AC'!$B$3:$B$250,"*"&amp;$D153&amp;"*",'2025 AC'!J$3:J$250)</f>
        <v>184</v>
      </c>
      <c r="AP153" s="53">
        <f>SUMIF('2025 AC'!$B$3:$B$250,"*"&amp;$D153&amp;"*",'2025 AC'!K$3:K$250)</f>
        <v>171</v>
      </c>
      <c r="AQ153" s="53">
        <f>SUMIF('2025 AC'!$B$3:$B$250,"*"&amp;$D153&amp;"*",'2025 AC'!L$3:L$250)</f>
        <v>283</v>
      </c>
      <c r="AR153" s="53">
        <f>SUMIF('2025 AC'!$B$3:$B$250,"*"&amp;$D153&amp;"*",'2025 AC'!M$3:M$250)</f>
        <v>213</v>
      </c>
      <c r="AS153" s="53">
        <f>SUMIF('2025 AC'!$B$3:$B$250,"*"&amp;$D153&amp;"*",'2025 AC'!N$3:N$250)</f>
        <v>369</v>
      </c>
      <c r="AT153" s="94">
        <f t="shared" si="138"/>
        <v>10588</v>
      </c>
      <c r="AU153" s="93">
        <f t="shared" si="162"/>
        <v>2466</v>
      </c>
      <c r="AV153" s="93">
        <f t="shared" si="163"/>
        <v>7080</v>
      </c>
      <c r="AW153" s="93">
        <f t="shared" si="164"/>
        <v>177</v>
      </c>
      <c r="AX153" s="93">
        <f t="shared" si="165"/>
        <v>865</v>
      </c>
      <c r="AY153" s="92">
        <f t="shared" si="166"/>
        <v>10588</v>
      </c>
      <c r="BA153" s="63">
        <f>SUMIF('2026 AC'!$B$3:$B$254,"*"&amp;$D153&amp;"*",'2026 AC'!C$3:C$254)</f>
        <v>0</v>
      </c>
      <c r="BB153" s="53">
        <f>SUMIF('2026 AC'!$B$3:$B$254,"*"&amp;$D153&amp;"*",'2026 AC'!D$3:D$254)</f>
        <v>180</v>
      </c>
      <c r="BC153" s="53">
        <f>SUMIF('2026 AC'!$B$3:$B$254,"*"&amp;$D153&amp;"*",'2026 AC'!E$3:E$254)</f>
        <v>0</v>
      </c>
      <c r="BD153" s="53">
        <f>SUMIF('2026 AC'!$B$3:$B$254,"*"&amp;$D153&amp;"*",'2026 AC'!F$3:F$254)</f>
        <v>0</v>
      </c>
      <c r="BE153" s="53">
        <f>SUMIF('2026 AC'!$B$3:$B$254,"*"&amp;$D153&amp;"*",'2026 AC'!G$3:G$254)</f>
        <v>192</v>
      </c>
      <c r="BF153" s="53">
        <f>SUMIF('2026 AC'!$B$3:$B$254,"*"&amp;$D153&amp;"*",'2026 AC'!H$3:H$254)</f>
        <v>32</v>
      </c>
      <c r="BG153" s="53">
        <f>SUMIF('2026 AC'!$B$3:$B$254,"*"&amp;$D153&amp;"*",'2026 AC'!I$3:I$254)</f>
        <v>0</v>
      </c>
      <c r="BH153" s="53">
        <f>SUMIF('2026 AC'!$B$3:$B$254,"*"&amp;$D153&amp;"*",'2026 AC'!J$3:J$254)</f>
        <v>0</v>
      </c>
      <c r="BI153" s="53">
        <f>SUMIF('2026 AC'!$B$3:$B$254,"*"&amp;$D153&amp;"*",'2026 AC'!K$3:K$254)</f>
        <v>0</v>
      </c>
      <c r="BJ153" s="53">
        <f>SUMIF('2026 AC'!$B$3:$B$254,"*"&amp;$D153&amp;"*",'2026 AC'!L$3:L$254)</f>
        <v>0</v>
      </c>
      <c r="BK153" s="53">
        <f>SUMIF('2026 AC'!$B$3:$B$254,"*"&amp;$D153&amp;"*",'2026 AC'!M$3:M$254)</f>
        <v>0</v>
      </c>
      <c r="BL153" s="93">
        <f>SUMIF('2026 AC'!$B$3:$B$254,"*"&amp;$D153&amp;"*",'2026 AC'!N$3:N$254)</f>
        <v>0</v>
      </c>
      <c r="BM153" s="92">
        <f t="shared" si="139"/>
        <v>404</v>
      </c>
      <c r="BN153" s="93">
        <f t="shared" si="167"/>
        <v>180</v>
      </c>
      <c r="BO153" s="93">
        <f t="shared" si="168"/>
        <v>224</v>
      </c>
      <c r="BP153" s="93">
        <f t="shared" si="169"/>
        <v>0</v>
      </c>
      <c r="BQ153" s="93">
        <f t="shared" si="170"/>
        <v>0</v>
      </c>
      <c r="BR153" s="92">
        <f t="shared" si="171"/>
        <v>404</v>
      </c>
    </row>
    <row r="154" outlineLevel="1">
      <c r="A154" t="s">
        <v>354</v>
      </c>
      <c r="B154" t="s">
        <v>355</v>
      </c>
      <c r="C154" s="34" t="s">
        <v>356</v>
      </c>
      <c r="D154" s="35" t="s">
        <v>355</v>
      </c>
      <c r="E154" s="151">
        <f t="shared" si="117"/>
        <v>1900</v>
      </c>
      <c r="F154" s="152">
        <f t="shared" si="118"/>
        <v>1900</v>
      </c>
      <c r="G154" s="54">
        <f t="shared" si="179"/>
        <v>0</v>
      </c>
      <c r="H154" s="153">
        <f t="shared" si="119"/>
        <v>8100</v>
      </c>
      <c r="I154" s="153">
        <f t="shared" si="120"/>
        <v>5700</v>
      </c>
      <c r="J154" s="54">
        <f t="shared" si="180"/>
        <v>0.42105263157894735</v>
      </c>
      <c r="K154" s="153">
        <f t="shared" si="122"/>
        <v>14119.24</v>
      </c>
      <c r="L154" s="153">
        <f t="shared" si="123"/>
        <v>11400</v>
      </c>
      <c r="M154" s="55">
        <f t="shared" si="181"/>
        <v>0.23852982456140348</v>
      </c>
      <c r="O154" s="63">
        <f>SUMIF('2024 AC'!$B$3:$B$250,"*"&amp;$D154&amp;"*",'2024 AC'!C$3:C$250)</f>
        <v>1800</v>
      </c>
      <c r="P154" s="53">
        <f>SUMIF('2024 AC'!$B$3:$B$250,"*"&amp;$D154&amp;"*",'2024 AC'!D$3:D$250)</f>
        <v>1800</v>
      </c>
      <c r="Q154" s="53">
        <f>SUMIF('2024 AC'!$B$3:$B$250,"*"&amp;$D154&amp;"*",'2024 AC'!E$3:E$250)</f>
        <v>1800</v>
      </c>
      <c r="R154" s="53">
        <f>SUMIF('2024 AC'!$B$3:$B$250,"*"&amp;$D154&amp;"*",'2024 AC'!F$3:F$250)</f>
        <v>1800</v>
      </c>
      <c r="S154" s="53">
        <f>SUMIF('2024 AC'!$B$3:$B$250,"*"&amp;$D154&amp;"*",'2024 AC'!G$3:G$250)</f>
        <v>1800</v>
      </c>
      <c r="T154" s="53">
        <f>SUMIF('2024 AC'!$B$3:$B$250,"*"&amp;$D154&amp;"*",'2024 AC'!H$3:H$250)</f>
        <v>1800</v>
      </c>
      <c r="U154" s="53">
        <f>SUMIF('2024 AC'!$B$3:$B$250,"*"&amp;$D154&amp;"*",'2024 AC'!I$3:I$250)</f>
        <v>1912</v>
      </c>
      <c r="V154" s="53">
        <f>SUMIF('2024 AC'!$B$3:$B$250,"*"&amp;$D154&amp;"*",'2024 AC'!J$3:J$250)</f>
        <v>1912</v>
      </c>
      <c r="W154" s="53">
        <f>SUMIF('2024 AC'!$B$3:$B$250,"*"&amp;$D154&amp;"*",'2024 AC'!K$3:K$250)</f>
        <v>1912</v>
      </c>
      <c r="X154" s="53">
        <f>SUMIF('2024 AC'!$B$3:$B$250,"*"&amp;$D154&amp;"*",'2024 AC'!L$3:L$250)</f>
        <v>1912</v>
      </c>
      <c r="Y154" s="53">
        <f>SUMIF('2024 AC'!$B$3:$B$250,"*"&amp;$D154&amp;"*",'2024 AC'!M$3:M$250)</f>
        <v>1912</v>
      </c>
      <c r="Z154" s="93">
        <f>SUMIF('2024 AC'!$B$3:$B$250,"*"&amp;$D154&amp;"*",'2024 AC'!N$3:N$250)</f>
        <v>1912</v>
      </c>
      <c r="AA154" s="92">
        <f t="shared" si="156"/>
        <v>22272</v>
      </c>
      <c r="AB154" s="93">
        <f t="shared" si="157"/>
        <v>5400</v>
      </c>
      <c r="AC154" s="93">
        <f t="shared" si="158"/>
        <v>5400</v>
      </c>
      <c r="AD154" s="93">
        <f t="shared" si="159"/>
        <v>5736</v>
      </c>
      <c r="AE154" s="93">
        <f t="shared" si="160"/>
        <v>5736</v>
      </c>
      <c r="AF154" s="92">
        <f t="shared" si="161"/>
        <v>22272</v>
      </c>
      <c r="AH154" s="63">
        <f>SUMIF('2025 AC'!$B$3:$B$250,"*"&amp;$D154&amp;"*",'2025 AC'!C$3:C$250)</f>
        <v>1900</v>
      </c>
      <c r="AI154" s="53">
        <f>SUMIF('2025 AC'!$B$3:$B$250,"*"&amp;$D154&amp;"*",'2025 AC'!D$3:D$250)</f>
        <v>1900</v>
      </c>
      <c r="AJ154" s="53">
        <f>SUMIF('2025 AC'!$B$3:$B$250,"*"&amp;$D154&amp;"*",'2025 AC'!E$3:E$250)</f>
        <v>1900</v>
      </c>
      <c r="AK154" s="53">
        <f>SUMIF('2025 AC'!$B$3:$B$250,"*"&amp;$D154&amp;"*",'2025 AC'!F$3:F$250)</f>
        <v>1900</v>
      </c>
      <c r="AL154" s="53">
        <f>SUMIF('2025 AC'!$B$3:$B$250,"*"&amp;$D154&amp;"*",'2025 AC'!G$3:G$250)</f>
        <v>1900</v>
      </c>
      <c r="AM154" s="53">
        <f>SUMIF('2025 AC'!$B$3:$B$250,"*"&amp;$D154&amp;"*",'2025 AC'!H$3:H$250)</f>
        <v>1900</v>
      </c>
      <c r="AN154" s="53">
        <f>SUMIF('2025 AC'!$B$3:$B$250,"*"&amp;$D154&amp;"*",'2025 AC'!I$3:I$250)</f>
        <v>1900</v>
      </c>
      <c r="AO154" s="53">
        <f>SUMIF('2025 AC'!$B$3:$B$250,"*"&amp;$D154&amp;"*",'2025 AC'!J$3:J$250)</f>
        <v>1900</v>
      </c>
      <c r="AP154" s="53">
        <f>SUMIF('2025 AC'!$B$3:$B$250,"*"&amp;$D154&amp;"*",'2025 AC'!K$3:K$250)</f>
        <v>1900</v>
      </c>
      <c r="AQ154" s="53">
        <f>SUMIF('2025 AC'!$B$3:$B$250,"*"&amp;$D154&amp;"*",'2025 AC'!L$3:L$250)</f>
        <v>1900</v>
      </c>
      <c r="AR154" s="53">
        <f>SUMIF('2025 AC'!$B$3:$B$250,"*"&amp;$D154&amp;"*",'2025 AC'!M$3:M$250)</f>
        <v>1900</v>
      </c>
      <c r="AS154" s="53">
        <f>SUMIF('2025 AC'!$B$3:$B$250,"*"&amp;$D154&amp;"*",'2025 AC'!N$3:N$250)</f>
        <v>1900</v>
      </c>
      <c r="AT154" s="94">
        <f t="shared" si="138"/>
        <v>22800</v>
      </c>
      <c r="AU154" s="93">
        <f t="shared" si="162"/>
        <v>5700</v>
      </c>
      <c r="AV154" s="93">
        <f t="shared" si="163"/>
        <v>5700</v>
      </c>
      <c r="AW154" s="93">
        <f t="shared" si="164"/>
        <v>5700</v>
      </c>
      <c r="AX154" s="93">
        <f t="shared" si="165"/>
        <v>5700</v>
      </c>
      <c r="AY154" s="92">
        <f t="shared" si="166"/>
        <v>22800</v>
      </c>
      <c r="BA154" s="63">
        <f>SUMIF('2026 AC'!$B$3:$B$254,"*"&amp;$D154&amp;"*",'2026 AC'!C$3:C$254)</f>
        <v>1900</v>
      </c>
      <c r="BB154" s="53">
        <f>SUMIF('2026 AC'!$B$3:$B$254,"*"&amp;$D154&amp;"*",'2026 AC'!D$3:D$254)</f>
        <v>2219.2399999999998</v>
      </c>
      <c r="BC154" s="53">
        <f>SUMIF('2026 AC'!$B$3:$B$254,"*"&amp;$D154&amp;"*",'2026 AC'!E$3:E$254)</f>
        <v>1900</v>
      </c>
      <c r="BD154" s="53">
        <f>SUMIF('2026 AC'!$B$3:$B$254,"*"&amp;$D154&amp;"*",'2026 AC'!F$3:F$254)</f>
        <v>1900</v>
      </c>
      <c r="BE154" s="53">
        <f>SUMIF('2026 AC'!$B$3:$B$254,"*"&amp;$D154&amp;"*",'2026 AC'!G$3:G$254)</f>
        <v>4300</v>
      </c>
      <c r="BF154" s="53">
        <f>SUMIF('2026 AC'!$B$3:$B$254,"*"&amp;$D154&amp;"*",'2026 AC'!H$3:H$254)</f>
        <v>1900</v>
      </c>
      <c r="BG154" s="53">
        <f>SUMIF('2026 AC'!$B$3:$B$254,"*"&amp;$D154&amp;"*",'2026 AC'!I$3:I$254)</f>
        <v>0</v>
      </c>
      <c r="BH154" s="53">
        <f>SUMIF('2026 AC'!$B$3:$B$254,"*"&amp;$D154&amp;"*",'2026 AC'!J$3:J$254)</f>
        <v>0</v>
      </c>
      <c r="BI154" s="53">
        <f>SUMIF('2026 AC'!$B$3:$B$254,"*"&amp;$D154&amp;"*",'2026 AC'!K$3:K$254)</f>
        <v>0</v>
      </c>
      <c r="BJ154" s="53">
        <f>SUMIF('2026 AC'!$B$3:$B$254,"*"&amp;$D154&amp;"*",'2026 AC'!L$3:L$254)</f>
        <v>0</v>
      </c>
      <c r="BK154" s="53">
        <f>SUMIF('2026 AC'!$B$3:$B$254,"*"&amp;$D154&amp;"*",'2026 AC'!M$3:M$254)</f>
        <v>0</v>
      </c>
      <c r="BL154" s="93">
        <f>SUMIF('2026 AC'!$B$3:$B$254,"*"&amp;$D154&amp;"*",'2026 AC'!N$3:N$254)</f>
        <v>0</v>
      </c>
      <c r="BM154" s="92">
        <f t="shared" si="139"/>
        <v>14119.24</v>
      </c>
      <c r="BN154" s="93">
        <f t="shared" si="167"/>
        <v>6019.2399999999998</v>
      </c>
      <c r="BO154" s="93">
        <f t="shared" si="168"/>
        <v>8100</v>
      </c>
      <c r="BP154" s="93">
        <f t="shared" si="169"/>
        <v>0</v>
      </c>
      <c r="BQ154" s="93">
        <f t="shared" si="170"/>
        <v>0</v>
      </c>
      <c r="BR154" s="92">
        <f t="shared" si="171"/>
        <v>14119.24</v>
      </c>
    </row>
    <row r="155" s="137" customFormat="1">
      <c r="A155" s="137" t="s">
        <v>357</v>
      </c>
      <c r="B155" s="137" t="s">
        <v>358</v>
      </c>
      <c r="C155" s="187" t="s">
        <v>359</v>
      </c>
      <c r="D155" s="139" t="s">
        <v>360</v>
      </c>
      <c r="E155" s="140">
        <f t="shared" ref="E155:E218" si="182">SUMIF($BA$6:$BL$6,$E$6,$BA155:$BL155)</f>
        <v>14.300000000000001</v>
      </c>
      <c r="F155" s="141">
        <f t="shared" ref="F155:F218" si="183">SUMIF($AH$6:$AS$6,$F$6,$AH155:$AS155)</f>
        <v>3.7000000000000002</v>
      </c>
      <c r="G155" s="161">
        <f t="shared" ref="G155:G156" si="184">IFERROR((E155-F155)/F155,1)</f>
        <v>2.8648648648648649</v>
      </c>
      <c r="H155" s="143">
        <f t="shared" ref="H155:H218" si="185">SUMIF($BN$6:$BR$6,$H$6,$BN155:$BR155)</f>
        <v>86.099999999999994</v>
      </c>
      <c r="I155" s="143">
        <f t="shared" ref="I155:I218" si="186">SUMIF($AU$6:$AY$6,$I$6,$AU155:$AY155)</f>
        <v>110.7</v>
      </c>
      <c r="J155" s="142">
        <f t="shared" si="180"/>
        <v>-0.22222222222222229</v>
      </c>
      <c r="K155" s="143">
        <f t="shared" ref="K155:K218" si="187">BM155</f>
        <v>107.09999999999999</v>
      </c>
      <c r="L155" s="143">
        <f t="shared" ref="L155:L218" si="188">SUM(AH155:AM155)</f>
        <v>116.7</v>
      </c>
      <c r="M155" s="144">
        <f t="shared" si="181"/>
        <v>-8.2262210796915244e-02</v>
      </c>
      <c r="O155" s="145">
        <f>SUMIF('2024 AC'!$B$3:$B$250,"*"&amp;$D155&amp;"*",'2024 AC'!C$3:C$250)</f>
        <v>59.5</v>
      </c>
      <c r="P155" s="146">
        <f>SUMIF('2024 AC'!$B$3:$B$250,"*"&amp;$D155&amp;"*",'2024 AC'!D$3:D$250)</f>
        <v>34.5</v>
      </c>
      <c r="Q155" s="146">
        <f>SUMIF('2024 AC'!$B$3:$B$250,"*"&amp;$D155&amp;"*",'2024 AC'!E$3:E$250)</f>
        <v>40.5</v>
      </c>
      <c r="R155" s="146">
        <f>SUMIF('2024 AC'!$B$3:$B$250,"*"&amp;$D155&amp;"*",'2024 AC'!F$3:F$250)</f>
        <v>37.5</v>
      </c>
      <c r="S155" s="146">
        <f>SUMIF('2024 AC'!$B$3:$B$250,"*"&amp;$D155&amp;"*",'2024 AC'!G$3:G$250)</f>
        <v>32.5</v>
      </c>
      <c r="T155" s="146">
        <f>SUMIF('2024 AC'!$B$3:$B$250,"*"&amp;$D155&amp;"*",'2024 AC'!H$3:H$250)</f>
        <v>81</v>
      </c>
      <c r="U155" s="146">
        <f>SUMIF('2024 AC'!$B$3:$B$250,"*"&amp;$D155&amp;"*",'2024 AC'!I$3:I$250)</f>
        <v>2678.6999999999998</v>
      </c>
      <c r="V155" s="146">
        <f>SUMIF('2024 AC'!$B$3:$B$250,"*"&amp;$D155&amp;"*",'2024 AC'!J$3:J$250)</f>
        <v>1.6000000000000001</v>
      </c>
      <c r="W155" s="146">
        <f>SUMIF('2024 AC'!$B$3:$B$250,"*"&amp;$D155&amp;"*",'2024 AC'!K$3:K$250)</f>
        <v>5.9000000000000004</v>
      </c>
      <c r="X155" s="146">
        <f>SUMIF('2024 AC'!$B$3:$B$250,"*"&amp;$D155&amp;"*",'2024 AC'!L$3:L$250)</f>
        <v>5</v>
      </c>
      <c r="Y155" s="146">
        <f>SUMIF('2024 AC'!$B$3:$B$250,"*"&amp;$D155&amp;"*",'2024 AC'!M$3:M$250)</f>
        <v>5.5</v>
      </c>
      <c r="Z155" s="147">
        <f>SUMIF('2024 AC'!$B$3:$B$250,"*"&amp;$D155&amp;"*",'2024 AC'!N$3:N$250)</f>
        <v>4.7000000000000002</v>
      </c>
      <c r="AA155" s="148">
        <f t="shared" si="156"/>
        <v>2986.8999999999996</v>
      </c>
      <c r="AB155" s="147">
        <f t="shared" si="157"/>
        <v>134.5</v>
      </c>
      <c r="AC155" s="147">
        <f t="shared" si="158"/>
        <v>151</v>
      </c>
      <c r="AD155" s="147">
        <f t="shared" si="159"/>
        <v>2686.1999999999998</v>
      </c>
      <c r="AE155" s="147">
        <f t="shared" si="160"/>
        <v>15.199999999999999</v>
      </c>
      <c r="AF155" s="148">
        <f t="shared" si="161"/>
        <v>2986.8999999999996</v>
      </c>
      <c r="AH155" s="145">
        <f>SUMIF('2025 AC'!$B$3:$B$250,"*"&amp;$D155&amp;"*",'2025 AC'!C$3:C$250)</f>
        <v>4.5</v>
      </c>
      <c r="AI155" s="146">
        <f>SUMIF('2025 AC'!$B$3:$B$250,"*"&amp;$D155&amp;"*",'2025 AC'!D$3:D$250)</f>
        <v>1.5</v>
      </c>
      <c r="AJ155" s="146">
        <f>SUMIF('2025 AC'!$B$3:$B$250,"*"&amp;$D155&amp;"*",'2025 AC'!E$3:E$250)</f>
        <v>0</v>
      </c>
      <c r="AK155" s="146">
        <f>SUMIF('2025 AC'!$B$3:$B$250,"*"&amp;$D155&amp;"*",'2025 AC'!F$3:F$250)</f>
        <v>7</v>
      </c>
      <c r="AL155" s="146">
        <f>SUMIF('2025 AC'!$B$3:$B$250,"*"&amp;$D155&amp;"*",'2025 AC'!G$3:G$250)</f>
        <v>100</v>
      </c>
      <c r="AM155" s="146">
        <f>SUMIF('2025 AC'!$B$3:$B$250,"*"&amp;$D155&amp;"*",'2025 AC'!H$3:H$250)</f>
        <v>3.7000000000000002</v>
      </c>
      <c r="AN155" s="146">
        <f>SUMIF('2025 AC'!$B$3:$B$250,"*"&amp;$D155&amp;"*",'2025 AC'!I$3:I$250)</f>
        <v>4394.6999999999998</v>
      </c>
      <c r="AO155" s="146">
        <f>SUMIF('2025 AC'!$B$3:$B$250,"*"&amp;$D155&amp;"*",'2025 AC'!J$3:J$250)</f>
        <v>7.2000000000000002</v>
      </c>
      <c r="AP155" s="146">
        <f>SUMIF('2025 AC'!$B$3:$B$250,"*"&amp;$D155&amp;"*",'2025 AC'!K$3:K$250)</f>
        <v>3.5</v>
      </c>
      <c r="AQ155" s="146">
        <f>SUMIF('2025 AC'!$B$3:$B$250,"*"&amp;$D155&amp;"*",'2025 AC'!L$3:L$250)</f>
        <v>16.460000000000001</v>
      </c>
      <c r="AR155" s="146">
        <f>SUMIF('2025 AC'!$B$3:$B$250,"*"&amp;$D155&amp;"*",'2025 AC'!M$3:M$250)</f>
        <v>7</v>
      </c>
      <c r="AS155" s="146">
        <f>SUMIF('2025 AC'!$B$3:$B$250,"*"&amp;$D155&amp;"*",'2025 AC'!N$3:N$250)</f>
        <v>7</v>
      </c>
      <c r="AT155" s="149">
        <f t="shared" si="138"/>
        <v>4552.5599999999995</v>
      </c>
      <c r="AU155" s="147">
        <f t="shared" si="162"/>
        <v>6</v>
      </c>
      <c r="AV155" s="147">
        <f t="shared" si="163"/>
        <v>110.7</v>
      </c>
      <c r="AW155" s="147">
        <f t="shared" si="164"/>
        <v>4405.3999999999996</v>
      </c>
      <c r="AX155" s="147">
        <f t="shared" si="165"/>
        <v>30.460000000000001</v>
      </c>
      <c r="AY155" s="148">
        <f t="shared" si="166"/>
        <v>4552.5599999999995</v>
      </c>
      <c r="BA155" s="145">
        <f>SUMIF('2026 AC'!$B$3:$B$254,"*"&amp;$D155&amp;"*",'2026 AC'!C$3:C$254)</f>
        <v>7</v>
      </c>
      <c r="BB155" s="146">
        <f>SUMIF('2026 AC'!$B$3:$B$254,"*"&amp;$D155&amp;"*",'2026 AC'!D$3:D$254)</f>
        <v>7</v>
      </c>
      <c r="BC155" s="146">
        <f>SUMIF('2026 AC'!$B$3:$B$254,"*"&amp;$D155&amp;"*",'2026 AC'!E$3:E$254)</f>
        <v>7</v>
      </c>
      <c r="BD155" s="146">
        <f>SUMIF('2026 AC'!$B$3:$B$254,"*"&amp;$D155&amp;"*",'2026 AC'!F$3:F$254)</f>
        <v>14.300000000000001</v>
      </c>
      <c r="BE155" s="146">
        <f>SUMIF('2026 AC'!$B$3:$B$254,"*"&amp;$D155&amp;"*",'2026 AC'!G$3:G$254)</f>
        <v>57.5</v>
      </c>
      <c r="BF155" s="146">
        <f>SUMIF('2026 AC'!$B$3:$B$254,"*"&amp;$D155&amp;"*",'2026 AC'!H$3:H$254)</f>
        <v>14.300000000000001</v>
      </c>
      <c r="BG155" s="146">
        <f>SUMIF('2026 AC'!$B$3:$B$254,"*"&amp;$D155&amp;"*",'2026 AC'!I$3:I$254)</f>
        <v>0</v>
      </c>
      <c r="BH155" s="146">
        <f>SUMIF('2026 AC'!$B$3:$B$254,"*"&amp;$D155&amp;"*",'2026 AC'!J$3:J$254)</f>
        <v>0</v>
      </c>
      <c r="BI155" s="146">
        <f>SUMIF('2026 AC'!$B$3:$B$254,"*"&amp;$D155&amp;"*",'2026 AC'!K$3:K$254)</f>
        <v>0</v>
      </c>
      <c r="BJ155" s="146">
        <f>SUMIF('2026 AC'!$B$3:$B$254,"*"&amp;$D155&amp;"*",'2026 AC'!L$3:L$254)</f>
        <v>0</v>
      </c>
      <c r="BK155" s="146">
        <f>SUMIF('2026 AC'!$B$3:$B$254,"*"&amp;$D155&amp;"*",'2026 AC'!M$3:M$254)</f>
        <v>0</v>
      </c>
      <c r="BL155" s="147">
        <f>SUMIF('2026 AC'!$B$3:$B$254,"*"&amp;$D155&amp;"*",'2026 AC'!N$3:N$254)</f>
        <v>0</v>
      </c>
      <c r="BM155" s="148">
        <f t="shared" si="139"/>
        <v>107.09999999999999</v>
      </c>
      <c r="BN155" s="147">
        <f t="shared" si="167"/>
        <v>21</v>
      </c>
      <c r="BO155" s="147">
        <f t="shared" si="168"/>
        <v>86.099999999999994</v>
      </c>
      <c r="BP155" s="147">
        <f t="shared" si="169"/>
        <v>0</v>
      </c>
      <c r="BQ155" s="147">
        <f t="shared" si="170"/>
        <v>0</v>
      </c>
      <c r="BR155" s="148">
        <f t="shared" si="171"/>
        <v>107.09999999999999</v>
      </c>
    </row>
    <row r="156" ht="15" customHeight="1" outlineLevel="1">
      <c r="A156" t="s">
        <v>361</v>
      </c>
      <c r="B156" t="s">
        <v>362</v>
      </c>
      <c r="C156" s="52" t="s">
        <v>363</v>
      </c>
      <c r="D156" s="35" t="s">
        <v>364</v>
      </c>
      <c r="E156" s="153">
        <f t="shared" si="182"/>
        <v>14.300000000000001</v>
      </c>
      <c r="F156" s="152">
        <f t="shared" si="183"/>
        <v>3.7000000000000002</v>
      </c>
      <c r="G156" s="154">
        <f t="shared" si="184"/>
        <v>2.8648648648648649</v>
      </c>
      <c r="H156" s="153">
        <f t="shared" si="185"/>
        <v>86.099999999999994</v>
      </c>
      <c r="I156" s="153">
        <f t="shared" si="186"/>
        <v>110.7</v>
      </c>
      <c r="J156" s="54">
        <f t="shared" si="180"/>
        <v>-0.22222222222222229</v>
      </c>
      <c r="K156" s="153">
        <f t="shared" si="187"/>
        <v>107.09999999999999</v>
      </c>
      <c r="L156" s="153">
        <f t="shared" si="188"/>
        <v>116.7</v>
      </c>
      <c r="M156" s="55">
        <f t="shared" si="181"/>
        <v>-8.2262210796915244e-02</v>
      </c>
      <c r="O156" s="63">
        <f>SUMIF('2024 AC'!$B$3:$B$250,"*"&amp;$D156&amp;"*",'2024 AC'!C$3:C$250)</f>
        <v>59.5</v>
      </c>
      <c r="P156" s="53">
        <f>SUMIF('2024 AC'!$B$3:$B$250,"*"&amp;$D156&amp;"*",'2024 AC'!D$3:D$250)</f>
        <v>34.5</v>
      </c>
      <c r="Q156" s="53">
        <f>SUMIF('2024 AC'!$B$3:$B$250,"*"&amp;$D156&amp;"*",'2024 AC'!E$3:E$250)</f>
        <v>40.5</v>
      </c>
      <c r="R156" s="53">
        <f>SUMIF('2024 AC'!$B$3:$B$250,"*"&amp;$D156&amp;"*",'2024 AC'!F$3:F$250)</f>
        <v>37.5</v>
      </c>
      <c r="S156" s="53">
        <f>SUMIF('2024 AC'!$B$3:$B$250,"*"&amp;$D156&amp;"*",'2024 AC'!G$3:G$250)</f>
        <v>32.5</v>
      </c>
      <c r="T156" s="53">
        <f>SUMIF('2024 AC'!$B$3:$B$250,"*"&amp;$D156&amp;"*",'2024 AC'!H$3:H$250)</f>
        <v>81</v>
      </c>
      <c r="U156" s="53">
        <f>SUMIF('2024 AC'!$B$3:$B$250,"*"&amp;$D156&amp;"*",'2024 AC'!I$3:I$250)</f>
        <v>40.700000000000003</v>
      </c>
      <c r="V156" s="53">
        <f>SUMIF('2024 AC'!$B$3:$B$250,"*"&amp;$D156&amp;"*",'2024 AC'!J$3:J$250)</f>
        <v>1.6000000000000001</v>
      </c>
      <c r="W156" s="53">
        <f>SUMIF('2024 AC'!$B$3:$B$250,"*"&amp;$D156&amp;"*",'2024 AC'!K$3:K$250)</f>
        <v>5.9000000000000004</v>
      </c>
      <c r="X156" s="53">
        <f>SUMIF('2024 AC'!$B$3:$B$250,"*"&amp;$D156&amp;"*",'2024 AC'!L$3:L$250)</f>
        <v>5</v>
      </c>
      <c r="Y156" s="53">
        <f>SUMIF('2024 AC'!$B$3:$B$250,"*"&amp;$D156&amp;"*",'2024 AC'!M$3:M$250)</f>
        <v>5.5</v>
      </c>
      <c r="Z156" s="93">
        <f>SUMIF('2024 AC'!$B$3:$B$250,"*"&amp;$D156&amp;"*",'2024 AC'!N$3:N$250)</f>
        <v>4.7000000000000002</v>
      </c>
      <c r="AA156" s="92">
        <f t="shared" si="156"/>
        <v>348.89999999999998</v>
      </c>
      <c r="AB156" s="93">
        <f t="shared" si="157"/>
        <v>134.5</v>
      </c>
      <c r="AC156" s="93">
        <f t="shared" si="158"/>
        <v>151</v>
      </c>
      <c r="AD156" s="93">
        <f t="shared" si="159"/>
        <v>48.200000000000003</v>
      </c>
      <c r="AE156" s="93">
        <f t="shared" si="160"/>
        <v>15.199999999999999</v>
      </c>
      <c r="AF156" s="92">
        <f t="shared" si="161"/>
        <v>348.89999999999998</v>
      </c>
      <c r="AH156" s="63">
        <f>SUMIF('2025 AC'!$B$3:$B$250,"*"&amp;$D156&amp;"*",'2025 AC'!C$3:C$250)</f>
        <v>4.5</v>
      </c>
      <c r="AI156" s="53">
        <f>SUMIF('2025 AC'!$B$3:$B$250,"*"&amp;$D156&amp;"*",'2025 AC'!D$3:D$250)</f>
        <v>1.5</v>
      </c>
      <c r="AJ156" s="53">
        <f>SUMIF('2025 AC'!$B$3:$B$250,"*"&amp;$D156&amp;"*",'2025 AC'!E$3:E$250)</f>
        <v>0</v>
      </c>
      <c r="AK156" s="53">
        <f>SUMIF('2025 AC'!$B$3:$B$250,"*"&amp;$D156&amp;"*",'2025 AC'!F$3:F$250)</f>
        <v>7</v>
      </c>
      <c r="AL156" s="53">
        <f>SUMIF('2025 AC'!$B$3:$B$250,"*"&amp;$D156&amp;"*",'2025 AC'!G$3:G$250)</f>
        <v>100</v>
      </c>
      <c r="AM156" s="53">
        <f>SUMIF('2025 AC'!$B$3:$B$250,"*"&amp;$D156&amp;"*",'2025 AC'!H$3:H$250)</f>
        <v>3.7000000000000002</v>
      </c>
      <c r="AN156" s="53">
        <f>SUMIF('2025 AC'!$B$3:$B$250,"*"&amp;$D156&amp;"*",'2025 AC'!I$3:I$250)</f>
        <v>20.699999999999999</v>
      </c>
      <c r="AO156" s="53">
        <f>SUMIF('2025 AC'!$B$3:$B$250,"*"&amp;$D156&amp;"*",'2025 AC'!J$3:J$250)</f>
        <v>7.2000000000000002</v>
      </c>
      <c r="AP156" s="53">
        <f>SUMIF('2025 AC'!$B$3:$B$250,"*"&amp;$D156&amp;"*",'2025 AC'!K$3:K$250)</f>
        <v>3.5</v>
      </c>
      <c r="AQ156" s="53">
        <f>SUMIF('2025 AC'!$B$3:$B$250,"*"&amp;$D156&amp;"*",'2025 AC'!L$3:L$250)</f>
        <v>16.460000000000001</v>
      </c>
      <c r="AR156" s="53">
        <f>SUMIF('2025 AC'!$B$3:$B$250,"*"&amp;$D156&amp;"*",'2025 AC'!M$3:M$250)</f>
        <v>7</v>
      </c>
      <c r="AS156" s="53">
        <f>SUMIF('2025 AC'!$B$3:$B$250,"*"&amp;$D156&amp;"*",'2025 AC'!N$3:N$250)</f>
        <v>7</v>
      </c>
      <c r="AT156" s="94">
        <f t="shared" si="138"/>
        <v>178.56</v>
      </c>
      <c r="AU156" s="93">
        <f t="shared" si="162"/>
        <v>6</v>
      </c>
      <c r="AV156" s="93">
        <f t="shared" si="163"/>
        <v>110.7</v>
      </c>
      <c r="AW156" s="93">
        <f t="shared" si="164"/>
        <v>31.399999999999999</v>
      </c>
      <c r="AX156" s="93">
        <f t="shared" si="165"/>
        <v>30.460000000000001</v>
      </c>
      <c r="AY156" s="92">
        <f t="shared" si="166"/>
        <v>178.56</v>
      </c>
      <c r="BA156" s="63">
        <f>SUMIF('2026 AC'!$B$3:$B$254,"*"&amp;$D156&amp;"*",'2026 AC'!C$3:C$254)</f>
        <v>7</v>
      </c>
      <c r="BB156" s="53">
        <f>SUMIF('2026 AC'!$B$3:$B$254,"*"&amp;$D156&amp;"*",'2026 AC'!D$3:D$254)</f>
        <v>7</v>
      </c>
      <c r="BC156" s="53">
        <f>SUMIF('2026 AC'!$B$3:$B$254,"*"&amp;$D156&amp;"*",'2026 AC'!E$3:E$254)</f>
        <v>7</v>
      </c>
      <c r="BD156" s="53">
        <f>SUMIF('2026 AC'!$B$3:$B$254,"*"&amp;$D156&amp;"*",'2026 AC'!F$3:F$254)</f>
        <v>14.300000000000001</v>
      </c>
      <c r="BE156" s="53">
        <f>SUMIF('2026 AC'!$B$3:$B$254,"*"&amp;$D156&amp;"*",'2026 AC'!G$3:G$254)</f>
        <v>57.5</v>
      </c>
      <c r="BF156" s="53">
        <f>SUMIF('2026 AC'!$B$3:$B$254,"*"&amp;$D156&amp;"*",'2026 AC'!H$3:H$254)</f>
        <v>14.300000000000001</v>
      </c>
      <c r="BG156" s="53">
        <f>SUMIF('2026 AC'!$B$3:$B$254,"*"&amp;$D156&amp;"*",'2026 AC'!I$3:I$254)</f>
        <v>0</v>
      </c>
      <c r="BH156" s="53">
        <f>SUMIF('2026 AC'!$B$3:$B$254,"*"&amp;$D156&amp;"*",'2026 AC'!J$3:J$254)</f>
        <v>0</v>
      </c>
      <c r="BI156" s="53">
        <f>SUMIF('2026 AC'!$B$3:$B$254,"*"&amp;$D156&amp;"*",'2026 AC'!K$3:K$254)</f>
        <v>0</v>
      </c>
      <c r="BJ156" s="53">
        <f>SUMIF('2026 AC'!$B$3:$B$254,"*"&amp;$D156&amp;"*",'2026 AC'!L$3:L$254)</f>
        <v>0</v>
      </c>
      <c r="BK156" s="53">
        <f>SUMIF('2026 AC'!$B$3:$B$254,"*"&amp;$D156&amp;"*",'2026 AC'!M$3:M$254)</f>
        <v>0</v>
      </c>
      <c r="BL156" s="93">
        <f>SUMIF('2026 AC'!$B$3:$B$254,"*"&amp;$D156&amp;"*",'2026 AC'!N$3:N$254)</f>
        <v>0</v>
      </c>
      <c r="BM156" s="92">
        <f t="shared" si="139"/>
        <v>107.09999999999999</v>
      </c>
      <c r="BN156" s="93">
        <f t="shared" si="167"/>
        <v>21</v>
      </c>
      <c r="BO156" s="93">
        <f t="shared" si="168"/>
        <v>86.099999999999994</v>
      </c>
      <c r="BP156" s="93">
        <f t="shared" si="169"/>
        <v>0</v>
      </c>
      <c r="BQ156" s="93">
        <f t="shared" si="170"/>
        <v>0</v>
      </c>
      <c r="BR156" s="92">
        <f t="shared" si="171"/>
        <v>107.09999999999999</v>
      </c>
    </row>
    <row r="157" ht="15" customHeight="1" outlineLevel="1">
      <c r="A157" t="s">
        <v>365</v>
      </c>
      <c r="B157" t="s">
        <v>366</v>
      </c>
      <c r="C157" s="52" t="s">
        <v>367</v>
      </c>
      <c r="D157" s="35" t="s">
        <v>368</v>
      </c>
      <c r="E157" s="153">
        <f t="shared" si="182"/>
        <v>0</v>
      </c>
      <c r="F157" s="152">
        <f t="shared" si="183"/>
        <v>0</v>
      </c>
      <c r="G157" s="154">
        <f t="shared" ref="G157:G162" si="189">IFERROR((E157-F157)/F157,0)</f>
        <v>0</v>
      </c>
      <c r="H157" s="153">
        <f t="shared" si="185"/>
        <v>0</v>
      </c>
      <c r="I157" s="153">
        <f t="shared" si="186"/>
        <v>0</v>
      </c>
      <c r="J157" s="154">
        <f t="shared" ref="J157:J162" si="190">IFERROR((H157-I157)/I157,0)</f>
        <v>0</v>
      </c>
      <c r="K157" s="153">
        <f t="shared" si="187"/>
        <v>0</v>
      </c>
      <c r="L157" s="153">
        <f t="shared" si="188"/>
        <v>0</v>
      </c>
      <c r="M157" s="155">
        <f t="shared" ref="M157:M162" si="191">IFERROR((K157-L157)/L157,0)</f>
        <v>0</v>
      </c>
      <c r="O157" s="63">
        <f>SUMIF('2024 AC'!$B$3:$B$250,"*"&amp;$D157&amp;"*",'2024 AC'!C$3:C$250)</f>
        <v>0</v>
      </c>
      <c r="P157" s="53">
        <f>SUMIF('2024 AC'!$B$3:$B$250,"*"&amp;$D157&amp;"*",'2024 AC'!D$3:D$250)</f>
        <v>0</v>
      </c>
      <c r="Q157" s="53">
        <f>SUMIF('2024 AC'!$B$3:$B$250,"*"&amp;$D157&amp;"*",'2024 AC'!E$3:E$250)</f>
        <v>0</v>
      </c>
      <c r="R157" s="53">
        <f>SUMIF('2024 AC'!$B$3:$B$250,"*"&amp;$D157&amp;"*",'2024 AC'!F$3:F$250)</f>
        <v>0</v>
      </c>
      <c r="S157" s="53">
        <f>SUMIF('2024 AC'!$B$3:$B$250,"*"&amp;$D157&amp;"*",'2024 AC'!G$3:G$250)</f>
        <v>0</v>
      </c>
      <c r="T157" s="53">
        <f>SUMIF('2024 AC'!$B$3:$B$250,"*"&amp;$D157&amp;"*",'2024 AC'!H$3:H$250)</f>
        <v>0</v>
      </c>
      <c r="U157" s="53">
        <f>SUMIF('2024 AC'!$B$3:$B$250,"*"&amp;$D157&amp;"*",'2024 AC'!I$3:I$250)</f>
        <v>2638</v>
      </c>
      <c r="V157" s="53">
        <f>SUMIF('2024 AC'!$B$3:$B$250,"*"&amp;$D157&amp;"*",'2024 AC'!J$3:J$250)</f>
        <v>0</v>
      </c>
      <c r="W157" s="53">
        <f>SUMIF('2024 AC'!$B$3:$B$250,"*"&amp;$D157&amp;"*",'2024 AC'!K$3:K$250)</f>
        <v>0</v>
      </c>
      <c r="X157" s="53">
        <f>SUMIF('2024 AC'!$B$3:$B$250,"*"&amp;$D157&amp;"*",'2024 AC'!L$3:L$250)</f>
        <v>0</v>
      </c>
      <c r="Y157" s="53">
        <f>SUMIF('2024 AC'!$B$3:$B$250,"*"&amp;$D157&amp;"*",'2024 AC'!M$3:M$250)</f>
        <v>0</v>
      </c>
      <c r="Z157" s="93">
        <f>SUMIF('2024 AC'!$B$3:$B$250,"*"&amp;$D157&amp;"*",'2024 AC'!N$3:N$250)</f>
        <v>0</v>
      </c>
      <c r="AA157" s="92">
        <f t="shared" si="156"/>
        <v>2638</v>
      </c>
      <c r="AB157" s="93">
        <f t="shared" si="157"/>
        <v>0</v>
      </c>
      <c r="AC157" s="93">
        <f t="shared" si="158"/>
        <v>0</v>
      </c>
      <c r="AD157" s="93">
        <f t="shared" si="159"/>
        <v>2638</v>
      </c>
      <c r="AE157" s="93">
        <f t="shared" si="160"/>
        <v>0</v>
      </c>
      <c r="AF157" s="92">
        <f t="shared" si="161"/>
        <v>2638</v>
      </c>
      <c r="AH157" s="63">
        <f>SUMIF('2025 AC'!$B$3:$B$250,"*"&amp;$D157&amp;"*",'2025 AC'!C$3:C$250)</f>
        <v>0</v>
      </c>
      <c r="AI157" s="53">
        <f>SUMIF('2025 AC'!$B$3:$B$250,"*"&amp;$D157&amp;"*",'2025 AC'!D$3:D$250)</f>
        <v>0</v>
      </c>
      <c r="AJ157" s="53">
        <f>SUMIF('2025 AC'!$B$3:$B$250,"*"&amp;$D157&amp;"*",'2025 AC'!E$3:E$250)</f>
        <v>0</v>
      </c>
      <c r="AK157" s="53">
        <f>SUMIF('2025 AC'!$B$3:$B$250,"*"&amp;$D157&amp;"*",'2025 AC'!F$3:F$250)</f>
        <v>0</v>
      </c>
      <c r="AL157" s="53">
        <f>SUMIF('2025 AC'!$B$3:$B$250,"*"&amp;$D157&amp;"*",'2025 AC'!G$3:G$250)</f>
        <v>0</v>
      </c>
      <c r="AM157" s="53">
        <f>SUMIF('2025 AC'!$B$3:$B$250,"*"&amp;$D157&amp;"*",'2025 AC'!H$3:H$250)</f>
        <v>0</v>
      </c>
      <c r="AN157" s="53">
        <f>SUMIF('2025 AC'!$B$3:$B$250,"*"&amp;$D157&amp;"*",'2025 AC'!I$3:I$250)</f>
        <v>4374</v>
      </c>
      <c r="AO157" s="53">
        <f>SUMIF('2025 AC'!$B$3:$B$250,"*"&amp;$D157&amp;"*",'2025 AC'!J$3:J$250)</f>
        <v>0</v>
      </c>
      <c r="AP157" s="53">
        <f>SUMIF('2025 AC'!$B$3:$B$250,"*"&amp;$D157&amp;"*",'2025 AC'!K$3:K$250)</f>
        <v>0</v>
      </c>
      <c r="AQ157" s="53">
        <f>SUMIF('2025 AC'!$B$3:$B$250,"*"&amp;$D157&amp;"*",'2025 AC'!L$3:L$250)</f>
        <v>0</v>
      </c>
      <c r="AR157" s="53">
        <f>SUMIF('2025 AC'!$B$3:$B$250,"*"&amp;$D157&amp;"*",'2025 AC'!M$3:M$250)</f>
        <v>0</v>
      </c>
      <c r="AS157" s="53">
        <f>SUMIF('2025 AC'!$B$3:$B$250,"*"&amp;$D157&amp;"*",'2025 AC'!N$3:N$250)</f>
        <v>0</v>
      </c>
      <c r="AT157" s="94">
        <f t="shared" si="138"/>
        <v>4374</v>
      </c>
      <c r="AU157" s="93">
        <f t="shared" si="162"/>
        <v>0</v>
      </c>
      <c r="AV157" s="93">
        <f t="shared" si="163"/>
        <v>0</v>
      </c>
      <c r="AW157" s="93">
        <f t="shared" si="164"/>
        <v>4374</v>
      </c>
      <c r="AX157" s="93">
        <f t="shared" si="165"/>
        <v>0</v>
      </c>
      <c r="AY157" s="92">
        <f t="shared" si="166"/>
        <v>4374</v>
      </c>
      <c r="BA157" s="63">
        <f>SUMIF('2026 AC'!$B$3:$B$254,"*"&amp;$D157&amp;"*",'2026 AC'!C$3:C$254)</f>
        <v>0</v>
      </c>
      <c r="BB157" s="53">
        <f>SUMIF('2026 AC'!$B$3:$B$254,"*"&amp;$D157&amp;"*",'2026 AC'!D$3:D$254)</f>
        <v>0</v>
      </c>
      <c r="BC157" s="53">
        <f>SUMIF('2026 AC'!$B$3:$B$254,"*"&amp;$D157&amp;"*",'2026 AC'!E$3:E$254)</f>
        <v>0</v>
      </c>
      <c r="BD157" s="53">
        <f>SUMIF('2026 AC'!$B$3:$B$254,"*"&amp;$D157&amp;"*",'2026 AC'!F$3:F$254)</f>
        <v>0</v>
      </c>
      <c r="BE157" s="53">
        <f>SUMIF('2026 AC'!$B$3:$B$254,"*"&amp;$D157&amp;"*",'2026 AC'!G$3:G$254)</f>
        <v>0</v>
      </c>
      <c r="BF157" s="53">
        <f>SUMIF('2026 AC'!$B$3:$B$254,"*"&amp;$D157&amp;"*",'2026 AC'!H$3:H$254)</f>
        <v>0</v>
      </c>
      <c r="BG157" s="53">
        <f>SUMIF('2026 AC'!$B$3:$B$254,"*"&amp;$D157&amp;"*",'2026 AC'!I$3:I$254)</f>
        <v>0</v>
      </c>
      <c r="BH157" s="53">
        <f>SUMIF('2026 AC'!$B$3:$B$254,"*"&amp;$D157&amp;"*",'2026 AC'!J$3:J$254)</f>
        <v>0</v>
      </c>
      <c r="BI157" s="53">
        <f>SUMIF('2026 AC'!$B$3:$B$254,"*"&amp;$D157&amp;"*",'2026 AC'!K$3:K$254)</f>
        <v>0</v>
      </c>
      <c r="BJ157" s="53">
        <f>SUMIF('2026 AC'!$B$3:$B$254,"*"&amp;$D157&amp;"*",'2026 AC'!L$3:L$254)</f>
        <v>0</v>
      </c>
      <c r="BK157" s="53">
        <f>SUMIF('2026 AC'!$B$3:$B$254,"*"&amp;$D157&amp;"*",'2026 AC'!M$3:M$254)</f>
        <v>0</v>
      </c>
      <c r="BL157" s="93">
        <f>SUMIF('2026 AC'!$B$3:$B$254,"*"&amp;$D157&amp;"*",'2026 AC'!N$3:N$254)</f>
        <v>0</v>
      </c>
      <c r="BM157" s="92">
        <f t="shared" si="139"/>
        <v>0</v>
      </c>
      <c r="BN157" s="93">
        <f t="shared" si="167"/>
        <v>0</v>
      </c>
      <c r="BO157" s="93">
        <f t="shared" si="168"/>
        <v>0</v>
      </c>
      <c r="BP157" s="93">
        <f t="shared" si="169"/>
        <v>0</v>
      </c>
      <c r="BQ157" s="93">
        <f t="shared" si="170"/>
        <v>0</v>
      </c>
      <c r="BR157" s="92">
        <f t="shared" si="171"/>
        <v>0</v>
      </c>
    </row>
    <row r="158" s="137" customFormat="1" ht="15" customHeight="1">
      <c r="A158" s="137" t="s">
        <v>369</v>
      </c>
      <c r="B158" s="137" t="s">
        <v>370</v>
      </c>
      <c r="C158" s="187" t="s">
        <v>371</v>
      </c>
      <c r="D158" s="139" t="s">
        <v>372</v>
      </c>
      <c r="E158" s="143">
        <f t="shared" si="182"/>
        <v>100454.36</v>
      </c>
      <c r="F158" s="141">
        <f t="shared" si="183"/>
        <v>0</v>
      </c>
      <c r="G158" s="161">
        <f t="shared" si="189"/>
        <v>0</v>
      </c>
      <c r="H158" s="143">
        <f t="shared" si="185"/>
        <v>301181.14000000001</v>
      </c>
      <c r="I158" s="143">
        <f t="shared" si="186"/>
        <v>0</v>
      </c>
      <c r="J158" s="161">
        <f t="shared" si="190"/>
        <v>0</v>
      </c>
      <c r="K158" s="143">
        <f t="shared" si="187"/>
        <v>593250.96999999997</v>
      </c>
      <c r="L158" s="143">
        <f t="shared" si="188"/>
        <v>0</v>
      </c>
      <c r="M158" s="163">
        <f t="shared" si="191"/>
        <v>0</v>
      </c>
      <c r="O158" s="145">
        <f>SUMIF('2024 AC'!$B$3:$B$250,"*"&amp;$D158&amp;"*",'2024 AC'!C$3:C$250)</f>
        <v>0</v>
      </c>
      <c r="P158" s="146">
        <f>SUMIF('2024 AC'!$B$3:$B$250,"*"&amp;$D158&amp;"*",'2024 AC'!D$3:D$250)</f>
        <v>0</v>
      </c>
      <c r="Q158" s="146">
        <f>SUMIF('2024 AC'!$B$3:$B$250,"*"&amp;$D158&amp;"*",'2024 AC'!E$3:E$250)</f>
        <v>0</v>
      </c>
      <c r="R158" s="146">
        <f>SUMIF('2024 AC'!$B$3:$B$250,"*"&amp;$D158&amp;"*",'2024 AC'!F$3:F$250)</f>
        <v>0</v>
      </c>
      <c r="S158" s="146">
        <f>SUMIF('2024 AC'!$B$3:$B$250,"*"&amp;$D158&amp;"*",'2024 AC'!G$3:G$250)</f>
        <v>0</v>
      </c>
      <c r="T158" s="146">
        <f>SUMIF('2024 AC'!$B$3:$B$250,"*"&amp;$D158&amp;"*",'2024 AC'!H$3:H$250)</f>
        <v>0</v>
      </c>
      <c r="U158" s="146">
        <f>SUMIF('2024 AC'!$B$3:$B$250,"*"&amp;$D158&amp;"*",'2024 AC'!I$3:I$250)</f>
        <v>0</v>
      </c>
      <c r="V158" s="146">
        <f>SUMIF('2024 AC'!$B$3:$B$250,"*"&amp;$D158&amp;"*",'2024 AC'!J$3:J$250)</f>
        <v>0</v>
      </c>
      <c r="W158" s="146">
        <f>SUMIF('2024 AC'!$B$3:$B$250,"*"&amp;$D158&amp;"*",'2024 AC'!K$3:K$250)</f>
        <v>0</v>
      </c>
      <c r="X158" s="146">
        <f>SUMIF('2024 AC'!$B$3:$B$250,"*"&amp;$D158&amp;"*",'2024 AC'!L$3:L$250)</f>
        <v>0</v>
      </c>
      <c r="Y158" s="146">
        <f>SUMIF('2024 AC'!$B$3:$B$250,"*"&amp;$D158&amp;"*",'2024 AC'!M$3:M$250)</f>
        <v>0</v>
      </c>
      <c r="Z158" s="147">
        <f>SUMIF('2024 AC'!$B$3:$B$250,"*"&amp;$D158&amp;"*",'2024 AC'!N$3:N$250)</f>
        <v>0</v>
      </c>
      <c r="AA158" s="148">
        <f t="shared" si="156"/>
        <v>0</v>
      </c>
      <c r="AB158" s="147">
        <f t="shared" si="157"/>
        <v>0</v>
      </c>
      <c r="AC158" s="147">
        <f t="shared" si="158"/>
        <v>0</v>
      </c>
      <c r="AD158" s="147">
        <f t="shared" si="159"/>
        <v>0</v>
      </c>
      <c r="AE158" s="147">
        <f t="shared" si="160"/>
        <v>0</v>
      </c>
      <c r="AF158" s="148">
        <f t="shared" si="161"/>
        <v>0</v>
      </c>
      <c r="AH158" s="145">
        <f>SUMIF('2025 AC'!$B$3:$B$250,"*"&amp;$D158&amp;"*",'2025 AC'!C$3:C$250)</f>
        <v>0</v>
      </c>
      <c r="AI158" s="146">
        <f>SUMIF('2025 AC'!$B$3:$B$250,"*"&amp;$D158&amp;"*",'2025 AC'!D$3:D$250)</f>
        <v>0</v>
      </c>
      <c r="AJ158" s="146">
        <f>SUMIF('2025 AC'!$B$3:$B$250,"*"&amp;$D158&amp;"*",'2025 AC'!E$3:E$250)</f>
        <v>0</v>
      </c>
      <c r="AK158" s="146">
        <f>SUMIF('2025 AC'!$B$3:$B$250,"*"&amp;$D158&amp;"*",'2025 AC'!F$3:F$250)</f>
        <v>0</v>
      </c>
      <c r="AL158" s="146">
        <f>SUMIF('2025 AC'!$B$3:$B$250,"*"&amp;$D158&amp;"*",'2025 AC'!G$3:G$250)</f>
        <v>0</v>
      </c>
      <c r="AM158" s="146">
        <f>SUMIF('2025 AC'!$B$3:$B$250,"*"&amp;$D158&amp;"*",'2025 AC'!H$3:H$250)</f>
        <v>0</v>
      </c>
      <c r="AN158" s="146">
        <f>SUMIF('2025 AC'!$B$3:$B$250,"*"&amp;$D158&amp;"*",'2025 AC'!I$3:I$250)</f>
        <v>0</v>
      </c>
      <c r="AO158" s="146">
        <f>SUMIF('2025 AC'!$B$3:$B$250,"*"&amp;$D158&amp;"*",'2025 AC'!J$3:J$250)</f>
        <v>0</v>
      </c>
      <c r="AP158" s="146">
        <f>SUMIF('2025 AC'!$B$3:$B$250,"*"&amp;$D158&amp;"*",'2025 AC'!K$3:K$250)</f>
        <v>0</v>
      </c>
      <c r="AQ158" s="146">
        <f>SUMIF('2025 AC'!$B$3:$B$250,"*"&amp;$D158&amp;"*",'2025 AC'!L$3:L$250)</f>
        <v>0</v>
      </c>
      <c r="AR158" s="146">
        <f>SUMIF('2025 AC'!$B$3:$B$250,"*"&amp;$D158&amp;"*",'2025 AC'!M$3:M$250)</f>
        <v>0</v>
      </c>
      <c r="AS158" s="146">
        <f>SUMIF('2025 AC'!$B$3:$B$250,"*"&amp;$D158&amp;"*",'2025 AC'!N$3:N$250)</f>
        <v>1128392.95</v>
      </c>
      <c r="AT158" s="149">
        <f t="shared" si="138"/>
        <v>1128392.95</v>
      </c>
      <c r="AU158" s="147">
        <f t="shared" si="162"/>
        <v>0</v>
      </c>
      <c r="AV158" s="147">
        <f t="shared" si="163"/>
        <v>0</v>
      </c>
      <c r="AW158" s="147">
        <f t="shared" si="164"/>
        <v>0</v>
      </c>
      <c r="AX158" s="147">
        <f t="shared" si="165"/>
        <v>1128392.95</v>
      </c>
      <c r="AY158" s="148">
        <f t="shared" si="166"/>
        <v>1128392.95</v>
      </c>
      <c r="BA158" s="145">
        <f>SUMIF('2026 AC'!$B$3:$B$254,"*"&amp;$D158&amp;"*",'2026 AC'!C$3:C$254)</f>
        <v>94363.399999999994</v>
      </c>
      <c r="BB158" s="146">
        <f>SUMIF('2026 AC'!$B$3:$B$254,"*"&amp;$D158&amp;"*",'2026 AC'!D$3:D$254)</f>
        <v>98888.529999999999</v>
      </c>
      <c r="BC158" s="146">
        <f>SUMIF('2026 AC'!$B$3:$B$254,"*"&amp;$D158&amp;"*",'2026 AC'!E$3:E$254)</f>
        <v>98817.899999999994</v>
      </c>
      <c r="BD158" s="146">
        <f>SUMIF('2026 AC'!$B$3:$B$254,"*"&amp;$D158&amp;"*",'2026 AC'!F$3:F$254)</f>
        <v>100279.34</v>
      </c>
      <c r="BE158" s="146">
        <f>SUMIF('2026 AC'!$B$3:$B$254,"*"&amp;$D158&amp;"*",'2026 AC'!G$3:G$254)</f>
        <v>100447.44</v>
      </c>
      <c r="BF158" s="146">
        <f>SUMIF('2026 AC'!$B$3:$B$254,"*"&amp;$D158&amp;"*",'2026 AC'!H$3:H$254)</f>
        <v>100454.36</v>
      </c>
      <c r="BG158" s="146">
        <f>SUMIF('2026 AC'!$B$3:$B$254,"*"&amp;$D158&amp;"*",'2026 AC'!I$3:I$254)</f>
        <v>0</v>
      </c>
      <c r="BH158" s="146">
        <f>SUMIF('2026 AC'!$B$3:$B$254,"*"&amp;$D158&amp;"*",'2026 AC'!J$3:J$254)</f>
        <v>0</v>
      </c>
      <c r="BI158" s="146">
        <f>SUMIF('2026 AC'!$B$3:$B$254,"*"&amp;$D158&amp;"*",'2026 AC'!K$3:K$254)</f>
        <v>0</v>
      </c>
      <c r="BJ158" s="146">
        <f>SUMIF('2026 AC'!$B$3:$B$254,"*"&amp;$D158&amp;"*",'2026 AC'!L$3:L$254)</f>
        <v>0</v>
      </c>
      <c r="BK158" s="146">
        <f>SUMIF('2026 AC'!$B$3:$B$254,"*"&amp;$D158&amp;"*",'2026 AC'!M$3:M$254)</f>
        <v>0</v>
      </c>
      <c r="BL158" s="147">
        <f>SUMIF('2026 AC'!$B$3:$B$254,"*"&amp;$D158&amp;"*",'2026 AC'!N$3:N$254)</f>
        <v>0</v>
      </c>
      <c r="BM158" s="148">
        <f t="shared" si="139"/>
        <v>593250.96999999997</v>
      </c>
      <c r="BN158" s="147">
        <f t="shared" si="167"/>
        <v>292069.82999999996</v>
      </c>
      <c r="BO158" s="147">
        <f t="shared" si="168"/>
        <v>301181.14000000001</v>
      </c>
      <c r="BP158" s="147">
        <f t="shared" si="169"/>
        <v>0</v>
      </c>
      <c r="BQ158" s="147">
        <f t="shared" si="170"/>
        <v>0</v>
      </c>
      <c r="BR158" s="148">
        <f t="shared" si="171"/>
        <v>593250.96999999997</v>
      </c>
    </row>
    <row r="159" s="137" customFormat="1" ht="15" customHeight="1">
      <c r="A159" s="137" t="s">
        <v>373</v>
      </c>
      <c r="B159" s="137" t="s">
        <v>374</v>
      </c>
      <c r="C159" s="187" t="s">
        <v>268</v>
      </c>
      <c r="D159" s="139" t="s">
        <v>375</v>
      </c>
      <c r="E159" s="143">
        <f t="shared" si="182"/>
        <v>156331.67999999999</v>
      </c>
      <c r="F159" s="141">
        <f t="shared" si="183"/>
        <v>150910.54000000001</v>
      </c>
      <c r="G159" s="142">
        <f t="shared" ref="G159:G166" si="192">(E159-F159)/F159</f>
        <v>3.5922871921338195e-02</v>
      </c>
      <c r="H159" s="143">
        <f t="shared" si="185"/>
        <v>467964.66999999998</v>
      </c>
      <c r="I159" s="143">
        <f t="shared" si="186"/>
        <v>479199.83999999997</v>
      </c>
      <c r="J159" s="142">
        <f t="shared" ref="J159:J161" si="193">(H159-I159)/I159</f>
        <v>-2.3445688128777308e-02</v>
      </c>
      <c r="K159" s="143">
        <f t="shared" si="187"/>
        <v>979407.72999999998</v>
      </c>
      <c r="L159" s="143">
        <f t="shared" si="188"/>
        <v>933148.57000000007</v>
      </c>
      <c r="M159" s="144">
        <f t="shared" ref="M159:M161" si="194">(K159-L159)/L159</f>
        <v>4.95731992602206e-02</v>
      </c>
      <c r="O159" s="145">
        <f>SUMIF('2024 AC'!$B$3:$B$250,"*"&amp;$D159&amp;"*",'2024 AC'!C$3:C$250)</f>
        <v>227602.51999999999</v>
      </c>
      <c r="P159" s="146">
        <f>SUMIF('2024 AC'!$B$3:$B$250,"*"&amp;$D159&amp;"*",'2024 AC'!D$3:D$250)</f>
        <v>140937.23999999999</v>
      </c>
      <c r="Q159" s="146">
        <f>SUMIF('2024 AC'!$B$3:$B$250,"*"&amp;$D159&amp;"*",'2024 AC'!E$3:E$250)</f>
        <v>170948.78</v>
      </c>
      <c r="R159" s="146">
        <f>SUMIF('2024 AC'!$B$3:$B$250,"*"&amp;$D159&amp;"*",'2024 AC'!F$3:F$250)</f>
        <v>162292.69</v>
      </c>
      <c r="S159" s="146">
        <f>SUMIF('2024 AC'!$B$3:$B$250,"*"&amp;$D159&amp;"*",'2024 AC'!G$3:G$250)</f>
        <v>168619.19</v>
      </c>
      <c r="T159" s="146">
        <f>SUMIF('2024 AC'!$B$3:$B$250,"*"&amp;$D159&amp;"*",'2024 AC'!H$3:H$250)</f>
        <v>166263.60000000001</v>
      </c>
      <c r="U159" s="146">
        <f>SUMIF('2024 AC'!$B$3:$B$250,"*"&amp;$D159&amp;"*",'2024 AC'!I$3:I$250)</f>
        <v>262687.96000000002</v>
      </c>
      <c r="V159" s="146">
        <f>SUMIF('2024 AC'!$B$3:$B$250,"*"&amp;$D159&amp;"*",'2024 AC'!J$3:J$250)</f>
        <v>190364.32999999999</v>
      </c>
      <c r="W159" s="146">
        <f>SUMIF('2024 AC'!$B$3:$B$250,"*"&amp;$D159&amp;"*",'2024 AC'!K$3:K$250)</f>
        <v>181808.91</v>
      </c>
      <c r="X159" s="146">
        <f>SUMIF('2024 AC'!$B$3:$B$250,"*"&amp;$D159&amp;"*",'2024 AC'!L$3:L$250)</f>
        <v>181719.17000000001</v>
      </c>
      <c r="Y159" s="146">
        <f>SUMIF('2024 AC'!$B$3:$B$250,"*"&amp;$D159&amp;"*",'2024 AC'!M$3:M$250)</f>
        <v>172555.59</v>
      </c>
      <c r="Z159" s="147">
        <f>SUMIF('2024 AC'!$B$3:$B$250,"*"&amp;$D159&amp;"*",'2024 AC'!N$3:N$250)</f>
        <v>223959.39000000001</v>
      </c>
      <c r="AA159" s="148">
        <f t="shared" si="156"/>
        <v>2249759.3700000001</v>
      </c>
      <c r="AB159" s="147">
        <f t="shared" si="157"/>
        <v>539488.54000000004</v>
      </c>
      <c r="AC159" s="147">
        <f t="shared" si="158"/>
        <v>497175.47999999998</v>
      </c>
      <c r="AD159" s="147">
        <f t="shared" si="159"/>
        <v>634861.20000000007</v>
      </c>
      <c r="AE159" s="147">
        <f t="shared" si="160"/>
        <v>578234.15000000002</v>
      </c>
      <c r="AF159" s="148">
        <f t="shared" si="161"/>
        <v>2249759.3700000001</v>
      </c>
      <c r="AH159" s="145">
        <f>SUMIF('2025 AC'!$B$3:$B$250,"*"&amp;$D159&amp;"*",'2025 AC'!C$3:C$250)</f>
        <v>147799.57999999999</v>
      </c>
      <c r="AI159" s="146">
        <f>SUMIF('2025 AC'!$B$3:$B$250,"*"&amp;$D159&amp;"*",'2025 AC'!D$3:D$250)</f>
        <v>159557.76999999999</v>
      </c>
      <c r="AJ159" s="146">
        <f>SUMIF('2025 AC'!$B$3:$B$250,"*"&amp;$D159&amp;"*",'2025 AC'!E$3:E$250)</f>
        <v>146591.38</v>
      </c>
      <c r="AK159" s="146">
        <f>SUMIF('2025 AC'!$B$3:$B$250,"*"&amp;$D159&amp;"*",'2025 AC'!F$3:F$250)</f>
        <v>153932</v>
      </c>
      <c r="AL159" s="146">
        <f>SUMIF('2025 AC'!$B$3:$B$250,"*"&amp;$D159&amp;"*",'2025 AC'!G$3:G$250)</f>
        <v>174357.29999999999</v>
      </c>
      <c r="AM159" s="146">
        <f>SUMIF('2025 AC'!$B$3:$B$250,"*"&amp;$D159&amp;"*",'2025 AC'!H$3:H$250)</f>
        <v>150910.54000000001</v>
      </c>
      <c r="AN159" s="146">
        <f>SUMIF('2025 AC'!$B$3:$B$250,"*"&amp;$D159&amp;"*",'2025 AC'!I$3:I$250)</f>
        <v>186400.29999999999</v>
      </c>
      <c r="AO159" s="146">
        <f>SUMIF('2025 AC'!$B$3:$B$250,"*"&amp;$D159&amp;"*",'2025 AC'!J$3:J$250)</f>
        <v>144814.39000000001</v>
      </c>
      <c r="AP159" s="146">
        <f>SUMIF('2025 AC'!$B$3:$B$250,"*"&amp;$D159&amp;"*",'2025 AC'!K$3:K$250)</f>
        <v>186733.63</v>
      </c>
      <c r="AQ159" s="146">
        <f>SUMIF('2025 AC'!$B$3:$B$250,"*"&amp;$D159&amp;"*",'2025 AC'!L$3:L$250)</f>
        <v>174755.81</v>
      </c>
      <c r="AR159" s="146">
        <f>SUMIF('2025 AC'!$B$3:$B$250,"*"&amp;$D159&amp;"*",'2025 AC'!M$3:M$250)</f>
        <v>143011.95000000001</v>
      </c>
      <c r="AS159" s="146">
        <f>SUMIF('2025 AC'!$B$3:$B$250,"*"&amp;$D159&amp;"*",'2025 AC'!N$3:N$250)</f>
        <v>183303.13</v>
      </c>
      <c r="AT159" s="149">
        <f t="shared" si="138"/>
        <v>1952167.7800000003</v>
      </c>
      <c r="AU159" s="147">
        <f t="shared" si="162"/>
        <v>453948.72999999998</v>
      </c>
      <c r="AV159" s="147">
        <f t="shared" si="163"/>
        <v>479199.83999999997</v>
      </c>
      <c r="AW159" s="147">
        <f t="shared" si="164"/>
        <v>517948.32000000001</v>
      </c>
      <c r="AX159" s="147">
        <f t="shared" si="165"/>
        <v>501070.89000000001</v>
      </c>
      <c r="AY159" s="148">
        <f t="shared" si="166"/>
        <v>1952167.7799999998</v>
      </c>
      <c r="BA159" s="145">
        <f>SUMIF('2026 AC'!$B$3:$B$254,"*"&amp;$D159&amp;"*",'2026 AC'!C$3:C$254)</f>
        <v>151422.98000000001</v>
      </c>
      <c r="BB159" s="146">
        <f>SUMIF('2026 AC'!$B$3:$B$254,"*"&amp;$D159&amp;"*",'2026 AC'!D$3:D$254)</f>
        <v>161972.45999999999</v>
      </c>
      <c r="BC159" s="146">
        <f>SUMIF('2026 AC'!$B$3:$B$254,"*"&amp;$D159&amp;"*",'2026 AC'!E$3:E$254)</f>
        <v>198047.62</v>
      </c>
      <c r="BD159" s="146">
        <f>SUMIF('2026 AC'!$B$3:$B$254,"*"&amp;$D159&amp;"*",'2026 AC'!F$3:F$254)</f>
        <v>147031.66</v>
      </c>
      <c r="BE159" s="146">
        <f>SUMIF('2026 AC'!$B$3:$B$254,"*"&amp;$D159&amp;"*",'2026 AC'!G$3:G$254)</f>
        <v>164601.32999999999</v>
      </c>
      <c r="BF159" s="146">
        <f>SUMIF('2026 AC'!$B$3:$B$254,"*"&amp;$D159&amp;"*",'2026 AC'!H$3:H$254)</f>
        <v>156331.67999999999</v>
      </c>
      <c r="BG159" s="146">
        <f>SUMIF('2026 AC'!$B$3:$B$254,"*"&amp;$D159&amp;"*",'2026 AC'!I$3:I$254)</f>
        <v>0</v>
      </c>
      <c r="BH159" s="146">
        <f>SUMIF('2026 AC'!$B$3:$B$254,"*"&amp;$D159&amp;"*",'2026 AC'!J$3:J$254)</f>
        <v>0</v>
      </c>
      <c r="BI159" s="146">
        <f>SUMIF('2026 AC'!$B$3:$B$254,"*"&amp;$D159&amp;"*",'2026 AC'!K$3:K$254)</f>
        <v>0</v>
      </c>
      <c r="BJ159" s="146">
        <f>SUMIF('2026 AC'!$B$3:$B$254,"*"&amp;$D159&amp;"*",'2026 AC'!L$3:L$254)</f>
        <v>0</v>
      </c>
      <c r="BK159" s="146">
        <f>SUMIF('2026 AC'!$B$3:$B$254,"*"&amp;$D159&amp;"*",'2026 AC'!M$3:M$254)</f>
        <v>0</v>
      </c>
      <c r="BL159" s="147">
        <f>SUMIF('2026 AC'!$B$3:$B$254,"*"&amp;$D159&amp;"*",'2026 AC'!N$3:N$254)</f>
        <v>0</v>
      </c>
      <c r="BM159" s="148">
        <f t="shared" si="139"/>
        <v>979407.72999999998</v>
      </c>
      <c r="BN159" s="147">
        <f t="shared" si="167"/>
        <v>511443.06</v>
      </c>
      <c r="BO159" s="147">
        <f t="shared" si="168"/>
        <v>467964.66999999998</v>
      </c>
      <c r="BP159" s="147">
        <f t="shared" si="169"/>
        <v>0</v>
      </c>
      <c r="BQ159" s="147">
        <f t="shared" si="170"/>
        <v>0</v>
      </c>
      <c r="BR159" s="148">
        <f t="shared" si="171"/>
        <v>979407.72999999998</v>
      </c>
    </row>
    <row r="160" ht="15" customHeight="1" outlineLevel="1">
      <c r="A160" t="s">
        <v>376</v>
      </c>
      <c r="B160" t="s">
        <v>377</v>
      </c>
      <c r="C160" s="34" t="s">
        <v>378</v>
      </c>
      <c r="D160" s="35" t="s">
        <v>379</v>
      </c>
      <c r="E160" s="151">
        <f t="shared" si="182"/>
        <v>0</v>
      </c>
      <c r="F160" s="152">
        <f t="shared" si="183"/>
        <v>0</v>
      </c>
      <c r="G160" s="154">
        <f t="shared" si="189"/>
        <v>0</v>
      </c>
      <c r="H160" s="153">
        <f t="shared" si="185"/>
        <v>0</v>
      </c>
      <c r="I160" s="153">
        <f t="shared" si="186"/>
        <v>0</v>
      </c>
      <c r="J160" s="54" t="e">
        <f t="shared" si="193"/>
        <v>#DIV/0!</v>
      </c>
      <c r="K160" s="153">
        <f t="shared" si="187"/>
        <v>0</v>
      </c>
      <c r="L160" s="153">
        <f t="shared" si="188"/>
        <v>239.71999999999997</v>
      </c>
      <c r="M160" s="55">
        <f t="shared" si="194"/>
        <v>-1</v>
      </c>
      <c r="O160" s="63">
        <f>SUMIF('2024 AC'!$B$3:$B$250,"*"&amp;$D160&amp;"*",'2024 AC'!C$3:C$250)</f>
        <v>0</v>
      </c>
      <c r="P160" s="53">
        <f>SUMIF('2024 AC'!$B$3:$B$250,"*"&amp;$D160&amp;"*",'2024 AC'!D$3:D$250)</f>
        <v>0</v>
      </c>
      <c r="Q160" s="53">
        <f>SUMIF('2024 AC'!$B$3:$B$250,"*"&amp;$D160&amp;"*",'2024 AC'!E$3:E$250)</f>
        <v>460.89999999999998</v>
      </c>
      <c r="R160" s="53">
        <f>SUMIF('2024 AC'!$B$3:$B$250,"*"&amp;$D160&amp;"*",'2024 AC'!F$3:F$250)</f>
        <v>312.19999999999999</v>
      </c>
      <c r="S160" s="53">
        <f>SUMIF('2024 AC'!$B$3:$B$250,"*"&amp;$D160&amp;"*",'2024 AC'!G$3:G$250)</f>
        <v>0</v>
      </c>
      <c r="T160" s="53">
        <f>SUMIF('2024 AC'!$B$3:$B$250,"*"&amp;$D160&amp;"*",'2024 AC'!H$3:H$250)</f>
        <v>0</v>
      </c>
      <c r="U160" s="53">
        <f>SUMIF('2024 AC'!$B$3:$B$250,"*"&amp;$D160&amp;"*",'2024 AC'!I$3:I$250)</f>
        <v>0</v>
      </c>
      <c r="V160" s="53">
        <f>SUMIF('2024 AC'!$B$3:$B$250,"*"&amp;$D160&amp;"*",'2024 AC'!J$3:J$250)</f>
        <v>0</v>
      </c>
      <c r="W160" s="53">
        <f>SUMIF('2024 AC'!$B$3:$B$250,"*"&amp;$D160&amp;"*",'2024 AC'!K$3:K$250)</f>
        <v>0</v>
      </c>
      <c r="X160" s="53">
        <f>SUMIF('2024 AC'!$B$3:$B$250,"*"&amp;$D160&amp;"*",'2024 AC'!L$3:L$250)</f>
        <v>0</v>
      </c>
      <c r="Y160" s="53">
        <f>SUMIF('2024 AC'!$B$3:$B$250,"*"&amp;$D160&amp;"*",'2024 AC'!M$3:M$250)</f>
        <v>0</v>
      </c>
      <c r="Z160" s="93">
        <f>SUMIF('2024 AC'!$B$3:$B$250,"*"&amp;$D160&amp;"*",'2024 AC'!N$3:N$250)</f>
        <v>0</v>
      </c>
      <c r="AA160" s="92">
        <f t="shared" si="156"/>
        <v>773.09999999999991</v>
      </c>
      <c r="AB160" s="93">
        <f t="shared" si="157"/>
        <v>460.89999999999998</v>
      </c>
      <c r="AC160" s="93">
        <f t="shared" si="158"/>
        <v>312.19999999999999</v>
      </c>
      <c r="AD160" s="93">
        <f t="shared" si="159"/>
        <v>0</v>
      </c>
      <c r="AE160" s="93">
        <f t="shared" si="160"/>
        <v>0</v>
      </c>
      <c r="AF160" s="92">
        <f t="shared" si="161"/>
        <v>773.09999999999991</v>
      </c>
      <c r="AH160" s="63">
        <f>SUMIF('2025 AC'!$B$3:$B$250,"*"&amp;$D160&amp;"*",'2025 AC'!C$3:C$250)</f>
        <v>159.69999999999999</v>
      </c>
      <c r="AI160" s="53">
        <f>SUMIF('2025 AC'!$B$3:$B$250,"*"&amp;$D160&amp;"*",'2025 AC'!D$3:D$250)</f>
        <v>0</v>
      </c>
      <c r="AJ160" s="53">
        <f>SUMIF('2025 AC'!$B$3:$B$250,"*"&amp;$D160&amp;"*",'2025 AC'!E$3:E$250)</f>
        <v>80.019999999999996</v>
      </c>
      <c r="AK160" s="53">
        <f>SUMIF('2025 AC'!$B$3:$B$250,"*"&amp;$D160&amp;"*",'2025 AC'!F$3:F$250)</f>
        <v>0</v>
      </c>
      <c r="AL160" s="53">
        <f>SUMIF('2025 AC'!$B$3:$B$250,"*"&amp;$D160&amp;"*",'2025 AC'!G$3:G$250)</f>
        <v>0</v>
      </c>
      <c r="AM160" s="53">
        <f>SUMIF('2025 AC'!$B$3:$B$250,"*"&amp;$D160&amp;"*",'2025 AC'!H$3:H$250)</f>
        <v>0</v>
      </c>
      <c r="AN160" s="53">
        <f>SUMIF('2025 AC'!$B$3:$B$250,"*"&amp;$D160&amp;"*",'2025 AC'!I$3:I$250)</f>
        <v>0</v>
      </c>
      <c r="AO160" s="53">
        <f>SUMIF('2025 AC'!$B$3:$B$250,"*"&amp;$D160&amp;"*",'2025 AC'!J$3:J$250)</f>
        <v>0</v>
      </c>
      <c r="AP160" s="53">
        <f>SUMIF('2025 AC'!$B$3:$B$250,"*"&amp;$D160&amp;"*",'2025 AC'!K$3:K$250)</f>
        <v>0</v>
      </c>
      <c r="AQ160" s="53">
        <f>SUMIF('2025 AC'!$B$3:$B$250,"*"&amp;$D160&amp;"*",'2025 AC'!L$3:L$250)</f>
        <v>0</v>
      </c>
      <c r="AR160" s="53">
        <f>SUMIF('2025 AC'!$B$3:$B$250,"*"&amp;$D160&amp;"*",'2025 AC'!M$3:M$250)</f>
        <v>0</v>
      </c>
      <c r="AS160" s="53">
        <f>SUMIF('2025 AC'!$B$3:$B$250,"*"&amp;$D160&amp;"*",'2025 AC'!N$3:N$250)</f>
        <v>0</v>
      </c>
      <c r="AT160" s="94">
        <f t="shared" si="138"/>
        <v>239.71999999999997</v>
      </c>
      <c r="AU160" s="93">
        <f t="shared" si="162"/>
        <v>239.71999999999997</v>
      </c>
      <c r="AV160" s="93">
        <f t="shared" si="163"/>
        <v>0</v>
      </c>
      <c r="AW160" s="93">
        <f t="shared" si="164"/>
        <v>0</v>
      </c>
      <c r="AX160" s="93">
        <f t="shared" si="165"/>
        <v>0</v>
      </c>
      <c r="AY160" s="92">
        <f t="shared" si="166"/>
        <v>239.71999999999997</v>
      </c>
      <c r="BA160" s="63">
        <f>SUMIF('2026 AC'!$B$3:$B$254,"*"&amp;$D160&amp;"*",'2026 AC'!C$3:C$254)</f>
        <v>0</v>
      </c>
      <c r="BB160" s="53">
        <f>SUMIF('2026 AC'!$B$3:$B$254,"*"&amp;$D160&amp;"*",'2026 AC'!D$3:D$254)</f>
        <v>0</v>
      </c>
      <c r="BC160" s="53">
        <f>SUMIF('2026 AC'!$B$3:$B$254,"*"&amp;$D160&amp;"*",'2026 AC'!E$3:E$254)</f>
        <v>0</v>
      </c>
      <c r="BD160" s="53">
        <f>SUMIF('2026 AC'!$B$3:$B$254,"*"&amp;$D160&amp;"*",'2026 AC'!F$3:F$254)</f>
        <v>0</v>
      </c>
      <c r="BE160" s="53">
        <f>SUMIF('2026 AC'!$B$3:$B$254,"*"&amp;$D160&amp;"*",'2026 AC'!G$3:G$254)</f>
        <v>0</v>
      </c>
      <c r="BF160" s="53">
        <f>SUMIF('2026 AC'!$B$3:$B$254,"*"&amp;$D160&amp;"*",'2026 AC'!H$3:H$254)</f>
        <v>0</v>
      </c>
      <c r="BG160" s="53">
        <f>SUMIF('2026 AC'!$B$3:$B$254,"*"&amp;$D160&amp;"*",'2026 AC'!I$3:I$254)</f>
        <v>0</v>
      </c>
      <c r="BH160" s="53">
        <f>SUMIF('2026 AC'!$B$3:$B$254,"*"&amp;$D160&amp;"*",'2026 AC'!J$3:J$254)</f>
        <v>0</v>
      </c>
      <c r="BI160" s="53">
        <f>SUMIF('2026 AC'!$B$3:$B$254,"*"&amp;$D160&amp;"*",'2026 AC'!K$3:K$254)</f>
        <v>0</v>
      </c>
      <c r="BJ160" s="53">
        <f>SUMIF('2026 AC'!$B$3:$B$254,"*"&amp;$D160&amp;"*",'2026 AC'!L$3:L$254)</f>
        <v>0</v>
      </c>
      <c r="BK160" s="53">
        <f>SUMIF('2026 AC'!$B$3:$B$254,"*"&amp;$D160&amp;"*",'2026 AC'!M$3:M$254)</f>
        <v>0</v>
      </c>
      <c r="BL160" s="93">
        <f>SUMIF('2026 AC'!$B$3:$B$254,"*"&amp;$D160&amp;"*",'2026 AC'!N$3:N$254)</f>
        <v>0</v>
      </c>
      <c r="BM160" s="92">
        <f t="shared" si="139"/>
        <v>0</v>
      </c>
      <c r="BN160" s="93">
        <f t="shared" si="167"/>
        <v>0</v>
      </c>
      <c r="BO160" s="93">
        <f t="shared" si="168"/>
        <v>0</v>
      </c>
      <c r="BP160" s="93">
        <f t="shared" si="169"/>
        <v>0</v>
      </c>
      <c r="BQ160" s="93">
        <f t="shared" si="170"/>
        <v>0</v>
      </c>
      <c r="BR160" s="92">
        <f t="shared" si="171"/>
        <v>0</v>
      </c>
    </row>
    <row r="161" ht="15" customHeight="1" outlineLevel="1">
      <c r="A161" t="s">
        <v>380</v>
      </c>
      <c r="B161" t="s">
        <v>381</v>
      </c>
      <c r="C161" s="34" t="s">
        <v>382</v>
      </c>
      <c r="D161" s="35" t="s">
        <v>383</v>
      </c>
      <c r="E161" s="151">
        <f t="shared" si="182"/>
        <v>0</v>
      </c>
      <c r="F161" s="152">
        <f t="shared" si="183"/>
        <v>0</v>
      </c>
      <c r="G161" s="154">
        <f t="shared" si="189"/>
        <v>0</v>
      </c>
      <c r="H161" s="153">
        <f t="shared" si="185"/>
        <v>0</v>
      </c>
      <c r="I161" s="153">
        <f t="shared" si="186"/>
        <v>81.599999999999994</v>
      </c>
      <c r="J161" s="54">
        <f t="shared" si="193"/>
        <v>-1</v>
      </c>
      <c r="K161" s="153">
        <f t="shared" si="187"/>
        <v>0</v>
      </c>
      <c r="L161" s="153">
        <f t="shared" si="188"/>
        <v>6081.6000000000004</v>
      </c>
      <c r="M161" s="55">
        <f t="shared" si="194"/>
        <v>-1</v>
      </c>
      <c r="O161" s="63">
        <f>SUMIF('2024 AC'!$B$3:$B$250,"*"&amp;$D161&amp;"*",'2024 AC'!C$3:C$250)</f>
        <v>0</v>
      </c>
      <c r="P161" s="53">
        <f>SUMIF('2024 AC'!$B$3:$B$250,"*"&amp;$D161&amp;"*",'2024 AC'!D$3:D$250)</f>
        <v>0</v>
      </c>
      <c r="Q161" s="53">
        <f>SUMIF('2024 AC'!$B$3:$B$250,"*"&amp;$D161&amp;"*",'2024 AC'!E$3:E$250)</f>
        <v>0</v>
      </c>
      <c r="R161" s="53">
        <f>SUMIF('2024 AC'!$B$3:$B$250,"*"&amp;$D161&amp;"*",'2024 AC'!F$3:F$250)</f>
        <v>0</v>
      </c>
      <c r="S161" s="53">
        <f>SUMIF('2024 AC'!$B$3:$B$250,"*"&amp;$D161&amp;"*",'2024 AC'!G$3:G$250)</f>
        <v>0</v>
      </c>
      <c r="T161" s="53">
        <f>SUMIF('2024 AC'!$B$3:$B$250,"*"&amp;$D161&amp;"*",'2024 AC'!H$3:H$250)</f>
        <v>0</v>
      </c>
      <c r="U161" s="53">
        <f>SUMIF('2024 AC'!$B$3:$B$250,"*"&amp;$D161&amp;"*",'2024 AC'!I$3:I$250)</f>
        <v>0</v>
      </c>
      <c r="V161" s="53">
        <f>SUMIF('2024 AC'!$B$3:$B$250,"*"&amp;$D161&amp;"*",'2024 AC'!J$3:J$250)</f>
        <v>0</v>
      </c>
      <c r="W161" s="53">
        <f>SUMIF('2024 AC'!$B$3:$B$250,"*"&amp;$D161&amp;"*",'2024 AC'!K$3:K$250)</f>
        <v>0</v>
      </c>
      <c r="X161" s="53">
        <f>SUMIF('2024 AC'!$B$3:$B$250,"*"&amp;$D161&amp;"*",'2024 AC'!L$3:L$250)</f>
        <v>0</v>
      </c>
      <c r="Y161" s="53">
        <f>SUMIF('2024 AC'!$B$3:$B$250,"*"&amp;$D161&amp;"*",'2024 AC'!M$3:M$250)</f>
        <v>0</v>
      </c>
      <c r="Z161" s="93">
        <f>SUMIF('2024 AC'!$B$3:$B$250,"*"&amp;$D161&amp;"*",'2024 AC'!N$3:N$250)</f>
        <v>15.4</v>
      </c>
      <c r="AA161" s="92">
        <f t="shared" si="156"/>
        <v>15.4</v>
      </c>
      <c r="AB161" s="93">
        <f t="shared" si="157"/>
        <v>0</v>
      </c>
      <c r="AC161" s="93">
        <f t="shared" si="158"/>
        <v>0</v>
      </c>
      <c r="AD161" s="93">
        <f t="shared" si="159"/>
        <v>0</v>
      </c>
      <c r="AE161" s="93">
        <f t="shared" si="160"/>
        <v>15.4</v>
      </c>
      <c r="AF161" s="92">
        <f t="shared" si="161"/>
        <v>15.4</v>
      </c>
      <c r="AH161" s="63">
        <f>SUMIF('2025 AC'!$B$3:$B$250,"*"&amp;$D161&amp;"*",'2025 AC'!C$3:C$250)</f>
        <v>6000</v>
      </c>
      <c r="AI161" s="53">
        <f>SUMIF('2025 AC'!$B$3:$B$250,"*"&amp;$D161&amp;"*",'2025 AC'!D$3:D$250)</f>
        <v>0</v>
      </c>
      <c r="AJ161" s="53">
        <f>SUMIF('2025 AC'!$B$3:$B$250,"*"&amp;$D161&amp;"*",'2025 AC'!E$3:E$250)</f>
        <v>0</v>
      </c>
      <c r="AK161" s="53">
        <f>SUMIF('2025 AC'!$B$3:$B$250,"*"&amp;$D161&amp;"*",'2025 AC'!F$3:F$250)</f>
        <v>81.599999999999994</v>
      </c>
      <c r="AL161" s="53">
        <f>SUMIF('2025 AC'!$B$3:$B$250,"*"&amp;$D161&amp;"*",'2025 AC'!G$3:G$250)</f>
        <v>0</v>
      </c>
      <c r="AM161" s="53">
        <f>SUMIF('2025 AC'!$B$3:$B$250,"*"&amp;$D161&amp;"*",'2025 AC'!H$3:H$250)</f>
        <v>0</v>
      </c>
      <c r="AN161" s="53">
        <f>SUMIF('2025 AC'!$B$3:$B$250,"*"&amp;$D161&amp;"*",'2025 AC'!I$3:I$250)</f>
        <v>0</v>
      </c>
      <c r="AO161" s="53">
        <f>SUMIF('2025 AC'!$B$3:$B$250,"*"&amp;$D161&amp;"*",'2025 AC'!J$3:J$250)</f>
        <v>0</v>
      </c>
      <c r="AP161" s="53">
        <f>SUMIF('2025 AC'!$B$3:$B$250,"*"&amp;$D161&amp;"*",'2025 AC'!K$3:K$250)</f>
        <v>0</v>
      </c>
      <c r="AQ161" s="53">
        <f>SUMIF('2025 AC'!$B$3:$B$250,"*"&amp;$D161&amp;"*",'2025 AC'!L$3:L$250)</f>
        <v>0</v>
      </c>
      <c r="AR161" s="53">
        <f>SUMIF('2025 AC'!$B$3:$B$250,"*"&amp;$D161&amp;"*",'2025 AC'!M$3:M$250)</f>
        <v>0</v>
      </c>
      <c r="AS161" s="53">
        <f>SUMIF('2025 AC'!$B$3:$B$250,"*"&amp;$D161&amp;"*",'2025 AC'!N$3:N$250)</f>
        <v>6000</v>
      </c>
      <c r="AT161" s="94">
        <f t="shared" si="138"/>
        <v>12081.6</v>
      </c>
      <c r="AU161" s="93">
        <f t="shared" si="162"/>
        <v>6000</v>
      </c>
      <c r="AV161" s="93">
        <f t="shared" si="163"/>
        <v>81.599999999999994</v>
      </c>
      <c r="AW161" s="93">
        <f t="shared" si="164"/>
        <v>0</v>
      </c>
      <c r="AX161" s="93">
        <f t="shared" si="165"/>
        <v>6000</v>
      </c>
      <c r="AY161" s="92">
        <f t="shared" si="166"/>
        <v>12081.6</v>
      </c>
      <c r="BA161" s="63">
        <f>SUMIF('2026 AC'!$B$3:$B$254,"*"&amp;$D161&amp;"*",'2026 AC'!C$3:C$254)</f>
        <v>0</v>
      </c>
      <c r="BB161" s="53">
        <f>SUMIF('2026 AC'!$B$3:$B$254,"*"&amp;$D161&amp;"*",'2026 AC'!D$3:D$254)</f>
        <v>0</v>
      </c>
      <c r="BC161" s="53">
        <f>SUMIF('2026 AC'!$B$3:$B$254,"*"&amp;$D161&amp;"*",'2026 AC'!E$3:E$254)</f>
        <v>0</v>
      </c>
      <c r="BD161" s="53">
        <f>SUMIF('2026 AC'!$B$3:$B$254,"*"&amp;$D161&amp;"*",'2026 AC'!F$3:F$254)</f>
        <v>0</v>
      </c>
      <c r="BE161" s="53">
        <f>SUMIF('2026 AC'!$B$3:$B$254,"*"&amp;$D161&amp;"*",'2026 AC'!G$3:G$254)</f>
        <v>0</v>
      </c>
      <c r="BF161" s="53">
        <f>SUMIF('2026 AC'!$B$3:$B$254,"*"&amp;$D161&amp;"*",'2026 AC'!H$3:H$254)</f>
        <v>0</v>
      </c>
      <c r="BG161" s="53">
        <f>SUMIF('2026 AC'!$B$3:$B$254,"*"&amp;$D161&amp;"*",'2026 AC'!I$3:I$254)</f>
        <v>0</v>
      </c>
      <c r="BH161" s="53">
        <f>SUMIF('2026 AC'!$B$3:$B$254,"*"&amp;$D161&amp;"*",'2026 AC'!J$3:J$254)</f>
        <v>0</v>
      </c>
      <c r="BI161" s="53">
        <f>SUMIF('2026 AC'!$B$3:$B$254,"*"&amp;$D161&amp;"*",'2026 AC'!K$3:K$254)</f>
        <v>0</v>
      </c>
      <c r="BJ161" s="53">
        <f>SUMIF('2026 AC'!$B$3:$B$254,"*"&amp;$D161&amp;"*",'2026 AC'!L$3:L$254)</f>
        <v>0</v>
      </c>
      <c r="BK161" s="53">
        <f>SUMIF('2026 AC'!$B$3:$B$254,"*"&amp;$D161&amp;"*",'2026 AC'!M$3:M$254)</f>
        <v>0</v>
      </c>
      <c r="BL161" s="93">
        <f>SUMIF('2026 AC'!$B$3:$B$254,"*"&amp;$D161&amp;"*",'2026 AC'!N$3:N$254)</f>
        <v>0</v>
      </c>
      <c r="BM161" s="92">
        <f t="shared" si="139"/>
        <v>0</v>
      </c>
      <c r="BN161" s="93">
        <f t="shared" si="167"/>
        <v>0</v>
      </c>
      <c r="BO161" s="93">
        <f t="shared" si="168"/>
        <v>0</v>
      </c>
      <c r="BP161" s="93">
        <f t="shared" si="169"/>
        <v>0</v>
      </c>
      <c r="BQ161" s="93">
        <f t="shared" si="170"/>
        <v>0</v>
      </c>
      <c r="BR161" s="92">
        <f t="shared" si="171"/>
        <v>0</v>
      </c>
    </row>
    <row r="162" ht="15" customHeight="1" outlineLevel="1">
      <c r="A162" t="s">
        <v>384</v>
      </c>
      <c r="B162" t="s">
        <v>385</v>
      </c>
      <c r="C162" s="34" t="s">
        <v>386</v>
      </c>
      <c r="D162" s="35" t="s">
        <v>387</v>
      </c>
      <c r="E162" s="151">
        <f t="shared" si="182"/>
        <v>0</v>
      </c>
      <c r="F162" s="152">
        <f t="shared" si="183"/>
        <v>0</v>
      </c>
      <c r="G162" s="154">
        <f t="shared" si="189"/>
        <v>0</v>
      </c>
      <c r="H162" s="153">
        <f t="shared" si="185"/>
        <v>0</v>
      </c>
      <c r="I162" s="153">
        <f t="shared" si="186"/>
        <v>0</v>
      </c>
      <c r="J162" s="154">
        <f t="shared" si="190"/>
        <v>0</v>
      </c>
      <c r="K162" s="153">
        <f t="shared" si="187"/>
        <v>0</v>
      </c>
      <c r="L162" s="153">
        <f t="shared" si="188"/>
        <v>0</v>
      </c>
      <c r="M162" s="155">
        <f t="shared" si="191"/>
        <v>0</v>
      </c>
      <c r="O162" s="63">
        <f>SUMIF('2024 AC'!$B$3:$B$250,"*"&amp;$D162&amp;"*",'2024 AC'!C$3:C$250)</f>
        <v>0</v>
      </c>
      <c r="P162" s="53">
        <f>SUMIF('2024 AC'!$B$3:$B$250,"*"&amp;$D162&amp;"*",'2024 AC'!D$3:D$250)</f>
        <v>0</v>
      </c>
      <c r="Q162" s="53">
        <f>SUMIF('2024 AC'!$B$3:$B$250,"*"&amp;$D162&amp;"*",'2024 AC'!E$3:E$250)</f>
        <v>0</v>
      </c>
      <c r="R162" s="53">
        <f>SUMIF('2024 AC'!$B$3:$B$250,"*"&amp;$D162&amp;"*",'2024 AC'!F$3:F$250)</f>
        <v>0</v>
      </c>
      <c r="S162" s="53">
        <f>SUMIF('2024 AC'!$B$3:$B$250,"*"&amp;$D162&amp;"*",'2024 AC'!G$3:G$250)</f>
        <v>0</v>
      </c>
      <c r="T162" s="53">
        <f>SUMIF('2024 AC'!$B$3:$B$250,"*"&amp;$D162&amp;"*",'2024 AC'!H$3:H$250)</f>
        <v>0</v>
      </c>
      <c r="U162" s="53">
        <f>SUMIF('2024 AC'!$B$3:$B$250,"*"&amp;$D162&amp;"*",'2024 AC'!I$3:I$250)</f>
        <v>4317</v>
      </c>
      <c r="V162" s="53">
        <f>SUMIF('2024 AC'!$B$3:$B$250,"*"&amp;$D162&amp;"*",'2024 AC'!J$3:J$250)</f>
        <v>0</v>
      </c>
      <c r="W162" s="53">
        <f>SUMIF('2024 AC'!$B$3:$B$250,"*"&amp;$D162&amp;"*",'2024 AC'!K$3:K$250)</f>
        <v>0</v>
      </c>
      <c r="X162" s="53">
        <f>SUMIF('2024 AC'!$B$3:$B$250,"*"&amp;$D162&amp;"*",'2024 AC'!L$3:L$250)</f>
        <v>0</v>
      </c>
      <c r="Y162" s="53">
        <f>SUMIF('2024 AC'!$B$3:$B$250,"*"&amp;$D162&amp;"*",'2024 AC'!M$3:M$250)</f>
        <v>0</v>
      </c>
      <c r="Z162" s="93">
        <f>SUMIF('2024 AC'!$B$3:$B$250,"*"&amp;$D162&amp;"*",'2024 AC'!N$3:N$250)</f>
        <v>0</v>
      </c>
      <c r="AA162" s="92">
        <f t="shared" si="156"/>
        <v>4317</v>
      </c>
      <c r="AB162" s="93">
        <f t="shared" si="157"/>
        <v>0</v>
      </c>
      <c r="AC162" s="93">
        <f t="shared" si="158"/>
        <v>0</v>
      </c>
      <c r="AD162" s="93">
        <f t="shared" si="159"/>
        <v>4317</v>
      </c>
      <c r="AE162" s="93">
        <f t="shared" si="160"/>
        <v>0</v>
      </c>
      <c r="AF162" s="92">
        <f t="shared" si="161"/>
        <v>4317</v>
      </c>
      <c r="AH162" s="63">
        <f>SUMIF('2025 AC'!$B$3:$B$250,"*"&amp;$D162&amp;"*",'2025 AC'!C$3:C$250)</f>
        <v>0</v>
      </c>
      <c r="AI162" s="53">
        <f>SUMIF('2025 AC'!$B$3:$B$250,"*"&amp;$D162&amp;"*",'2025 AC'!D$3:D$250)</f>
        <v>0</v>
      </c>
      <c r="AJ162" s="53">
        <f>SUMIF('2025 AC'!$B$3:$B$250,"*"&amp;$D162&amp;"*",'2025 AC'!E$3:E$250)</f>
        <v>0</v>
      </c>
      <c r="AK162" s="53">
        <f>SUMIF('2025 AC'!$B$3:$B$250,"*"&amp;$D162&amp;"*",'2025 AC'!F$3:F$250)</f>
        <v>0</v>
      </c>
      <c r="AL162" s="53">
        <f>SUMIF('2025 AC'!$B$3:$B$250,"*"&amp;$D162&amp;"*",'2025 AC'!G$3:G$250)</f>
        <v>0</v>
      </c>
      <c r="AM162" s="53">
        <f>SUMIF('2025 AC'!$B$3:$B$250,"*"&amp;$D162&amp;"*",'2025 AC'!H$3:H$250)</f>
        <v>0</v>
      </c>
      <c r="AN162" s="53">
        <f>SUMIF('2025 AC'!$B$3:$B$250,"*"&amp;$D162&amp;"*",'2025 AC'!I$3:I$250)</f>
        <v>0</v>
      </c>
      <c r="AO162" s="53">
        <f>SUMIF('2025 AC'!$B$3:$B$250,"*"&amp;$D162&amp;"*",'2025 AC'!J$3:J$250)</f>
        <v>0</v>
      </c>
      <c r="AP162" s="53">
        <f>SUMIF('2025 AC'!$B$3:$B$250,"*"&amp;$D162&amp;"*",'2025 AC'!K$3:K$250)</f>
        <v>0</v>
      </c>
      <c r="AQ162" s="53">
        <f>SUMIF('2025 AC'!$B$3:$B$250,"*"&amp;$D162&amp;"*",'2025 AC'!L$3:L$250)</f>
        <v>0</v>
      </c>
      <c r="AR162" s="53">
        <f>SUMIF('2025 AC'!$B$3:$B$250,"*"&amp;$D162&amp;"*",'2025 AC'!M$3:M$250)</f>
        <v>0</v>
      </c>
      <c r="AS162" s="53">
        <f>SUMIF('2025 AC'!$B$3:$B$250,"*"&amp;$D162&amp;"*",'2025 AC'!N$3:N$250)</f>
        <v>0</v>
      </c>
      <c r="AT162" s="94">
        <f t="shared" si="138"/>
        <v>0</v>
      </c>
      <c r="AU162" s="93">
        <f t="shared" si="162"/>
        <v>0</v>
      </c>
      <c r="AV162" s="93">
        <f t="shared" si="163"/>
        <v>0</v>
      </c>
      <c r="AW162" s="93">
        <f t="shared" si="164"/>
        <v>0</v>
      </c>
      <c r="AX162" s="93">
        <f t="shared" si="165"/>
        <v>0</v>
      </c>
      <c r="AY162" s="92">
        <f t="shared" si="166"/>
        <v>0</v>
      </c>
      <c r="BA162" s="63">
        <f>SUMIF('2026 AC'!$B$3:$B$254,"*"&amp;$D162&amp;"*",'2026 AC'!C$3:C$254)</f>
        <v>0</v>
      </c>
      <c r="BB162" s="53">
        <f>SUMIF('2026 AC'!$B$3:$B$254,"*"&amp;$D162&amp;"*",'2026 AC'!D$3:D$254)</f>
        <v>0</v>
      </c>
      <c r="BC162" s="53">
        <f>SUMIF('2026 AC'!$B$3:$B$254,"*"&amp;$D162&amp;"*",'2026 AC'!E$3:E$254)</f>
        <v>0</v>
      </c>
      <c r="BD162" s="53">
        <f>SUMIF('2026 AC'!$B$3:$B$254,"*"&amp;$D162&amp;"*",'2026 AC'!F$3:F$254)</f>
        <v>0</v>
      </c>
      <c r="BE162" s="53">
        <f>SUMIF('2026 AC'!$B$3:$B$254,"*"&amp;$D162&amp;"*",'2026 AC'!G$3:G$254)</f>
        <v>0</v>
      </c>
      <c r="BF162" s="53">
        <f>SUMIF('2026 AC'!$B$3:$B$254,"*"&amp;$D162&amp;"*",'2026 AC'!H$3:H$254)</f>
        <v>0</v>
      </c>
      <c r="BG162" s="53">
        <f>SUMIF('2026 AC'!$B$3:$B$254,"*"&amp;$D162&amp;"*",'2026 AC'!I$3:I$254)</f>
        <v>0</v>
      </c>
      <c r="BH162" s="53">
        <f>SUMIF('2026 AC'!$B$3:$B$254,"*"&amp;$D162&amp;"*",'2026 AC'!J$3:J$254)</f>
        <v>0</v>
      </c>
      <c r="BI162" s="53">
        <f>SUMIF('2026 AC'!$B$3:$B$254,"*"&amp;$D162&amp;"*",'2026 AC'!K$3:K$254)</f>
        <v>0</v>
      </c>
      <c r="BJ162" s="53">
        <f>SUMIF('2026 AC'!$B$3:$B$254,"*"&amp;$D162&amp;"*",'2026 AC'!L$3:L$254)</f>
        <v>0</v>
      </c>
      <c r="BK162" s="53">
        <f>SUMIF('2026 AC'!$B$3:$B$254,"*"&amp;$D162&amp;"*",'2026 AC'!M$3:M$254)</f>
        <v>0</v>
      </c>
      <c r="BL162" s="93">
        <f>SUMIF('2026 AC'!$B$3:$B$254,"*"&amp;$D162&amp;"*",'2026 AC'!N$3:N$254)</f>
        <v>0</v>
      </c>
      <c r="BM162" s="92">
        <f t="shared" si="139"/>
        <v>0</v>
      </c>
      <c r="BN162" s="93">
        <f t="shared" si="167"/>
        <v>0</v>
      </c>
      <c r="BO162" s="93">
        <f t="shared" si="168"/>
        <v>0</v>
      </c>
      <c r="BP162" s="93">
        <f t="shared" si="169"/>
        <v>0</v>
      </c>
      <c r="BQ162" s="93">
        <f t="shared" si="170"/>
        <v>0</v>
      </c>
      <c r="BR162" s="92">
        <f t="shared" si="171"/>
        <v>0</v>
      </c>
    </row>
    <row r="163" ht="15" customHeight="1" outlineLevel="1">
      <c r="A163" t="s">
        <v>388</v>
      </c>
      <c r="B163" t="s">
        <v>389</v>
      </c>
      <c r="C163" s="34" t="s">
        <v>390</v>
      </c>
      <c r="D163" s="35" t="s">
        <v>391</v>
      </c>
      <c r="E163" s="151">
        <f t="shared" si="182"/>
        <v>207.80000000000001</v>
      </c>
      <c r="F163" s="152">
        <f t="shared" si="183"/>
        <v>40</v>
      </c>
      <c r="G163" s="54">
        <f t="shared" si="192"/>
        <v>4.1950000000000003</v>
      </c>
      <c r="H163" s="153">
        <f t="shared" si="185"/>
        <v>315.14999999999998</v>
      </c>
      <c r="I163" s="153">
        <f t="shared" si="186"/>
        <v>63.700000000000003</v>
      </c>
      <c r="J163" s="54">
        <f t="shared" ref="J163:J166" si="195">(H163-I163)/I163</f>
        <v>3.9474097331240183</v>
      </c>
      <c r="K163" s="153">
        <f t="shared" si="187"/>
        <v>754.97000000000003</v>
      </c>
      <c r="L163" s="153">
        <f t="shared" si="188"/>
        <v>265.94000000000005</v>
      </c>
      <c r="M163" s="55">
        <f t="shared" ref="M163:M166" si="196">(K163-L163)/L163</f>
        <v>1.838873430097014</v>
      </c>
      <c r="O163" s="63">
        <f>SUMIF('2024 AC'!$B$3:$B$250,"*"&amp;$D163&amp;"*",'2024 AC'!C$3:C$250)</f>
        <v>0</v>
      </c>
      <c r="P163" s="53">
        <f>SUMIF('2024 AC'!$B$3:$B$250,"*"&amp;$D163&amp;"*",'2024 AC'!D$3:D$250)</f>
        <v>0</v>
      </c>
      <c r="Q163" s="53">
        <f>SUMIF('2024 AC'!$B$3:$B$250,"*"&amp;$D163&amp;"*",'2024 AC'!E$3:E$250)</f>
        <v>0</v>
      </c>
      <c r="R163" s="53">
        <f>SUMIF('2024 AC'!$B$3:$B$250,"*"&amp;$D163&amp;"*",'2024 AC'!F$3:F$250)</f>
        <v>0</v>
      </c>
      <c r="S163" s="53">
        <f>SUMIF('2024 AC'!$B$3:$B$250,"*"&amp;$D163&amp;"*",'2024 AC'!G$3:G$250)</f>
        <v>0</v>
      </c>
      <c r="T163" s="53">
        <f>SUMIF('2024 AC'!$B$3:$B$250,"*"&amp;$D163&amp;"*",'2024 AC'!H$3:H$250)</f>
        <v>0</v>
      </c>
      <c r="U163" s="53">
        <f>SUMIF('2024 AC'!$B$3:$B$250,"*"&amp;$D163&amp;"*",'2024 AC'!I$3:I$250)</f>
        <v>107.90000000000001</v>
      </c>
      <c r="V163" s="53">
        <f>SUMIF('2024 AC'!$B$3:$B$250,"*"&amp;$D163&amp;"*",'2024 AC'!J$3:J$250)</f>
        <v>165.80000000000001</v>
      </c>
      <c r="W163" s="53">
        <f>SUMIF('2024 AC'!$B$3:$B$250,"*"&amp;$D163&amp;"*",'2024 AC'!K$3:K$250)</f>
        <v>100</v>
      </c>
      <c r="X163" s="53">
        <f>SUMIF('2024 AC'!$B$3:$B$250,"*"&amp;$D163&amp;"*",'2024 AC'!L$3:L$250)</f>
        <v>15.800000000000001</v>
      </c>
      <c r="Y163" s="53">
        <f>SUMIF('2024 AC'!$B$3:$B$250,"*"&amp;$D163&amp;"*",'2024 AC'!M$3:M$250)</f>
        <v>127.40000000000001</v>
      </c>
      <c r="Z163" s="93">
        <f>SUMIF('2024 AC'!$B$3:$B$250,"*"&amp;$D163&amp;"*",'2024 AC'!N$3:N$250)</f>
        <v>55.299999999999997</v>
      </c>
      <c r="AA163" s="92">
        <f t="shared" si="156"/>
        <v>572.20000000000005</v>
      </c>
      <c r="AB163" s="93">
        <f t="shared" si="157"/>
        <v>0</v>
      </c>
      <c r="AC163" s="93">
        <f t="shared" si="158"/>
        <v>0</v>
      </c>
      <c r="AD163" s="93">
        <f t="shared" si="159"/>
        <v>373.70000000000005</v>
      </c>
      <c r="AE163" s="93">
        <f t="shared" si="160"/>
        <v>198.5</v>
      </c>
      <c r="AF163" s="92">
        <f t="shared" si="161"/>
        <v>572.20000000000005</v>
      </c>
      <c r="AH163" s="63">
        <f>SUMIF('2025 AC'!$B$3:$B$250,"*"&amp;$D163&amp;"*",'2025 AC'!C$3:C$250)</f>
        <v>0</v>
      </c>
      <c r="AI163" s="53">
        <f>SUMIF('2025 AC'!$B$3:$B$250,"*"&amp;$D163&amp;"*",'2025 AC'!D$3:D$250)</f>
        <v>52</v>
      </c>
      <c r="AJ163" s="53">
        <f>SUMIF('2025 AC'!$B$3:$B$250,"*"&amp;$D163&amp;"*",'2025 AC'!E$3:E$250)</f>
        <v>150.24000000000001</v>
      </c>
      <c r="AK163" s="53">
        <f>SUMIF('2025 AC'!$B$3:$B$250,"*"&amp;$D163&amp;"*",'2025 AC'!F$3:F$250)</f>
        <v>7.9000000000000004</v>
      </c>
      <c r="AL163" s="53">
        <f>SUMIF('2025 AC'!$B$3:$B$250,"*"&amp;$D163&amp;"*",'2025 AC'!G$3:G$250)</f>
        <v>15.800000000000001</v>
      </c>
      <c r="AM163" s="53">
        <f>SUMIF('2025 AC'!$B$3:$B$250,"*"&amp;$D163&amp;"*",'2025 AC'!H$3:H$250)</f>
        <v>40</v>
      </c>
      <c r="AN163" s="53">
        <f>SUMIF('2025 AC'!$B$3:$B$250,"*"&amp;$D163&amp;"*",'2025 AC'!I$3:I$250)</f>
        <v>0</v>
      </c>
      <c r="AO163" s="53">
        <f>SUMIF('2025 AC'!$B$3:$B$250,"*"&amp;$D163&amp;"*",'2025 AC'!J$3:J$250)</f>
        <v>0</v>
      </c>
      <c r="AP163" s="53">
        <f>SUMIF('2025 AC'!$B$3:$B$250,"*"&amp;$D163&amp;"*",'2025 AC'!K$3:K$250)</f>
        <v>7.8499999999999996</v>
      </c>
      <c r="AQ163" s="53">
        <f>SUMIF('2025 AC'!$B$3:$B$250,"*"&amp;$D163&amp;"*",'2025 AC'!L$3:L$250)</f>
        <v>111.45</v>
      </c>
      <c r="AR163" s="53">
        <f>SUMIF('2025 AC'!$B$3:$B$250,"*"&amp;$D163&amp;"*",'2025 AC'!M$3:M$250)</f>
        <v>37.200000000000003</v>
      </c>
      <c r="AS163" s="53">
        <f>SUMIF('2025 AC'!$B$3:$B$250,"*"&amp;$D163&amp;"*",'2025 AC'!N$3:N$250)</f>
        <v>15.6</v>
      </c>
      <c r="AT163" s="94">
        <f t="shared" si="138"/>
        <v>438.04000000000008</v>
      </c>
      <c r="AU163" s="93">
        <f t="shared" si="162"/>
        <v>202.24000000000001</v>
      </c>
      <c r="AV163" s="93">
        <f t="shared" si="163"/>
        <v>63.700000000000003</v>
      </c>
      <c r="AW163" s="93">
        <f t="shared" si="164"/>
        <v>7.8499999999999996</v>
      </c>
      <c r="AX163" s="93">
        <f t="shared" si="165"/>
        <v>164.25</v>
      </c>
      <c r="AY163" s="92">
        <f t="shared" si="166"/>
        <v>438.04000000000002</v>
      </c>
      <c r="BA163" s="63">
        <f>SUMIF('2026 AC'!$B$3:$B$254,"*"&amp;$D163&amp;"*",'2026 AC'!C$3:C$254)</f>
        <v>41.100000000000001</v>
      </c>
      <c r="BB163" s="53">
        <f>SUMIF('2026 AC'!$B$3:$B$254,"*"&amp;$D163&amp;"*",'2026 AC'!D$3:D$254)</f>
        <v>81.200000000000003</v>
      </c>
      <c r="BC163" s="53">
        <f>SUMIF('2026 AC'!$B$3:$B$254,"*"&amp;$D163&amp;"*",'2026 AC'!E$3:E$254)</f>
        <v>317.51999999999998</v>
      </c>
      <c r="BD163" s="53">
        <f>SUMIF('2026 AC'!$B$3:$B$254,"*"&amp;$D163&amp;"*",'2026 AC'!F$3:F$254)</f>
        <v>64.549999999999997</v>
      </c>
      <c r="BE163" s="53">
        <f>SUMIF('2026 AC'!$B$3:$B$254,"*"&amp;$D163&amp;"*",'2026 AC'!G$3:G$254)</f>
        <v>42.799999999999997</v>
      </c>
      <c r="BF163" s="53">
        <f>SUMIF('2026 AC'!$B$3:$B$254,"*"&amp;$D163&amp;"*",'2026 AC'!H$3:H$254)</f>
        <v>207.80000000000001</v>
      </c>
      <c r="BG163" s="53">
        <f>SUMIF('2026 AC'!$B$3:$B$254,"*"&amp;$D163&amp;"*",'2026 AC'!I$3:I$254)</f>
        <v>0</v>
      </c>
      <c r="BH163" s="53">
        <f>SUMIF('2026 AC'!$B$3:$B$254,"*"&amp;$D163&amp;"*",'2026 AC'!J$3:J$254)</f>
        <v>0</v>
      </c>
      <c r="BI163" s="53">
        <f>SUMIF('2026 AC'!$B$3:$B$254,"*"&amp;$D163&amp;"*",'2026 AC'!K$3:K$254)</f>
        <v>0</v>
      </c>
      <c r="BJ163" s="53">
        <f>SUMIF('2026 AC'!$B$3:$B$254,"*"&amp;$D163&amp;"*",'2026 AC'!L$3:L$254)</f>
        <v>0</v>
      </c>
      <c r="BK163" s="53">
        <f>SUMIF('2026 AC'!$B$3:$B$254,"*"&amp;$D163&amp;"*",'2026 AC'!M$3:M$254)</f>
        <v>0</v>
      </c>
      <c r="BL163" s="93">
        <f>SUMIF('2026 AC'!$B$3:$B$254,"*"&amp;$D163&amp;"*",'2026 AC'!N$3:N$254)</f>
        <v>0</v>
      </c>
      <c r="BM163" s="92">
        <f t="shared" si="139"/>
        <v>754.97000000000003</v>
      </c>
      <c r="BN163" s="93">
        <f t="shared" si="167"/>
        <v>439.81999999999999</v>
      </c>
      <c r="BO163" s="93">
        <f t="shared" si="168"/>
        <v>315.14999999999998</v>
      </c>
      <c r="BP163" s="93">
        <f t="shared" si="169"/>
        <v>0</v>
      </c>
      <c r="BQ163" s="93">
        <f t="shared" si="170"/>
        <v>0</v>
      </c>
      <c r="BR163" s="92">
        <f t="shared" si="171"/>
        <v>754.97000000000003</v>
      </c>
    </row>
    <row r="164" ht="15" customHeight="1" outlineLevel="1">
      <c r="A164" t="s">
        <v>392</v>
      </c>
      <c r="B164" t="s">
        <v>393</v>
      </c>
      <c r="C164" s="34" t="s">
        <v>394</v>
      </c>
      <c r="D164" s="35" t="s">
        <v>395</v>
      </c>
      <c r="E164" s="151">
        <f t="shared" si="182"/>
        <v>0</v>
      </c>
      <c r="F164" s="152">
        <f t="shared" si="183"/>
        <v>2880</v>
      </c>
      <c r="G164" s="54">
        <f t="shared" si="192"/>
        <v>-1</v>
      </c>
      <c r="H164" s="153">
        <f t="shared" si="185"/>
        <v>18673.330000000002</v>
      </c>
      <c r="I164" s="153">
        <f t="shared" si="186"/>
        <v>7978.6499999999996</v>
      </c>
      <c r="J164" s="54">
        <f t="shared" si="195"/>
        <v>1.3404122251258048</v>
      </c>
      <c r="K164" s="153">
        <f t="shared" si="187"/>
        <v>29805.809999999998</v>
      </c>
      <c r="L164" s="153">
        <f t="shared" si="188"/>
        <v>12451.940000000001</v>
      </c>
      <c r="M164" s="55">
        <f t="shared" si="196"/>
        <v>1.3936679746288525</v>
      </c>
      <c r="O164" s="63">
        <f>SUMIF('2024 AC'!$B$3:$B$250,"*"&amp;$D164&amp;"*",'2024 AC'!C$3:C$250)</f>
        <v>1899.5999999999999</v>
      </c>
      <c r="P164" s="53">
        <f>SUMIF('2024 AC'!$B$3:$B$250,"*"&amp;$D164&amp;"*",'2024 AC'!D$3:D$250)</f>
        <v>2600</v>
      </c>
      <c r="Q164" s="53">
        <f>SUMIF('2024 AC'!$B$3:$B$250,"*"&amp;$D164&amp;"*",'2024 AC'!E$3:E$250)</f>
        <v>2450</v>
      </c>
      <c r="R164" s="53">
        <f>SUMIF('2024 AC'!$B$3:$B$250,"*"&amp;$D164&amp;"*",'2024 AC'!F$3:F$250)</f>
        <v>2365</v>
      </c>
      <c r="S164" s="53">
        <f>SUMIF('2024 AC'!$B$3:$B$250,"*"&amp;$D164&amp;"*",'2024 AC'!G$3:G$250)</f>
        <v>2411.0999999999999</v>
      </c>
      <c r="T164" s="53">
        <f>SUMIF('2024 AC'!$B$3:$B$250,"*"&amp;$D164&amp;"*",'2024 AC'!H$3:H$250)</f>
        <v>3076.3299999999999</v>
      </c>
      <c r="U164" s="53">
        <f>SUMIF('2024 AC'!$B$3:$B$250,"*"&amp;$D164&amp;"*",'2024 AC'!I$3:I$250)</f>
        <v>2890.3200000000002</v>
      </c>
      <c r="V164" s="53">
        <f>SUMIF('2024 AC'!$B$3:$B$250,"*"&amp;$D164&amp;"*",'2024 AC'!J$3:J$250)</f>
        <v>3200</v>
      </c>
      <c r="W164" s="53">
        <f>SUMIF('2024 AC'!$B$3:$B$250,"*"&amp;$D164&amp;"*",'2024 AC'!K$3:K$250)</f>
        <v>580</v>
      </c>
      <c r="X164" s="53">
        <f>SUMIF('2024 AC'!$B$3:$B$250,"*"&amp;$D164&amp;"*",'2024 AC'!L$3:L$250)</f>
        <v>2900</v>
      </c>
      <c r="Y164" s="53">
        <f>SUMIF('2024 AC'!$B$3:$B$250,"*"&amp;$D164&amp;"*",'2024 AC'!M$3:M$250)</f>
        <v>805.5</v>
      </c>
      <c r="Z164" s="93">
        <f>SUMIF('2024 AC'!$B$3:$B$250,"*"&amp;$D164&amp;"*",'2024 AC'!N$3:N$250)</f>
        <v>3290</v>
      </c>
      <c r="AA164" s="92">
        <f t="shared" si="156"/>
        <v>28467.850000000002</v>
      </c>
      <c r="AB164" s="93">
        <f t="shared" si="157"/>
        <v>6949.6000000000004</v>
      </c>
      <c r="AC164" s="93">
        <f t="shared" si="158"/>
        <v>7852.4300000000003</v>
      </c>
      <c r="AD164" s="93">
        <f t="shared" si="159"/>
        <v>6670.3199999999997</v>
      </c>
      <c r="AE164" s="93">
        <f t="shared" si="160"/>
        <v>6995.5</v>
      </c>
      <c r="AF164" s="92">
        <f t="shared" si="161"/>
        <v>28467.849999999999</v>
      </c>
      <c r="AH164" s="63">
        <f>SUMIF('2025 AC'!$B$3:$B$250,"*"&amp;$D164&amp;"*",'2025 AC'!C$3:C$250)</f>
        <v>916.19000000000005</v>
      </c>
      <c r="AI164" s="53">
        <f>SUMIF('2025 AC'!$B$3:$B$250,"*"&amp;$D164&amp;"*",'2025 AC'!D$3:D$250)</f>
        <v>1182.9100000000001</v>
      </c>
      <c r="AJ164" s="53">
        <f>SUMIF('2025 AC'!$B$3:$B$250,"*"&amp;$D164&amp;"*",'2025 AC'!E$3:E$250)</f>
        <v>2374.1900000000001</v>
      </c>
      <c r="AK164" s="53">
        <f>SUMIF('2025 AC'!$B$3:$B$250,"*"&amp;$D164&amp;"*",'2025 AC'!F$3:F$250)</f>
        <v>2453.3299999999999</v>
      </c>
      <c r="AL164" s="53">
        <f>SUMIF('2025 AC'!$B$3:$B$250,"*"&amp;$D164&amp;"*",'2025 AC'!G$3:G$250)</f>
        <v>2645.3200000000002</v>
      </c>
      <c r="AM164" s="53">
        <f>SUMIF('2025 AC'!$B$3:$B$250,"*"&amp;$D164&amp;"*",'2025 AC'!H$3:H$250)</f>
        <v>2880</v>
      </c>
      <c r="AN164" s="53">
        <f>SUMIF('2025 AC'!$B$3:$B$250,"*"&amp;$D164&amp;"*",'2025 AC'!I$3:I$250)</f>
        <v>2890.3200000000002</v>
      </c>
      <c r="AO164" s="53">
        <f>SUMIF('2025 AC'!$B$3:$B$250,"*"&amp;$D164&amp;"*",'2025 AC'!J$3:J$250)</f>
        <v>3096.77</v>
      </c>
      <c r="AP164" s="53">
        <f>SUMIF('2025 AC'!$B$3:$B$250,"*"&amp;$D164&amp;"*",'2025 AC'!K$3:K$250)</f>
        <v>2986.6700000000001</v>
      </c>
      <c r="AQ164" s="53">
        <f>SUMIF('2025 AC'!$B$3:$B$250,"*"&amp;$D164&amp;"*",'2025 AC'!L$3:L$250)</f>
        <v>2990.0999999999999</v>
      </c>
      <c r="AR164" s="53">
        <f>SUMIF('2025 AC'!$B$3:$B$250,"*"&amp;$D164&amp;"*",'2025 AC'!M$3:M$250)</f>
        <v>3200</v>
      </c>
      <c r="AS164" s="53">
        <f>SUMIF('2025 AC'!$B$3:$B$250,"*"&amp;$D164&amp;"*",'2025 AC'!N$3:N$250)</f>
        <v>3200</v>
      </c>
      <c r="AT164" s="94">
        <f t="shared" si="138"/>
        <v>30815.799999999996</v>
      </c>
      <c r="AU164" s="93">
        <f t="shared" si="162"/>
        <v>4473.2900000000009</v>
      </c>
      <c r="AV164" s="93">
        <f t="shared" si="163"/>
        <v>7978.6499999999996</v>
      </c>
      <c r="AW164" s="93">
        <f t="shared" si="164"/>
        <v>8973.7600000000002</v>
      </c>
      <c r="AX164" s="93">
        <f t="shared" si="165"/>
        <v>9390.1000000000004</v>
      </c>
      <c r="AY164" s="92">
        <f t="shared" si="166"/>
        <v>30815.800000000003</v>
      </c>
      <c r="BA164" s="63">
        <f>SUMIF('2026 AC'!$B$3:$B$254,"*"&amp;$D164&amp;"*",'2026 AC'!C$3:C$254)</f>
        <v>4250</v>
      </c>
      <c r="BB164" s="53">
        <f>SUMIF('2026 AC'!$B$3:$B$254,"*"&amp;$D164&amp;"*",'2026 AC'!D$3:D$254)</f>
        <v>3785.71</v>
      </c>
      <c r="BC164" s="53">
        <f>SUMIF('2026 AC'!$B$3:$B$254,"*"&amp;$D164&amp;"*",'2026 AC'!E$3:E$254)</f>
        <v>3096.77</v>
      </c>
      <c r="BD164" s="53">
        <f>SUMIF('2026 AC'!$B$3:$B$254,"*"&amp;$D164&amp;"*",'2026 AC'!F$3:F$254)</f>
        <v>3473.3299999999999</v>
      </c>
      <c r="BE164" s="53">
        <f>SUMIF('2026 AC'!$B$3:$B$254,"*"&amp;$D164&amp;"*",'2026 AC'!G$3:G$254)</f>
        <v>15200</v>
      </c>
      <c r="BF164" s="53">
        <f>SUMIF('2026 AC'!$B$3:$B$254,"*"&amp;$D164&amp;"*",'2026 AC'!H$3:H$254)</f>
        <v>0</v>
      </c>
      <c r="BG164" s="53">
        <f>SUMIF('2026 AC'!$B$3:$B$254,"*"&amp;$D164&amp;"*",'2026 AC'!I$3:I$254)</f>
        <v>0</v>
      </c>
      <c r="BH164" s="53">
        <f>SUMIF('2026 AC'!$B$3:$B$254,"*"&amp;$D164&amp;"*",'2026 AC'!J$3:J$254)</f>
        <v>0</v>
      </c>
      <c r="BI164" s="53">
        <f>SUMIF('2026 AC'!$B$3:$B$254,"*"&amp;$D164&amp;"*",'2026 AC'!K$3:K$254)</f>
        <v>0</v>
      </c>
      <c r="BJ164" s="53">
        <f>SUMIF('2026 AC'!$B$3:$B$254,"*"&amp;$D164&amp;"*",'2026 AC'!L$3:L$254)</f>
        <v>0</v>
      </c>
      <c r="BK164" s="53">
        <f>SUMIF('2026 AC'!$B$3:$B$254,"*"&amp;$D164&amp;"*",'2026 AC'!M$3:M$254)</f>
        <v>0</v>
      </c>
      <c r="BL164" s="93">
        <f>SUMIF('2026 AC'!$B$3:$B$254,"*"&amp;$D164&amp;"*",'2026 AC'!N$3:N$254)</f>
        <v>0</v>
      </c>
      <c r="BM164" s="92">
        <f t="shared" si="139"/>
        <v>29805.809999999998</v>
      </c>
      <c r="BN164" s="93">
        <f t="shared" si="167"/>
        <v>11132.48</v>
      </c>
      <c r="BO164" s="93">
        <f t="shared" si="168"/>
        <v>18673.330000000002</v>
      </c>
      <c r="BP164" s="93">
        <f t="shared" si="169"/>
        <v>0</v>
      </c>
      <c r="BQ164" s="93">
        <f t="shared" si="170"/>
        <v>0</v>
      </c>
      <c r="BR164" s="92">
        <f t="shared" si="171"/>
        <v>29805.810000000001</v>
      </c>
    </row>
    <row r="165" ht="15" customHeight="1" outlineLevel="1">
      <c r="A165" t="s">
        <v>396</v>
      </c>
      <c r="B165" t="s">
        <v>397</v>
      </c>
      <c r="C165" s="34" t="s">
        <v>398</v>
      </c>
      <c r="D165" s="35" t="s">
        <v>399</v>
      </c>
      <c r="E165" s="151">
        <f t="shared" si="182"/>
        <v>3701</v>
      </c>
      <c r="F165" s="152">
        <f t="shared" si="183"/>
        <v>10217.24</v>
      </c>
      <c r="G165" s="54">
        <f t="shared" si="192"/>
        <v>-0.63776910398502917</v>
      </c>
      <c r="H165" s="153">
        <f t="shared" si="185"/>
        <v>12196.1</v>
      </c>
      <c r="I165" s="153">
        <f t="shared" si="186"/>
        <v>20265.169999999998</v>
      </c>
      <c r="J165" s="54">
        <f t="shared" si="195"/>
        <v>-0.39817430596437131</v>
      </c>
      <c r="K165" s="153">
        <f t="shared" si="187"/>
        <v>33957.830000000002</v>
      </c>
      <c r="L165" s="153">
        <f t="shared" si="188"/>
        <v>35706.699999999997</v>
      </c>
      <c r="M165" s="55">
        <f t="shared" si="196"/>
        <v>-4.8978763089280036e-02</v>
      </c>
      <c r="O165" s="63">
        <f>SUMIF('2024 AC'!$B$3:$B$250,"*"&amp;$D165&amp;"*",'2024 AC'!C$3:C$250)</f>
        <v>5790</v>
      </c>
      <c r="P165" s="53">
        <f>SUMIF('2024 AC'!$B$3:$B$250,"*"&amp;$D165&amp;"*",'2024 AC'!D$3:D$250)</f>
        <v>890</v>
      </c>
      <c r="Q165" s="53">
        <f>SUMIF('2024 AC'!$B$3:$B$250,"*"&amp;$D165&amp;"*",'2024 AC'!E$3:E$250)</f>
        <v>7375</v>
      </c>
      <c r="R165" s="53">
        <f>SUMIF('2024 AC'!$B$3:$B$250,"*"&amp;$D165&amp;"*",'2024 AC'!F$3:F$250)</f>
        <v>4601.6999999999998</v>
      </c>
      <c r="S165" s="53">
        <f>SUMIF('2024 AC'!$B$3:$B$250,"*"&amp;$D165&amp;"*",'2024 AC'!G$3:G$250)</f>
        <v>2090</v>
      </c>
      <c r="T165" s="53">
        <f>SUMIF('2024 AC'!$B$3:$B$250,"*"&amp;$D165&amp;"*",'2024 AC'!H$3:H$250)</f>
        <v>1825</v>
      </c>
      <c r="U165" s="53">
        <f>SUMIF('2024 AC'!$B$3:$B$250,"*"&amp;$D165&amp;"*",'2024 AC'!I$3:I$250)</f>
        <v>11767.75</v>
      </c>
      <c r="V165" s="53">
        <f>SUMIF('2024 AC'!$B$3:$B$250,"*"&amp;$D165&amp;"*",'2024 AC'!J$3:J$250)</f>
        <v>5391.9499999999998</v>
      </c>
      <c r="W165" s="53">
        <f>SUMIF('2024 AC'!$B$3:$B$250,"*"&amp;$D165&amp;"*",'2024 AC'!K$3:K$250)</f>
        <v>8268</v>
      </c>
      <c r="X165" s="53">
        <f>SUMIF('2024 AC'!$B$3:$B$250,"*"&amp;$D165&amp;"*",'2024 AC'!L$3:L$250)</f>
        <v>5218</v>
      </c>
      <c r="Y165" s="53">
        <f>SUMIF('2024 AC'!$B$3:$B$250,"*"&amp;$D165&amp;"*",'2024 AC'!M$3:M$250)</f>
        <v>5281.8000000000002</v>
      </c>
      <c r="Z165" s="93">
        <f>SUMIF('2024 AC'!$B$3:$B$250,"*"&amp;$D165&amp;"*",'2024 AC'!N$3:N$250)</f>
        <v>4369</v>
      </c>
      <c r="AA165" s="92">
        <f t="shared" si="156"/>
        <v>62868.199999999997</v>
      </c>
      <c r="AB165" s="93">
        <f t="shared" si="157"/>
        <v>14055</v>
      </c>
      <c r="AC165" s="93">
        <f t="shared" si="158"/>
        <v>8516.7000000000007</v>
      </c>
      <c r="AD165" s="93">
        <f t="shared" si="159"/>
        <v>25427.700000000001</v>
      </c>
      <c r="AE165" s="93">
        <f t="shared" si="160"/>
        <v>14868.799999999999</v>
      </c>
      <c r="AF165" s="92">
        <f t="shared" si="161"/>
        <v>62868.199999999997</v>
      </c>
      <c r="AH165" s="63">
        <f>SUMIF('2025 AC'!$B$3:$B$250,"*"&amp;$D165&amp;"*",'2025 AC'!C$3:C$250)</f>
        <v>7014.75</v>
      </c>
      <c r="AI165" s="53">
        <f>SUMIF('2025 AC'!$B$3:$B$250,"*"&amp;$D165&amp;"*",'2025 AC'!D$3:D$250)</f>
        <v>3711.2399999999998</v>
      </c>
      <c r="AJ165" s="53">
        <f>SUMIF('2025 AC'!$B$3:$B$250,"*"&amp;$D165&amp;"*",'2025 AC'!E$3:E$250)</f>
        <v>4715.54</v>
      </c>
      <c r="AK165" s="53">
        <f>SUMIF('2025 AC'!$B$3:$B$250,"*"&amp;$D165&amp;"*",'2025 AC'!F$3:F$250)</f>
        <v>4242.0900000000001</v>
      </c>
      <c r="AL165" s="53">
        <f>SUMIF('2025 AC'!$B$3:$B$250,"*"&amp;$D165&amp;"*",'2025 AC'!G$3:G$250)</f>
        <v>5805.8400000000001</v>
      </c>
      <c r="AM165" s="53">
        <f>SUMIF('2025 AC'!$B$3:$B$250,"*"&amp;$D165&amp;"*",'2025 AC'!H$3:H$250)</f>
        <v>10217.24</v>
      </c>
      <c r="AN165" s="53">
        <f>SUMIF('2025 AC'!$B$3:$B$250,"*"&amp;$D165&amp;"*",'2025 AC'!I$3:I$250)</f>
        <v>4635.8400000000001</v>
      </c>
      <c r="AO165" s="53">
        <f>SUMIF('2025 AC'!$B$3:$B$250,"*"&amp;$D165&amp;"*",'2025 AC'!J$3:J$250)</f>
        <v>4484.2399999999998</v>
      </c>
      <c r="AP165" s="53">
        <f>SUMIF('2025 AC'!$B$3:$B$250,"*"&amp;$D165&amp;"*",'2025 AC'!K$3:K$250)</f>
        <v>6144.6400000000003</v>
      </c>
      <c r="AQ165" s="53">
        <f>SUMIF('2025 AC'!$B$3:$B$250,"*"&amp;$D165&amp;"*",'2025 AC'!L$3:L$250)</f>
        <v>5147.2399999999998</v>
      </c>
      <c r="AR165" s="53">
        <f>SUMIF('2025 AC'!$B$3:$B$250,"*"&amp;$D165&amp;"*",'2025 AC'!M$3:M$250)</f>
        <v>8890.1399999999994</v>
      </c>
      <c r="AS165" s="53">
        <f>SUMIF('2025 AC'!$B$3:$B$250,"*"&amp;$D165&amp;"*",'2025 AC'!N$3:N$250)</f>
        <v>8074.6400000000003</v>
      </c>
      <c r="AT165" s="94">
        <f t="shared" si="138"/>
        <v>73083.439999999988</v>
      </c>
      <c r="AU165" s="93">
        <f t="shared" si="162"/>
        <v>15441.529999999999</v>
      </c>
      <c r="AV165" s="93">
        <f t="shared" si="163"/>
        <v>20265.169999999998</v>
      </c>
      <c r="AW165" s="93">
        <f t="shared" si="164"/>
        <v>15264.720000000001</v>
      </c>
      <c r="AX165" s="93">
        <f t="shared" si="165"/>
        <v>22112.02</v>
      </c>
      <c r="AY165" s="92">
        <f t="shared" si="166"/>
        <v>73083.440000000002</v>
      </c>
      <c r="BA165" s="63">
        <f>SUMIF('2026 AC'!$B$3:$B$254,"*"&amp;$D165&amp;"*",'2026 AC'!C$3:C$254)</f>
        <v>8957.7299999999996</v>
      </c>
      <c r="BB165" s="53">
        <f>SUMIF('2026 AC'!$B$3:$B$254,"*"&amp;$D165&amp;"*",'2026 AC'!D$3:D$254)</f>
        <v>8094</v>
      </c>
      <c r="BC165" s="53">
        <f>SUMIF('2026 AC'!$B$3:$B$254,"*"&amp;$D165&amp;"*",'2026 AC'!E$3:E$254)</f>
        <v>4710</v>
      </c>
      <c r="BD165" s="53">
        <f>SUMIF('2026 AC'!$B$3:$B$254,"*"&amp;$D165&amp;"*",'2026 AC'!F$3:F$254)</f>
        <v>3935.5999999999999</v>
      </c>
      <c r="BE165" s="53">
        <f>SUMIF('2026 AC'!$B$3:$B$254,"*"&amp;$D165&amp;"*",'2026 AC'!G$3:G$254)</f>
        <v>4559.5</v>
      </c>
      <c r="BF165" s="53">
        <f>SUMIF('2026 AC'!$B$3:$B$254,"*"&amp;$D165&amp;"*",'2026 AC'!H$3:H$254)</f>
        <v>3701</v>
      </c>
      <c r="BG165" s="53">
        <f>SUMIF('2026 AC'!$B$3:$B$254,"*"&amp;$D165&amp;"*",'2026 AC'!I$3:I$254)</f>
        <v>0</v>
      </c>
      <c r="BH165" s="53">
        <f>SUMIF('2026 AC'!$B$3:$B$254,"*"&amp;$D165&amp;"*",'2026 AC'!J$3:J$254)</f>
        <v>0</v>
      </c>
      <c r="BI165" s="53">
        <f>SUMIF('2026 AC'!$B$3:$B$254,"*"&amp;$D165&amp;"*",'2026 AC'!K$3:K$254)</f>
        <v>0</v>
      </c>
      <c r="BJ165" s="53">
        <f>SUMIF('2026 AC'!$B$3:$B$254,"*"&amp;$D165&amp;"*",'2026 AC'!L$3:L$254)</f>
        <v>0</v>
      </c>
      <c r="BK165" s="53">
        <f>SUMIF('2026 AC'!$B$3:$B$254,"*"&amp;$D165&amp;"*",'2026 AC'!M$3:M$254)</f>
        <v>0</v>
      </c>
      <c r="BL165" s="93">
        <f>SUMIF('2026 AC'!$B$3:$B$254,"*"&amp;$D165&amp;"*",'2026 AC'!N$3:N$254)</f>
        <v>0</v>
      </c>
      <c r="BM165" s="92">
        <f t="shared" si="139"/>
        <v>33957.830000000002</v>
      </c>
      <c r="BN165" s="93">
        <f t="shared" si="167"/>
        <v>21761.73</v>
      </c>
      <c r="BO165" s="93">
        <f t="shared" si="168"/>
        <v>12196.1</v>
      </c>
      <c r="BP165" s="93">
        <f t="shared" si="169"/>
        <v>0</v>
      </c>
      <c r="BQ165" s="93">
        <f t="shared" si="170"/>
        <v>0</v>
      </c>
      <c r="BR165" s="92">
        <f t="shared" si="171"/>
        <v>33957.830000000002</v>
      </c>
    </row>
    <row r="166" ht="15" customHeight="1" outlineLevel="1">
      <c r="A166" t="s">
        <v>400</v>
      </c>
      <c r="B166" t="s">
        <v>401</v>
      </c>
      <c r="C166" s="34" t="s">
        <v>402</v>
      </c>
      <c r="D166" s="35" t="s">
        <v>403</v>
      </c>
      <c r="E166" s="151">
        <f t="shared" si="182"/>
        <v>0</v>
      </c>
      <c r="F166" s="152">
        <f t="shared" si="183"/>
        <v>120</v>
      </c>
      <c r="G166" s="54">
        <f t="shared" si="192"/>
        <v>-1</v>
      </c>
      <c r="H166" s="153">
        <f t="shared" si="185"/>
        <v>2340</v>
      </c>
      <c r="I166" s="153">
        <f t="shared" si="186"/>
        <v>1418</v>
      </c>
      <c r="J166" s="54">
        <f t="shared" si="195"/>
        <v>0.65021156558533144</v>
      </c>
      <c r="K166" s="153">
        <f t="shared" si="187"/>
        <v>3625</v>
      </c>
      <c r="L166" s="153">
        <f t="shared" si="188"/>
        <v>2053.5</v>
      </c>
      <c r="M166" s="55">
        <f t="shared" si="196"/>
        <v>0.7652787923058193</v>
      </c>
      <c r="O166" s="63">
        <f>SUMIF('2024 AC'!$B$3:$B$250,"*"&amp;$D166&amp;"*",'2024 AC'!C$3:C$250)</f>
        <v>3250</v>
      </c>
      <c r="P166" s="53">
        <f>SUMIF('2024 AC'!$B$3:$B$250,"*"&amp;$D166&amp;"*",'2024 AC'!D$3:D$250)</f>
        <v>0</v>
      </c>
      <c r="Q166" s="53">
        <f>SUMIF('2024 AC'!$B$3:$B$250,"*"&amp;$D166&amp;"*",'2024 AC'!E$3:E$250)</f>
        <v>0</v>
      </c>
      <c r="R166" s="53">
        <f>SUMIF('2024 AC'!$B$3:$B$250,"*"&amp;$D166&amp;"*",'2024 AC'!F$3:F$250)</f>
        <v>80.75</v>
      </c>
      <c r="S166" s="53">
        <f>SUMIF('2024 AC'!$B$3:$B$250,"*"&amp;$D166&amp;"*",'2024 AC'!G$3:G$250)</f>
        <v>293</v>
      </c>
      <c r="T166" s="53">
        <f>SUMIF('2024 AC'!$B$3:$B$250,"*"&amp;$D166&amp;"*",'2024 AC'!H$3:H$250)</f>
        <v>484</v>
      </c>
      <c r="U166" s="53">
        <f>SUMIF('2024 AC'!$B$3:$B$250,"*"&amp;$D166&amp;"*",'2024 AC'!I$3:I$250)</f>
        <v>730.25</v>
      </c>
      <c r="V166" s="53">
        <f>SUMIF('2024 AC'!$B$3:$B$250,"*"&amp;$D166&amp;"*",'2024 AC'!J$3:J$250)</f>
        <v>76.650000000000006</v>
      </c>
      <c r="W166" s="53">
        <f>SUMIF('2024 AC'!$B$3:$B$250,"*"&amp;$D166&amp;"*",'2024 AC'!K$3:K$250)</f>
        <v>571.04999999999995</v>
      </c>
      <c r="X166" s="53">
        <f>SUMIF('2024 AC'!$B$3:$B$250,"*"&amp;$D166&amp;"*",'2024 AC'!L$3:L$250)</f>
        <v>453</v>
      </c>
      <c r="Y166" s="53">
        <f>SUMIF('2024 AC'!$B$3:$B$250,"*"&amp;$D166&amp;"*",'2024 AC'!M$3:M$250)</f>
        <v>733.21000000000004</v>
      </c>
      <c r="Z166" s="93">
        <f>SUMIF('2024 AC'!$B$3:$B$250,"*"&amp;$D166&amp;"*",'2024 AC'!N$3:N$250)</f>
        <v>1140</v>
      </c>
      <c r="AA166" s="92">
        <f t="shared" si="156"/>
        <v>7811.9099999999999</v>
      </c>
      <c r="AB166" s="93">
        <f t="shared" si="157"/>
        <v>3250</v>
      </c>
      <c r="AC166" s="93">
        <f t="shared" si="158"/>
        <v>857.75</v>
      </c>
      <c r="AD166" s="93">
        <f t="shared" si="159"/>
        <v>1377.9499999999998</v>
      </c>
      <c r="AE166" s="93">
        <f t="shared" si="160"/>
        <v>2326.21</v>
      </c>
      <c r="AF166" s="92">
        <f t="shared" si="161"/>
        <v>7811.9099999999999</v>
      </c>
      <c r="AH166" s="63">
        <f>SUMIF('2025 AC'!$B$3:$B$250,"*"&amp;$D166&amp;"*",'2025 AC'!C$3:C$250)</f>
        <v>516.5</v>
      </c>
      <c r="AI166" s="53">
        <f>SUMIF('2025 AC'!$B$3:$B$250,"*"&amp;$D166&amp;"*",'2025 AC'!D$3:D$250)</f>
        <v>0</v>
      </c>
      <c r="AJ166" s="53">
        <f>SUMIF('2025 AC'!$B$3:$B$250,"*"&amp;$D166&amp;"*",'2025 AC'!E$3:E$250)</f>
        <v>119</v>
      </c>
      <c r="AK166" s="53">
        <f>SUMIF('2025 AC'!$B$3:$B$250,"*"&amp;$D166&amp;"*",'2025 AC'!F$3:F$250)</f>
        <v>375</v>
      </c>
      <c r="AL166" s="53">
        <f>SUMIF('2025 AC'!$B$3:$B$250,"*"&amp;$D166&amp;"*",'2025 AC'!G$3:G$250)</f>
        <v>923</v>
      </c>
      <c r="AM166" s="53">
        <f>SUMIF('2025 AC'!$B$3:$B$250,"*"&amp;$D166&amp;"*",'2025 AC'!H$3:H$250)</f>
        <v>120</v>
      </c>
      <c r="AN166" s="53">
        <f>SUMIF('2025 AC'!$B$3:$B$250,"*"&amp;$D166&amp;"*",'2025 AC'!I$3:I$250)</f>
        <v>0</v>
      </c>
      <c r="AO166" s="53">
        <f>SUMIF('2025 AC'!$B$3:$B$250,"*"&amp;$D166&amp;"*",'2025 AC'!J$3:J$250)</f>
        <v>977.39999999999998</v>
      </c>
      <c r="AP166" s="53">
        <f>SUMIF('2025 AC'!$B$3:$B$250,"*"&amp;$D166&amp;"*",'2025 AC'!K$3:K$250)</f>
        <v>212</v>
      </c>
      <c r="AQ166" s="53">
        <f>SUMIF('2025 AC'!$B$3:$B$250,"*"&amp;$D166&amp;"*",'2025 AC'!L$3:L$250)</f>
        <v>0</v>
      </c>
      <c r="AR166" s="53">
        <f>SUMIF('2025 AC'!$B$3:$B$250,"*"&amp;$D166&amp;"*",'2025 AC'!M$3:M$250)</f>
        <v>484.30000000000001</v>
      </c>
      <c r="AS166" s="53">
        <f>SUMIF('2025 AC'!$B$3:$B$250,"*"&amp;$D166&amp;"*",'2025 AC'!N$3:N$250)</f>
        <v>4906.3999999999996</v>
      </c>
      <c r="AT166" s="94">
        <f t="shared" si="138"/>
        <v>8633.6000000000004</v>
      </c>
      <c r="AU166" s="93">
        <f t="shared" si="162"/>
        <v>635.5</v>
      </c>
      <c r="AV166" s="93">
        <f t="shared" si="163"/>
        <v>1418</v>
      </c>
      <c r="AW166" s="93">
        <f t="shared" si="164"/>
        <v>1189.4000000000001</v>
      </c>
      <c r="AX166" s="93">
        <f t="shared" si="165"/>
        <v>5390.6999999999998</v>
      </c>
      <c r="AY166" s="92">
        <f t="shared" si="166"/>
        <v>8633.6000000000004</v>
      </c>
      <c r="BA166" s="63">
        <f>SUMIF('2026 AC'!$B$3:$B$254,"*"&amp;$D166&amp;"*",'2026 AC'!C$3:C$254)</f>
        <v>660</v>
      </c>
      <c r="BB166" s="53">
        <f>SUMIF('2026 AC'!$B$3:$B$254,"*"&amp;$D166&amp;"*",'2026 AC'!D$3:D$254)</f>
        <v>445</v>
      </c>
      <c r="BC166" s="53">
        <f>SUMIF('2026 AC'!$B$3:$B$254,"*"&amp;$D166&amp;"*",'2026 AC'!E$3:E$254)</f>
        <v>180</v>
      </c>
      <c r="BD166" s="53">
        <f>SUMIF('2026 AC'!$B$3:$B$254,"*"&amp;$D166&amp;"*",'2026 AC'!F$3:F$254)</f>
        <v>1720</v>
      </c>
      <c r="BE166" s="53">
        <f>SUMIF('2026 AC'!$B$3:$B$254,"*"&amp;$D166&amp;"*",'2026 AC'!G$3:G$254)</f>
        <v>620</v>
      </c>
      <c r="BF166" s="53">
        <f>SUMIF('2026 AC'!$B$3:$B$254,"*"&amp;$D166&amp;"*",'2026 AC'!H$3:H$254)</f>
        <v>0</v>
      </c>
      <c r="BG166" s="53">
        <f>SUMIF('2026 AC'!$B$3:$B$254,"*"&amp;$D166&amp;"*",'2026 AC'!I$3:I$254)</f>
        <v>0</v>
      </c>
      <c r="BH166" s="53">
        <f>SUMIF('2026 AC'!$B$3:$B$254,"*"&amp;$D166&amp;"*",'2026 AC'!J$3:J$254)</f>
        <v>0</v>
      </c>
      <c r="BI166" s="53">
        <f>SUMIF('2026 AC'!$B$3:$B$254,"*"&amp;$D166&amp;"*",'2026 AC'!K$3:K$254)</f>
        <v>0</v>
      </c>
      <c r="BJ166" s="53">
        <f>SUMIF('2026 AC'!$B$3:$B$254,"*"&amp;$D166&amp;"*",'2026 AC'!L$3:L$254)</f>
        <v>0</v>
      </c>
      <c r="BK166" s="53">
        <f>SUMIF('2026 AC'!$B$3:$B$254,"*"&amp;$D166&amp;"*",'2026 AC'!M$3:M$254)</f>
        <v>0</v>
      </c>
      <c r="BL166" s="93">
        <f>SUMIF('2026 AC'!$B$3:$B$254,"*"&amp;$D166&amp;"*",'2026 AC'!N$3:N$254)</f>
        <v>0</v>
      </c>
      <c r="BM166" s="92">
        <f t="shared" si="139"/>
        <v>3625</v>
      </c>
      <c r="BN166" s="93">
        <f t="shared" si="167"/>
        <v>1285</v>
      </c>
      <c r="BO166" s="93">
        <f t="shared" si="168"/>
        <v>2340</v>
      </c>
      <c r="BP166" s="93">
        <f t="shared" si="169"/>
        <v>0</v>
      </c>
      <c r="BQ166" s="93">
        <f t="shared" si="170"/>
        <v>0</v>
      </c>
      <c r="BR166" s="92">
        <f t="shared" si="171"/>
        <v>3625</v>
      </c>
    </row>
    <row r="167" ht="15" customHeight="1" outlineLevel="1">
      <c r="A167" t="s">
        <v>404</v>
      </c>
      <c r="B167" t="s">
        <v>405</v>
      </c>
      <c r="C167" s="34" t="s">
        <v>406</v>
      </c>
      <c r="D167" s="35" t="s">
        <v>407</v>
      </c>
      <c r="E167" s="151">
        <f t="shared" si="182"/>
        <v>4870.6099999999997</v>
      </c>
      <c r="F167" s="152">
        <f t="shared" si="183"/>
        <v>0</v>
      </c>
      <c r="G167" s="154">
        <f t="shared" ref="G167:G171" si="197">IFERROR((E167-F167)/F167,0)</f>
        <v>0</v>
      </c>
      <c r="H167" s="153">
        <f t="shared" si="185"/>
        <v>14611.829999999998</v>
      </c>
      <c r="I167" s="153">
        <f t="shared" si="186"/>
        <v>0</v>
      </c>
      <c r="J167" s="154">
        <f>IFERROR((H167-I167)/I167,1)</f>
        <v>1</v>
      </c>
      <c r="K167" s="153">
        <f t="shared" si="187"/>
        <v>29223.66</v>
      </c>
      <c r="L167" s="153">
        <f t="shared" si="188"/>
        <v>0</v>
      </c>
      <c r="M167" s="155">
        <f>IFERROR((K167-L167)/L167,1)</f>
        <v>1</v>
      </c>
      <c r="O167" s="63">
        <f>SUMIF('2024 AC'!$B$3:$B$250,"*"&amp;$D167&amp;"*",'2024 AC'!C$3:C$250)</f>
        <v>50634.529999999999</v>
      </c>
      <c r="P167" s="53">
        <f>SUMIF('2024 AC'!$B$3:$B$250,"*"&amp;$D167&amp;"*",'2024 AC'!D$3:D$250)</f>
        <v>0</v>
      </c>
      <c r="Q167" s="53">
        <f>SUMIF('2024 AC'!$B$3:$B$250,"*"&amp;$D167&amp;"*",'2024 AC'!E$3:E$250)</f>
        <v>0</v>
      </c>
      <c r="R167" s="53">
        <f>SUMIF('2024 AC'!$B$3:$B$250,"*"&amp;$D167&amp;"*",'2024 AC'!F$3:F$250)</f>
        <v>0</v>
      </c>
      <c r="S167" s="53">
        <f>SUMIF('2024 AC'!$B$3:$B$250,"*"&amp;$D167&amp;"*",'2024 AC'!G$3:G$250)</f>
        <v>0</v>
      </c>
      <c r="T167" s="53">
        <f>SUMIF('2024 AC'!$B$3:$B$250,"*"&amp;$D167&amp;"*",'2024 AC'!H$3:H$250)</f>
        <v>0</v>
      </c>
      <c r="U167" s="53">
        <f>SUMIF('2024 AC'!$B$3:$B$250,"*"&amp;$D167&amp;"*",'2024 AC'!I$3:I$250)</f>
        <v>0</v>
      </c>
      <c r="V167" s="53">
        <f>SUMIF('2024 AC'!$B$3:$B$250,"*"&amp;$D167&amp;"*",'2024 AC'!J$3:J$250)</f>
        <v>0</v>
      </c>
      <c r="W167" s="53">
        <f>SUMIF('2024 AC'!$B$3:$B$250,"*"&amp;$D167&amp;"*",'2024 AC'!K$3:K$250)</f>
        <v>0</v>
      </c>
      <c r="X167" s="53">
        <f>SUMIF('2024 AC'!$B$3:$B$250,"*"&amp;$D167&amp;"*",'2024 AC'!L$3:L$250)</f>
        <v>0</v>
      </c>
      <c r="Y167" s="53">
        <f>SUMIF('2024 AC'!$B$3:$B$250,"*"&amp;$D167&amp;"*",'2024 AC'!M$3:M$250)</f>
        <v>0</v>
      </c>
      <c r="Z167" s="93">
        <f>SUMIF('2024 AC'!$B$3:$B$250,"*"&amp;$D167&amp;"*",'2024 AC'!N$3:N$250)</f>
        <v>62852.959999999999</v>
      </c>
      <c r="AA167" s="92">
        <f t="shared" si="156"/>
        <v>113487.48999999999</v>
      </c>
      <c r="AB167" s="93">
        <f t="shared" si="157"/>
        <v>50634.529999999999</v>
      </c>
      <c r="AC167" s="93">
        <f t="shared" si="158"/>
        <v>0</v>
      </c>
      <c r="AD167" s="93">
        <f t="shared" si="159"/>
        <v>0</v>
      </c>
      <c r="AE167" s="93">
        <f t="shared" si="160"/>
        <v>62852.959999999999</v>
      </c>
      <c r="AF167" s="92">
        <f t="shared" si="161"/>
        <v>113487.48999999999</v>
      </c>
      <c r="AH167" s="63">
        <f>SUMIF('2025 AC'!$B$3:$B$250,"*"&amp;$D167&amp;"*",'2025 AC'!C$3:C$250)</f>
        <v>0</v>
      </c>
      <c r="AI167" s="53">
        <f>SUMIF('2025 AC'!$B$3:$B$250,"*"&amp;$D167&amp;"*",'2025 AC'!D$3:D$250)</f>
        <v>0</v>
      </c>
      <c r="AJ167" s="53">
        <f>SUMIF('2025 AC'!$B$3:$B$250,"*"&amp;$D167&amp;"*",'2025 AC'!E$3:E$250)</f>
        <v>0</v>
      </c>
      <c r="AK167" s="53">
        <f>SUMIF('2025 AC'!$B$3:$B$250,"*"&amp;$D167&amp;"*",'2025 AC'!F$3:F$250)</f>
        <v>0</v>
      </c>
      <c r="AL167" s="53">
        <f>SUMIF('2025 AC'!$B$3:$B$250,"*"&amp;$D167&amp;"*",'2025 AC'!G$3:G$250)</f>
        <v>0</v>
      </c>
      <c r="AM167" s="53">
        <f>SUMIF('2025 AC'!$B$3:$B$250,"*"&amp;$D167&amp;"*",'2025 AC'!H$3:H$250)</f>
        <v>0</v>
      </c>
      <c r="AN167" s="53">
        <f>SUMIF('2025 AC'!$B$3:$B$250,"*"&amp;$D167&amp;"*",'2025 AC'!I$3:I$250)</f>
        <v>0</v>
      </c>
      <c r="AO167" s="53">
        <f>SUMIF('2025 AC'!$B$3:$B$250,"*"&amp;$D167&amp;"*",'2025 AC'!J$3:J$250)</f>
        <v>0</v>
      </c>
      <c r="AP167" s="53">
        <f>SUMIF('2025 AC'!$B$3:$B$250,"*"&amp;$D167&amp;"*",'2025 AC'!K$3:K$250)</f>
        <v>0</v>
      </c>
      <c r="AQ167" s="53">
        <f>SUMIF('2025 AC'!$B$3:$B$250,"*"&amp;$D167&amp;"*",'2025 AC'!L$3:L$250)</f>
        <v>0</v>
      </c>
      <c r="AR167" s="53">
        <f>SUMIF('2025 AC'!$B$3:$B$250,"*"&amp;$D167&amp;"*",'2025 AC'!M$3:M$250)</f>
        <v>0</v>
      </c>
      <c r="AS167" s="53">
        <f>SUMIF('2025 AC'!$B$3:$B$250,"*"&amp;$D167&amp;"*",'2025 AC'!N$3:N$250)</f>
        <v>9097.7199999999993</v>
      </c>
      <c r="AT167" s="94">
        <f t="shared" si="138"/>
        <v>9097.7199999999993</v>
      </c>
      <c r="AU167" s="93">
        <f t="shared" si="162"/>
        <v>0</v>
      </c>
      <c r="AV167" s="93">
        <f t="shared" si="163"/>
        <v>0</v>
      </c>
      <c r="AW167" s="93">
        <f t="shared" si="164"/>
        <v>0</v>
      </c>
      <c r="AX167" s="93">
        <f t="shared" si="165"/>
        <v>9097.7199999999993</v>
      </c>
      <c r="AY167" s="92">
        <f t="shared" si="166"/>
        <v>9097.7199999999993</v>
      </c>
      <c r="BA167" s="63">
        <f>SUMIF('2026 AC'!$B$3:$B$254,"*"&amp;$D167&amp;"*",'2026 AC'!C$3:C$254)</f>
        <v>4870.6099999999997</v>
      </c>
      <c r="BB167" s="53">
        <f>SUMIF('2026 AC'!$B$3:$B$254,"*"&amp;$D167&amp;"*",'2026 AC'!D$3:D$254)</f>
        <v>4870.6099999999997</v>
      </c>
      <c r="BC167" s="53">
        <f>SUMIF('2026 AC'!$B$3:$B$254,"*"&amp;$D167&amp;"*",'2026 AC'!E$3:E$254)</f>
        <v>4870.6099999999997</v>
      </c>
      <c r="BD167" s="53">
        <f>SUMIF('2026 AC'!$B$3:$B$254,"*"&amp;$D167&amp;"*",'2026 AC'!F$3:F$254)</f>
        <v>4870.6099999999997</v>
      </c>
      <c r="BE167" s="53">
        <f>SUMIF('2026 AC'!$B$3:$B$254,"*"&amp;$D167&amp;"*",'2026 AC'!G$3:G$254)</f>
        <v>4870.6099999999997</v>
      </c>
      <c r="BF167" s="53">
        <f>SUMIF('2026 AC'!$B$3:$B$254,"*"&amp;$D167&amp;"*",'2026 AC'!H$3:H$254)</f>
        <v>4870.6099999999997</v>
      </c>
      <c r="BG167" s="53">
        <f>SUMIF('2026 AC'!$B$3:$B$254,"*"&amp;$D167&amp;"*",'2026 AC'!I$3:I$254)</f>
        <v>0</v>
      </c>
      <c r="BH167" s="53">
        <f>SUMIF('2026 AC'!$B$3:$B$254,"*"&amp;$D167&amp;"*",'2026 AC'!J$3:J$254)</f>
        <v>0</v>
      </c>
      <c r="BI167" s="53">
        <f>SUMIF('2026 AC'!$B$3:$B$254,"*"&amp;$D167&amp;"*",'2026 AC'!K$3:K$254)</f>
        <v>0</v>
      </c>
      <c r="BJ167" s="53">
        <f>SUMIF('2026 AC'!$B$3:$B$254,"*"&amp;$D167&amp;"*",'2026 AC'!L$3:L$254)</f>
        <v>0</v>
      </c>
      <c r="BK167" s="53">
        <f>SUMIF('2026 AC'!$B$3:$B$254,"*"&amp;$D167&amp;"*",'2026 AC'!M$3:M$254)</f>
        <v>0</v>
      </c>
      <c r="BL167" s="93">
        <f>SUMIF('2026 AC'!$B$3:$B$254,"*"&amp;$D167&amp;"*",'2026 AC'!N$3:N$254)</f>
        <v>0</v>
      </c>
      <c r="BM167" s="92">
        <f t="shared" si="139"/>
        <v>29223.66</v>
      </c>
      <c r="BN167" s="93">
        <f t="shared" si="167"/>
        <v>14611.829999999998</v>
      </c>
      <c r="BO167" s="93">
        <f t="shared" si="168"/>
        <v>14611.829999999998</v>
      </c>
      <c r="BP167" s="93">
        <f t="shared" si="169"/>
        <v>0</v>
      </c>
      <c r="BQ167" s="93">
        <f t="shared" si="170"/>
        <v>0</v>
      </c>
      <c r="BR167" s="92">
        <f t="shared" si="171"/>
        <v>29223.659999999996</v>
      </c>
    </row>
    <row r="168" ht="15" customHeight="1" outlineLevel="1">
      <c r="A168" t="s">
        <v>408</v>
      </c>
      <c r="B168" t="s">
        <v>409</v>
      </c>
      <c r="C168" s="34" t="s">
        <v>410</v>
      </c>
      <c r="D168" s="35" t="s">
        <v>411</v>
      </c>
      <c r="E168" s="151">
        <f t="shared" si="182"/>
        <v>0</v>
      </c>
      <c r="F168" s="152">
        <f t="shared" si="183"/>
        <v>0</v>
      </c>
      <c r="G168" s="154">
        <f t="shared" si="197"/>
        <v>0</v>
      </c>
      <c r="H168" s="153">
        <f t="shared" si="185"/>
        <v>0</v>
      </c>
      <c r="I168" s="153">
        <f t="shared" si="186"/>
        <v>0</v>
      </c>
      <c r="J168" s="154">
        <f t="shared" ref="J168:J170" si="198">IFERROR((H168-I168)/I168,0)</f>
        <v>0</v>
      </c>
      <c r="K168" s="153">
        <f t="shared" si="187"/>
        <v>0</v>
      </c>
      <c r="L168" s="153">
        <f t="shared" si="188"/>
        <v>0</v>
      </c>
      <c r="M168" s="155">
        <f t="shared" ref="M168:M170" si="199">IFERROR((K168-L168)/L168,0)</f>
        <v>0</v>
      </c>
      <c r="O168" s="63">
        <f>SUMIF('2024 AC'!$B$3:$B$250,"*"&amp;$D168&amp;"*",'2024 AC'!C$3:C$250)</f>
        <v>0</v>
      </c>
      <c r="P168" s="53">
        <f>SUMIF('2024 AC'!$B$3:$B$250,"*"&amp;$D168&amp;"*",'2024 AC'!D$3:D$250)</f>
        <v>0</v>
      </c>
      <c r="Q168" s="53">
        <f>SUMIF('2024 AC'!$B$3:$B$250,"*"&amp;$D168&amp;"*",'2024 AC'!E$3:E$250)</f>
        <v>0</v>
      </c>
      <c r="R168" s="53">
        <f>SUMIF('2024 AC'!$B$3:$B$250,"*"&amp;$D168&amp;"*",'2024 AC'!F$3:F$250)</f>
        <v>0</v>
      </c>
      <c r="S168" s="53">
        <f>SUMIF('2024 AC'!$B$3:$B$250,"*"&amp;$D168&amp;"*",'2024 AC'!G$3:G$250)</f>
        <v>0</v>
      </c>
      <c r="T168" s="53">
        <f>SUMIF('2024 AC'!$B$3:$B$250,"*"&amp;$D168&amp;"*",'2024 AC'!H$3:H$250)</f>
        <v>0</v>
      </c>
      <c r="U168" s="53">
        <f>SUMIF('2024 AC'!$B$3:$B$250,"*"&amp;$D168&amp;"*",'2024 AC'!I$3:I$250)</f>
        <v>0</v>
      </c>
      <c r="V168" s="53">
        <f>SUMIF('2024 AC'!$B$3:$B$250,"*"&amp;$D168&amp;"*",'2024 AC'!J$3:J$250)</f>
        <v>0</v>
      </c>
      <c r="W168" s="53">
        <f>SUMIF('2024 AC'!$B$3:$B$250,"*"&amp;$D168&amp;"*",'2024 AC'!K$3:K$250)</f>
        <v>0</v>
      </c>
      <c r="X168" s="53">
        <f>SUMIF('2024 AC'!$B$3:$B$250,"*"&amp;$D168&amp;"*",'2024 AC'!L$3:L$250)</f>
        <v>0</v>
      </c>
      <c r="Y168" s="53">
        <f>SUMIF('2024 AC'!$B$3:$B$250,"*"&amp;$D168&amp;"*",'2024 AC'!M$3:M$250)</f>
        <v>0</v>
      </c>
      <c r="Z168" s="93">
        <f>SUMIF('2024 AC'!$B$3:$B$250,"*"&amp;$D168&amp;"*",'2024 AC'!N$3:N$250)</f>
        <v>0</v>
      </c>
      <c r="AA168" s="92">
        <f t="shared" si="156"/>
        <v>0</v>
      </c>
      <c r="AB168" s="93">
        <f t="shared" si="157"/>
        <v>0</v>
      </c>
      <c r="AC168" s="93">
        <f t="shared" si="158"/>
        <v>0</v>
      </c>
      <c r="AD168" s="93">
        <f t="shared" si="159"/>
        <v>0</v>
      </c>
      <c r="AE168" s="93">
        <f t="shared" si="160"/>
        <v>0</v>
      </c>
      <c r="AF168" s="92">
        <f t="shared" si="161"/>
        <v>0</v>
      </c>
      <c r="AH168" s="63">
        <f>SUMIF('2025 AC'!$B$3:$B$250,"*"&amp;$D168&amp;"*",'2025 AC'!C$3:C$250)</f>
        <v>0</v>
      </c>
      <c r="AI168" s="53">
        <f>SUMIF('2025 AC'!$B$3:$B$250,"*"&amp;$D168&amp;"*",'2025 AC'!D$3:D$250)</f>
        <v>0</v>
      </c>
      <c r="AJ168" s="53">
        <f>SUMIF('2025 AC'!$B$3:$B$250,"*"&amp;$D168&amp;"*",'2025 AC'!E$3:E$250)</f>
        <v>0</v>
      </c>
      <c r="AK168" s="53">
        <f>SUMIF('2025 AC'!$B$3:$B$250,"*"&amp;$D168&amp;"*",'2025 AC'!F$3:F$250)</f>
        <v>0</v>
      </c>
      <c r="AL168" s="53">
        <f>SUMIF('2025 AC'!$B$3:$B$250,"*"&amp;$D168&amp;"*",'2025 AC'!G$3:G$250)</f>
        <v>0</v>
      </c>
      <c r="AM168" s="53">
        <f>SUMIF('2025 AC'!$B$3:$B$250,"*"&amp;$D168&amp;"*",'2025 AC'!H$3:H$250)</f>
        <v>0</v>
      </c>
      <c r="AN168" s="53">
        <f>SUMIF('2025 AC'!$B$3:$B$250,"*"&amp;$D168&amp;"*",'2025 AC'!I$3:I$250)</f>
        <v>0</v>
      </c>
      <c r="AO168" s="53">
        <f>SUMIF('2025 AC'!$B$3:$B$250,"*"&amp;$D168&amp;"*",'2025 AC'!J$3:J$250)</f>
        <v>0</v>
      </c>
      <c r="AP168" s="53">
        <f>SUMIF('2025 AC'!$B$3:$B$250,"*"&amp;$D168&amp;"*",'2025 AC'!K$3:K$250)</f>
        <v>18242.279999999999</v>
      </c>
      <c r="AQ168" s="53">
        <f>SUMIF('2025 AC'!$B$3:$B$250,"*"&amp;$D168&amp;"*",'2025 AC'!L$3:L$250)</f>
        <v>0</v>
      </c>
      <c r="AR168" s="53">
        <f>SUMIF('2025 AC'!$B$3:$B$250,"*"&amp;$D168&amp;"*",'2025 AC'!M$3:M$250)</f>
        <v>0</v>
      </c>
      <c r="AS168" s="53">
        <f>SUMIF('2025 AC'!$B$3:$B$250,"*"&amp;$D168&amp;"*",'2025 AC'!N$3:N$250)</f>
        <v>0</v>
      </c>
      <c r="AT168" s="94">
        <f t="shared" si="138"/>
        <v>18242.279999999999</v>
      </c>
      <c r="AU168" s="93">
        <f t="shared" si="162"/>
        <v>0</v>
      </c>
      <c r="AV168" s="93">
        <f t="shared" si="163"/>
        <v>0</v>
      </c>
      <c r="AW168" s="93">
        <f t="shared" si="164"/>
        <v>18242.279999999999</v>
      </c>
      <c r="AX168" s="93">
        <f t="shared" si="165"/>
        <v>0</v>
      </c>
      <c r="AY168" s="92">
        <f t="shared" si="166"/>
        <v>18242.279999999999</v>
      </c>
      <c r="BA168" s="63">
        <f>SUMIF('2026 AC'!$B$3:$B$254,"*"&amp;$D168&amp;"*",'2026 AC'!C$3:C$254)</f>
        <v>0</v>
      </c>
      <c r="BB168" s="53">
        <f>SUMIF('2026 AC'!$B$3:$B$254,"*"&amp;$D168&amp;"*",'2026 AC'!D$3:D$254)</f>
        <v>0</v>
      </c>
      <c r="BC168" s="53">
        <f>SUMIF('2026 AC'!$B$3:$B$254,"*"&amp;$D168&amp;"*",'2026 AC'!E$3:E$254)</f>
        <v>0</v>
      </c>
      <c r="BD168" s="53">
        <f>SUMIF('2026 AC'!$B$3:$B$254,"*"&amp;$D168&amp;"*",'2026 AC'!F$3:F$254)</f>
        <v>0</v>
      </c>
      <c r="BE168" s="53">
        <f>SUMIF('2026 AC'!$B$3:$B$254,"*"&amp;$D168&amp;"*",'2026 AC'!G$3:G$254)</f>
        <v>0</v>
      </c>
      <c r="BF168" s="53">
        <f>SUMIF('2026 AC'!$B$3:$B$254,"*"&amp;$D168&amp;"*",'2026 AC'!H$3:H$254)</f>
        <v>0</v>
      </c>
      <c r="BG168" s="53">
        <f>SUMIF('2026 AC'!$B$3:$B$254,"*"&amp;$D168&amp;"*",'2026 AC'!I$3:I$254)</f>
        <v>0</v>
      </c>
      <c r="BH168" s="53">
        <f>SUMIF('2026 AC'!$B$3:$B$254,"*"&amp;$D168&amp;"*",'2026 AC'!J$3:J$254)</f>
        <v>0</v>
      </c>
      <c r="BI168" s="53">
        <f>SUMIF('2026 AC'!$B$3:$B$254,"*"&amp;$D168&amp;"*",'2026 AC'!K$3:K$254)</f>
        <v>0</v>
      </c>
      <c r="BJ168" s="53">
        <f>SUMIF('2026 AC'!$B$3:$B$254,"*"&amp;$D168&amp;"*",'2026 AC'!L$3:L$254)</f>
        <v>0</v>
      </c>
      <c r="BK168" s="53">
        <f>SUMIF('2026 AC'!$B$3:$B$254,"*"&amp;$D168&amp;"*",'2026 AC'!M$3:M$254)</f>
        <v>0</v>
      </c>
      <c r="BL168" s="93">
        <f>SUMIF('2026 AC'!$B$3:$B$254,"*"&amp;$D168&amp;"*",'2026 AC'!N$3:N$254)</f>
        <v>0</v>
      </c>
      <c r="BM168" s="92">
        <f t="shared" si="139"/>
        <v>0</v>
      </c>
      <c r="BN168" s="93">
        <f t="shared" si="167"/>
        <v>0</v>
      </c>
      <c r="BO168" s="93">
        <f t="shared" si="168"/>
        <v>0</v>
      </c>
      <c r="BP168" s="93">
        <f t="shared" si="169"/>
        <v>0</v>
      </c>
      <c r="BQ168" s="93">
        <f t="shared" si="170"/>
        <v>0</v>
      </c>
      <c r="BR168" s="92">
        <f t="shared" si="171"/>
        <v>0</v>
      </c>
    </row>
    <row r="169" ht="15" customHeight="1" outlineLevel="1">
      <c r="A169" t="s">
        <v>412</v>
      </c>
      <c r="B169" t="s">
        <v>413</v>
      </c>
      <c r="C169" s="34" t="s">
        <v>414</v>
      </c>
      <c r="D169" s="35" t="s">
        <v>358</v>
      </c>
      <c r="E169" s="151">
        <f t="shared" si="182"/>
        <v>0</v>
      </c>
      <c r="F169" s="152">
        <f t="shared" si="183"/>
        <v>0</v>
      </c>
      <c r="G169" s="154">
        <f t="shared" si="197"/>
        <v>0</v>
      </c>
      <c r="H169" s="153">
        <f t="shared" si="185"/>
        <v>0</v>
      </c>
      <c r="I169" s="153">
        <f t="shared" si="186"/>
        <v>0</v>
      </c>
      <c r="J169" s="154">
        <f t="shared" si="198"/>
        <v>0</v>
      </c>
      <c r="K169" s="153">
        <f t="shared" si="187"/>
        <v>0</v>
      </c>
      <c r="L169" s="153">
        <f t="shared" si="188"/>
        <v>0</v>
      </c>
      <c r="M169" s="155">
        <f t="shared" si="199"/>
        <v>0</v>
      </c>
      <c r="O169" s="63">
        <f>SUMIF('2024 AC'!$B$3:$B$250,"*"&amp;$D169&amp;"*",'2024 AC'!C$3:C$250)</f>
        <v>0</v>
      </c>
      <c r="P169" s="53">
        <f>SUMIF('2024 AC'!$B$3:$B$250,"*"&amp;$D169&amp;"*",'2024 AC'!D$3:D$250)</f>
        <v>0</v>
      </c>
      <c r="Q169" s="53">
        <f>SUMIF('2024 AC'!$B$3:$B$250,"*"&amp;$D169&amp;"*",'2024 AC'!E$3:E$250)</f>
        <v>0</v>
      </c>
      <c r="R169" s="53">
        <f>SUMIF('2024 AC'!$B$3:$B$250,"*"&amp;$D169&amp;"*",'2024 AC'!F$3:F$250)</f>
        <v>0</v>
      </c>
      <c r="S169" s="53">
        <f>SUMIF('2024 AC'!$B$3:$B$250,"*"&amp;$D169&amp;"*",'2024 AC'!G$3:G$250)</f>
        <v>0</v>
      </c>
      <c r="T169" s="53">
        <f>SUMIF('2024 AC'!$B$3:$B$250,"*"&amp;$D169&amp;"*",'2024 AC'!H$3:H$250)</f>
        <v>0</v>
      </c>
      <c r="U169" s="53">
        <f>SUMIF('2024 AC'!$B$3:$B$250,"*"&amp;$D169&amp;"*",'2024 AC'!I$3:I$250)</f>
        <v>0</v>
      </c>
      <c r="V169" s="53">
        <f>SUMIF('2024 AC'!$B$3:$B$250,"*"&amp;$D169&amp;"*",'2024 AC'!J$3:J$250)</f>
        <v>0</v>
      </c>
      <c r="W169" s="53">
        <f>SUMIF('2024 AC'!$B$3:$B$250,"*"&amp;$D169&amp;"*",'2024 AC'!K$3:K$250)</f>
        <v>0</v>
      </c>
      <c r="X169" s="53">
        <f>SUMIF('2024 AC'!$B$3:$B$250,"*"&amp;$D169&amp;"*",'2024 AC'!L$3:L$250)</f>
        <v>0</v>
      </c>
      <c r="Y169" s="53">
        <f>SUMIF('2024 AC'!$B$3:$B$250,"*"&amp;$D169&amp;"*",'2024 AC'!M$3:M$250)</f>
        <v>0</v>
      </c>
      <c r="Z169" s="93">
        <f>SUMIF('2024 AC'!$B$3:$B$250,"*"&amp;$D169&amp;"*",'2024 AC'!N$3:N$250)</f>
        <v>0</v>
      </c>
      <c r="AA169" s="92">
        <f t="shared" si="156"/>
        <v>0</v>
      </c>
      <c r="AB169" s="93">
        <f t="shared" si="157"/>
        <v>0</v>
      </c>
      <c r="AC169" s="93">
        <f t="shared" si="158"/>
        <v>0</v>
      </c>
      <c r="AD169" s="93">
        <f t="shared" si="159"/>
        <v>0</v>
      </c>
      <c r="AE169" s="93">
        <f t="shared" si="160"/>
        <v>0</v>
      </c>
      <c r="AF169" s="92">
        <f t="shared" si="161"/>
        <v>0</v>
      </c>
      <c r="AH169" s="63">
        <f>SUMIF('2025 AC'!$B$3:$B$250,"*"&amp;$D169&amp;"*",'2025 AC'!C$3:C$250)</f>
        <v>0</v>
      </c>
      <c r="AI169" s="53">
        <f>SUMIF('2025 AC'!$B$3:$B$250,"*"&amp;$D169&amp;"*",'2025 AC'!D$3:D$250)</f>
        <v>0</v>
      </c>
      <c r="AJ169" s="53">
        <f>SUMIF('2025 AC'!$B$3:$B$250,"*"&amp;$D169&amp;"*",'2025 AC'!E$3:E$250)</f>
        <v>0</v>
      </c>
      <c r="AK169" s="53">
        <f>SUMIF('2025 AC'!$B$3:$B$250,"*"&amp;$D169&amp;"*",'2025 AC'!F$3:F$250)</f>
        <v>0</v>
      </c>
      <c r="AL169" s="53">
        <f>SUMIF('2025 AC'!$B$3:$B$250,"*"&amp;$D169&amp;"*",'2025 AC'!G$3:G$250)</f>
        <v>0</v>
      </c>
      <c r="AM169" s="53">
        <f>SUMIF('2025 AC'!$B$3:$B$250,"*"&amp;$D169&amp;"*",'2025 AC'!H$3:H$250)</f>
        <v>0</v>
      </c>
      <c r="AN169" s="53">
        <f>SUMIF('2025 AC'!$B$3:$B$250,"*"&amp;$D169&amp;"*",'2025 AC'!I$3:I$250)</f>
        <v>0</v>
      </c>
      <c r="AO169" s="53">
        <f>SUMIF('2025 AC'!$B$3:$B$250,"*"&amp;$D169&amp;"*",'2025 AC'!J$3:J$250)</f>
        <v>0</v>
      </c>
      <c r="AP169" s="53">
        <f>SUMIF('2025 AC'!$B$3:$B$250,"*"&amp;$D169&amp;"*",'2025 AC'!K$3:K$250)</f>
        <v>0</v>
      </c>
      <c r="AQ169" s="53">
        <f>SUMIF('2025 AC'!$B$3:$B$250,"*"&amp;$D169&amp;"*",'2025 AC'!L$3:L$250)</f>
        <v>0</v>
      </c>
      <c r="AR169" s="53">
        <f>SUMIF('2025 AC'!$B$3:$B$250,"*"&amp;$D169&amp;"*",'2025 AC'!M$3:M$250)</f>
        <v>0</v>
      </c>
      <c r="AS169" s="53">
        <f>SUMIF('2025 AC'!$B$3:$B$250,"*"&amp;$D169&amp;"*",'2025 AC'!N$3:N$250)</f>
        <v>0</v>
      </c>
      <c r="AT169" s="94">
        <f t="shared" si="138"/>
        <v>0</v>
      </c>
      <c r="AU169" s="93">
        <f t="shared" si="162"/>
        <v>0</v>
      </c>
      <c r="AV169" s="93">
        <f t="shared" si="163"/>
        <v>0</v>
      </c>
      <c r="AW169" s="93">
        <f t="shared" si="164"/>
        <v>0</v>
      </c>
      <c r="AX169" s="93">
        <f t="shared" si="165"/>
        <v>0</v>
      </c>
      <c r="AY169" s="92">
        <f t="shared" si="166"/>
        <v>0</v>
      </c>
      <c r="BA169" s="63">
        <f>SUMIF('2026 AC'!$B$3:$B$254,"*"&amp;$D169&amp;"*",'2026 AC'!C$3:C$254)</f>
        <v>0</v>
      </c>
      <c r="BB169" s="53">
        <f>SUMIF('2026 AC'!$B$3:$B$254,"*"&amp;$D169&amp;"*",'2026 AC'!D$3:D$254)</f>
        <v>0</v>
      </c>
      <c r="BC169" s="53">
        <f>SUMIF('2026 AC'!$B$3:$B$254,"*"&amp;$D169&amp;"*",'2026 AC'!E$3:E$254)</f>
        <v>0</v>
      </c>
      <c r="BD169" s="53">
        <f>SUMIF('2026 AC'!$B$3:$B$254,"*"&amp;$D169&amp;"*",'2026 AC'!F$3:F$254)</f>
        <v>0</v>
      </c>
      <c r="BE169" s="53">
        <f>SUMIF('2026 AC'!$B$3:$B$254,"*"&amp;$D169&amp;"*",'2026 AC'!G$3:G$254)</f>
        <v>0</v>
      </c>
      <c r="BF169" s="53">
        <f>SUMIF('2026 AC'!$B$3:$B$254,"*"&amp;$D169&amp;"*",'2026 AC'!H$3:H$254)</f>
        <v>0</v>
      </c>
      <c r="BG169" s="53">
        <f>SUMIF('2026 AC'!$B$3:$B$254,"*"&amp;$D169&amp;"*",'2026 AC'!I$3:I$254)</f>
        <v>0</v>
      </c>
      <c r="BH169" s="53">
        <f>SUMIF('2026 AC'!$B$3:$B$254,"*"&amp;$D169&amp;"*",'2026 AC'!J$3:J$254)</f>
        <v>0</v>
      </c>
      <c r="BI169" s="53">
        <f>SUMIF('2026 AC'!$B$3:$B$254,"*"&amp;$D169&amp;"*",'2026 AC'!K$3:K$254)</f>
        <v>0</v>
      </c>
      <c r="BJ169" s="53">
        <f>SUMIF('2026 AC'!$B$3:$B$254,"*"&amp;$D169&amp;"*",'2026 AC'!L$3:L$254)</f>
        <v>0</v>
      </c>
      <c r="BK169" s="53">
        <f>SUMIF('2026 AC'!$B$3:$B$254,"*"&amp;$D169&amp;"*",'2026 AC'!M$3:M$254)</f>
        <v>0</v>
      </c>
      <c r="BL169" s="93">
        <f>SUMIF('2026 AC'!$B$3:$B$254,"*"&amp;$D169&amp;"*",'2026 AC'!N$3:N$254)</f>
        <v>0</v>
      </c>
      <c r="BM169" s="92">
        <f t="shared" si="139"/>
        <v>0</v>
      </c>
      <c r="BN169" s="93">
        <f t="shared" si="167"/>
        <v>0</v>
      </c>
      <c r="BO169" s="93">
        <f t="shared" si="168"/>
        <v>0</v>
      </c>
      <c r="BP169" s="93">
        <f t="shared" si="169"/>
        <v>0</v>
      </c>
      <c r="BQ169" s="93">
        <f t="shared" si="170"/>
        <v>0</v>
      </c>
      <c r="BR169" s="92">
        <f t="shared" si="171"/>
        <v>0</v>
      </c>
    </row>
    <row r="170" outlineLevel="1">
      <c r="A170" t="s">
        <v>415</v>
      </c>
      <c r="B170" t="s">
        <v>416</v>
      </c>
      <c r="C170" s="34" t="s">
        <v>417</v>
      </c>
      <c r="D170" s="35" t="s">
        <v>362</v>
      </c>
      <c r="E170" s="151">
        <f t="shared" si="182"/>
        <v>0</v>
      </c>
      <c r="F170" s="152">
        <f t="shared" si="183"/>
        <v>0</v>
      </c>
      <c r="G170" s="154">
        <f t="shared" si="197"/>
        <v>0</v>
      </c>
      <c r="H170" s="153">
        <f t="shared" si="185"/>
        <v>0</v>
      </c>
      <c r="I170" s="153">
        <f t="shared" si="186"/>
        <v>0</v>
      </c>
      <c r="J170" s="154">
        <f t="shared" si="198"/>
        <v>0</v>
      </c>
      <c r="K170" s="153">
        <f t="shared" si="187"/>
        <v>0</v>
      </c>
      <c r="L170" s="153">
        <f t="shared" si="188"/>
        <v>0</v>
      </c>
      <c r="M170" s="155">
        <f t="shared" si="199"/>
        <v>0</v>
      </c>
      <c r="O170" s="63">
        <f>SUMIF('2024 AC'!$B$3:$B$250,"*"&amp;$D170&amp;"*",'2024 AC'!C$3:C$250)</f>
        <v>0</v>
      </c>
      <c r="P170" s="53">
        <f>SUMIF('2024 AC'!$B$3:$B$250,"*"&amp;$D170&amp;"*",'2024 AC'!D$3:D$250)</f>
        <v>0</v>
      </c>
      <c r="Q170" s="53">
        <f>SUMIF('2024 AC'!$B$3:$B$250,"*"&amp;$D170&amp;"*",'2024 AC'!E$3:E$250)</f>
        <v>0</v>
      </c>
      <c r="R170" s="53">
        <f>SUMIF('2024 AC'!$B$3:$B$250,"*"&amp;$D170&amp;"*",'2024 AC'!F$3:F$250)</f>
        <v>0</v>
      </c>
      <c r="S170" s="53">
        <f>SUMIF('2024 AC'!$B$3:$B$250,"*"&amp;$D170&amp;"*",'2024 AC'!G$3:G$250)</f>
        <v>0</v>
      </c>
      <c r="T170" s="53">
        <f>SUMIF('2024 AC'!$B$3:$B$250,"*"&amp;$D170&amp;"*",'2024 AC'!H$3:H$250)</f>
        <v>0</v>
      </c>
      <c r="U170" s="53">
        <f>SUMIF('2024 AC'!$B$3:$B$250,"*"&amp;$D170&amp;"*",'2024 AC'!I$3:I$250)</f>
        <v>0</v>
      </c>
      <c r="V170" s="53">
        <f>SUMIF('2024 AC'!$B$3:$B$250,"*"&amp;$D170&amp;"*",'2024 AC'!J$3:J$250)</f>
        <v>0</v>
      </c>
      <c r="W170" s="53">
        <f>SUMIF('2024 AC'!$B$3:$B$250,"*"&amp;$D170&amp;"*",'2024 AC'!K$3:K$250)</f>
        <v>0</v>
      </c>
      <c r="X170" s="53">
        <f>SUMIF('2024 AC'!$B$3:$B$250,"*"&amp;$D170&amp;"*",'2024 AC'!L$3:L$250)</f>
        <v>0</v>
      </c>
      <c r="Y170" s="53">
        <f>SUMIF('2024 AC'!$B$3:$B$250,"*"&amp;$D170&amp;"*",'2024 AC'!M$3:M$250)</f>
        <v>0</v>
      </c>
      <c r="Z170" s="93">
        <f>SUMIF('2024 AC'!$B$3:$B$250,"*"&amp;$D170&amp;"*",'2024 AC'!N$3:N$250)</f>
        <v>0</v>
      </c>
      <c r="AA170" s="92">
        <f t="shared" si="156"/>
        <v>0</v>
      </c>
      <c r="AB170" s="93">
        <f t="shared" si="157"/>
        <v>0</v>
      </c>
      <c r="AC170" s="93">
        <f t="shared" si="158"/>
        <v>0</v>
      </c>
      <c r="AD170" s="93">
        <f t="shared" si="159"/>
        <v>0</v>
      </c>
      <c r="AE170" s="93">
        <f t="shared" si="160"/>
        <v>0</v>
      </c>
      <c r="AF170" s="92">
        <f t="shared" si="161"/>
        <v>0</v>
      </c>
      <c r="AH170" s="63">
        <f>SUMIF('2025 AC'!$B$3:$B$250,"*"&amp;$D170&amp;"*",'2025 AC'!C$3:C$250)</f>
        <v>0</v>
      </c>
      <c r="AI170" s="53">
        <f>SUMIF('2025 AC'!$B$3:$B$250,"*"&amp;$D170&amp;"*",'2025 AC'!D$3:D$250)</f>
        <v>0</v>
      </c>
      <c r="AJ170" s="53">
        <f>SUMIF('2025 AC'!$B$3:$B$250,"*"&amp;$D170&amp;"*",'2025 AC'!E$3:E$250)</f>
        <v>0</v>
      </c>
      <c r="AK170" s="53">
        <f>SUMIF('2025 AC'!$B$3:$B$250,"*"&amp;$D170&amp;"*",'2025 AC'!F$3:F$250)</f>
        <v>0</v>
      </c>
      <c r="AL170" s="53">
        <f>SUMIF('2025 AC'!$B$3:$B$250,"*"&amp;$D170&amp;"*",'2025 AC'!G$3:G$250)</f>
        <v>0</v>
      </c>
      <c r="AM170" s="53">
        <f>SUMIF('2025 AC'!$B$3:$B$250,"*"&amp;$D170&amp;"*",'2025 AC'!H$3:H$250)</f>
        <v>0</v>
      </c>
      <c r="AN170" s="53">
        <f>SUMIF('2025 AC'!$B$3:$B$250,"*"&amp;$D170&amp;"*",'2025 AC'!I$3:I$250)</f>
        <v>0</v>
      </c>
      <c r="AO170" s="53">
        <f>SUMIF('2025 AC'!$B$3:$B$250,"*"&amp;$D170&amp;"*",'2025 AC'!J$3:J$250)</f>
        <v>0</v>
      </c>
      <c r="AP170" s="53">
        <f>SUMIF('2025 AC'!$B$3:$B$250,"*"&amp;$D170&amp;"*",'2025 AC'!K$3:K$250)</f>
        <v>0</v>
      </c>
      <c r="AQ170" s="53">
        <f>SUMIF('2025 AC'!$B$3:$B$250,"*"&amp;$D170&amp;"*",'2025 AC'!L$3:L$250)</f>
        <v>0</v>
      </c>
      <c r="AR170" s="53">
        <f>SUMIF('2025 AC'!$B$3:$B$250,"*"&amp;$D170&amp;"*",'2025 AC'!M$3:M$250)</f>
        <v>0</v>
      </c>
      <c r="AS170" s="53">
        <f>SUMIF('2025 AC'!$B$3:$B$250,"*"&amp;$D170&amp;"*",'2025 AC'!N$3:N$250)</f>
        <v>0</v>
      </c>
      <c r="AT170" s="94">
        <f t="shared" si="138"/>
        <v>0</v>
      </c>
      <c r="AU170" s="93">
        <f t="shared" si="162"/>
        <v>0</v>
      </c>
      <c r="AV170" s="93">
        <f t="shared" si="163"/>
        <v>0</v>
      </c>
      <c r="AW170" s="93">
        <f t="shared" si="164"/>
        <v>0</v>
      </c>
      <c r="AX170" s="93">
        <f t="shared" si="165"/>
        <v>0</v>
      </c>
      <c r="AY170" s="92">
        <f t="shared" si="166"/>
        <v>0</v>
      </c>
      <c r="BA170" s="63">
        <f>SUMIF('2026 AC'!$B$3:$B$254,"*"&amp;$D170&amp;"*",'2026 AC'!C$3:C$254)</f>
        <v>0</v>
      </c>
      <c r="BB170" s="53">
        <f>SUMIF('2026 AC'!$B$3:$B$254,"*"&amp;$D170&amp;"*",'2026 AC'!D$3:D$254)</f>
        <v>0</v>
      </c>
      <c r="BC170" s="53">
        <f>SUMIF('2026 AC'!$B$3:$B$254,"*"&amp;$D170&amp;"*",'2026 AC'!E$3:E$254)</f>
        <v>0</v>
      </c>
      <c r="BD170" s="53">
        <f>SUMIF('2026 AC'!$B$3:$B$254,"*"&amp;$D170&amp;"*",'2026 AC'!F$3:F$254)</f>
        <v>0</v>
      </c>
      <c r="BE170" s="53">
        <f>SUMIF('2026 AC'!$B$3:$B$254,"*"&amp;$D170&amp;"*",'2026 AC'!G$3:G$254)</f>
        <v>0</v>
      </c>
      <c r="BF170" s="53">
        <f>SUMIF('2026 AC'!$B$3:$B$254,"*"&amp;$D170&amp;"*",'2026 AC'!H$3:H$254)</f>
        <v>0</v>
      </c>
      <c r="BG170" s="53">
        <f>SUMIF('2026 AC'!$B$3:$B$254,"*"&amp;$D170&amp;"*",'2026 AC'!I$3:I$254)</f>
        <v>0</v>
      </c>
      <c r="BH170" s="53">
        <f>SUMIF('2026 AC'!$B$3:$B$254,"*"&amp;$D170&amp;"*",'2026 AC'!J$3:J$254)</f>
        <v>0</v>
      </c>
      <c r="BI170" s="53">
        <f>SUMIF('2026 AC'!$B$3:$B$254,"*"&amp;$D170&amp;"*",'2026 AC'!K$3:K$254)</f>
        <v>0</v>
      </c>
      <c r="BJ170" s="53">
        <f>SUMIF('2026 AC'!$B$3:$B$254,"*"&amp;$D170&amp;"*",'2026 AC'!L$3:L$254)</f>
        <v>0</v>
      </c>
      <c r="BK170" s="53">
        <f>SUMIF('2026 AC'!$B$3:$B$254,"*"&amp;$D170&amp;"*",'2026 AC'!M$3:M$254)</f>
        <v>0</v>
      </c>
      <c r="BL170" s="93">
        <f>SUMIF('2026 AC'!$B$3:$B$254,"*"&amp;$D170&amp;"*",'2026 AC'!N$3:N$254)</f>
        <v>0</v>
      </c>
      <c r="BM170" s="92">
        <f t="shared" si="139"/>
        <v>0</v>
      </c>
      <c r="BN170" s="93">
        <f t="shared" si="167"/>
        <v>0</v>
      </c>
      <c r="BO170" s="93">
        <f t="shared" si="168"/>
        <v>0</v>
      </c>
      <c r="BP170" s="93">
        <f t="shared" si="169"/>
        <v>0</v>
      </c>
      <c r="BQ170" s="93">
        <f t="shared" si="170"/>
        <v>0</v>
      </c>
      <c r="BR170" s="92">
        <f t="shared" si="171"/>
        <v>0</v>
      </c>
    </row>
    <row r="171" outlineLevel="1">
      <c r="A171" t="s">
        <v>418</v>
      </c>
      <c r="B171" t="s">
        <v>419</v>
      </c>
      <c r="C171" s="34" t="s">
        <v>420</v>
      </c>
      <c r="D171" s="35" t="s">
        <v>366</v>
      </c>
      <c r="E171" s="151">
        <f t="shared" si="182"/>
        <v>0</v>
      </c>
      <c r="F171" s="152">
        <f t="shared" si="183"/>
        <v>0</v>
      </c>
      <c r="G171" s="154">
        <f t="shared" si="197"/>
        <v>0</v>
      </c>
      <c r="H171" s="153">
        <f t="shared" si="185"/>
        <v>0</v>
      </c>
      <c r="I171" s="153">
        <f t="shared" si="186"/>
        <v>0</v>
      </c>
      <c r="J171" s="54" t="e">
        <f t="shared" ref="J171:J173" si="200">(H171-I171)/I171</f>
        <v>#DIV/0!</v>
      </c>
      <c r="K171" s="153">
        <f t="shared" si="187"/>
        <v>0</v>
      </c>
      <c r="L171" s="153">
        <f t="shared" si="188"/>
        <v>72.640000000000001</v>
      </c>
      <c r="M171" s="55">
        <f t="shared" ref="M171:M173" si="201">(K171-L171)/L171</f>
        <v>-1</v>
      </c>
      <c r="O171" s="63">
        <f>SUMIF('2024 AC'!$B$3:$B$250,"*"&amp;$D171&amp;"*",'2024 AC'!C$3:C$250)</f>
        <v>600</v>
      </c>
      <c r="P171" s="53">
        <f>SUMIF('2024 AC'!$B$3:$B$250,"*"&amp;$D171&amp;"*",'2024 AC'!D$3:D$250)</f>
        <v>0</v>
      </c>
      <c r="Q171" s="53">
        <f>SUMIF('2024 AC'!$B$3:$B$250,"*"&amp;$D171&amp;"*",'2024 AC'!E$3:E$250)</f>
        <v>0</v>
      </c>
      <c r="R171" s="53">
        <f>SUMIF('2024 AC'!$B$3:$B$250,"*"&amp;$D171&amp;"*",'2024 AC'!F$3:F$250)</f>
        <v>0</v>
      </c>
      <c r="S171" s="53">
        <f>SUMIF('2024 AC'!$B$3:$B$250,"*"&amp;$D171&amp;"*",'2024 AC'!G$3:G$250)</f>
        <v>2984</v>
      </c>
      <c r="T171" s="53">
        <f>SUMIF('2024 AC'!$B$3:$B$250,"*"&amp;$D171&amp;"*",'2024 AC'!H$3:H$250)</f>
        <v>136</v>
      </c>
      <c r="U171" s="53">
        <f>SUMIF('2024 AC'!$B$3:$B$250,"*"&amp;$D171&amp;"*",'2024 AC'!I$3:I$250)</f>
        <v>0</v>
      </c>
      <c r="V171" s="53">
        <f>SUMIF('2024 AC'!$B$3:$B$250,"*"&amp;$D171&amp;"*",'2024 AC'!J$3:J$250)</f>
        <v>0</v>
      </c>
      <c r="W171" s="53">
        <f>SUMIF('2024 AC'!$B$3:$B$250,"*"&amp;$D171&amp;"*",'2024 AC'!K$3:K$250)</f>
        <v>0</v>
      </c>
      <c r="X171" s="53">
        <f>SUMIF('2024 AC'!$B$3:$B$250,"*"&amp;$D171&amp;"*",'2024 AC'!L$3:L$250)</f>
        <v>0</v>
      </c>
      <c r="Y171" s="53">
        <f>SUMIF('2024 AC'!$B$3:$B$250,"*"&amp;$D171&amp;"*",'2024 AC'!M$3:M$250)</f>
        <v>0</v>
      </c>
      <c r="Z171" s="93">
        <f>SUMIF('2024 AC'!$B$3:$B$250,"*"&amp;$D171&amp;"*",'2024 AC'!N$3:N$250)</f>
        <v>0</v>
      </c>
      <c r="AA171" s="92">
        <f t="shared" si="156"/>
        <v>3720</v>
      </c>
      <c r="AB171" s="93">
        <f t="shared" si="157"/>
        <v>600</v>
      </c>
      <c r="AC171" s="93">
        <f t="shared" si="158"/>
        <v>3120</v>
      </c>
      <c r="AD171" s="93">
        <f t="shared" si="159"/>
        <v>0</v>
      </c>
      <c r="AE171" s="93">
        <f t="shared" si="160"/>
        <v>0</v>
      </c>
      <c r="AF171" s="92">
        <f t="shared" si="161"/>
        <v>3720</v>
      </c>
      <c r="AH171" s="63">
        <f>SUMIF('2025 AC'!$B$3:$B$250,"*"&amp;$D171&amp;"*",'2025 AC'!C$3:C$250)</f>
        <v>72.640000000000001</v>
      </c>
      <c r="AI171" s="53">
        <f>SUMIF('2025 AC'!$B$3:$B$250,"*"&amp;$D171&amp;"*",'2025 AC'!D$3:D$250)</f>
        <v>0</v>
      </c>
      <c r="AJ171" s="53">
        <f>SUMIF('2025 AC'!$B$3:$B$250,"*"&amp;$D171&amp;"*",'2025 AC'!E$3:E$250)</f>
        <v>0</v>
      </c>
      <c r="AK171" s="53">
        <f>SUMIF('2025 AC'!$B$3:$B$250,"*"&amp;$D171&amp;"*",'2025 AC'!F$3:F$250)</f>
        <v>0</v>
      </c>
      <c r="AL171" s="53">
        <f>SUMIF('2025 AC'!$B$3:$B$250,"*"&amp;$D171&amp;"*",'2025 AC'!G$3:G$250)</f>
        <v>0</v>
      </c>
      <c r="AM171" s="53">
        <f>SUMIF('2025 AC'!$B$3:$B$250,"*"&amp;$D171&amp;"*",'2025 AC'!H$3:H$250)</f>
        <v>0</v>
      </c>
      <c r="AN171" s="53">
        <f>SUMIF('2025 AC'!$B$3:$B$250,"*"&amp;$D171&amp;"*",'2025 AC'!I$3:I$250)</f>
        <v>0</v>
      </c>
      <c r="AO171" s="53">
        <f>SUMIF('2025 AC'!$B$3:$B$250,"*"&amp;$D171&amp;"*",'2025 AC'!J$3:J$250)</f>
        <v>0</v>
      </c>
      <c r="AP171" s="53">
        <f>SUMIF('2025 AC'!$B$3:$B$250,"*"&amp;$D171&amp;"*",'2025 AC'!K$3:K$250)</f>
        <v>0</v>
      </c>
      <c r="AQ171" s="53">
        <f>SUMIF('2025 AC'!$B$3:$B$250,"*"&amp;$D171&amp;"*",'2025 AC'!L$3:L$250)</f>
        <v>0</v>
      </c>
      <c r="AR171" s="53">
        <f>SUMIF('2025 AC'!$B$3:$B$250,"*"&amp;$D171&amp;"*",'2025 AC'!M$3:M$250)</f>
        <v>0</v>
      </c>
      <c r="AS171" s="53">
        <f>SUMIF('2025 AC'!$B$3:$B$250,"*"&amp;$D171&amp;"*",'2025 AC'!N$3:N$250)</f>
        <v>0</v>
      </c>
      <c r="AT171" s="94">
        <f t="shared" si="138"/>
        <v>72.640000000000001</v>
      </c>
      <c r="AU171" s="93">
        <f t="shared" si="162"/>
        <v>72.640000000000001</v>
      </c>
      <c r="AV171" s="93">
        <f t="shared" si="163"/>
        <v>0</v>
      </c>
      <c r="AW171" s="93">
        <f t="shared" si="164"/>
        <v>0</v>
      </c>
      <c r="AX171" s="93">
        <f t="shared" si="165"/>
        <v>0</v>
      </c>
      <c r="AY171" s="92">
        <f t="shared" si="166"/>
        <v>72.640000000000001</v>
      </c>
      <c r="BA171" s="63">
        <f>SUMIF('2026 AC'!$B$3:$B$254,"*"&amp;$D171&amp;"*",'2026 AC'!C$3:C$254)</f>
        <v>0</v>
      </c>
      <c r="BB171" s="53">
        <f>SUMIF('2026 AC'!$B$3:$B$254,"*"&amp;$D171&amp;"*",'2026 AC'!D$3:D$254)</f>
        <v>0</v>
      </c>
      <c r="BC171" s="53">
        <f>SUMIF('2026 AC'!$B$3:$B$254,"*"&amp;$D171&amp;"*",'2026 AC'!E$3:E$254)</f>
        <v>0</v>
      </c>
      <c r="BD171" s="53">
        <f>SUMIF('2026 AC'!$B$3:$B$254,"*"&amp;$D171&amp;"*",'2026 AC'!F$3:F$254)</f>
        <v>0</v>
      </c>
      <c r="BE171" s="53">
        <f>SUMIF('2026 AC'!$B$3:$B$254,"*"&amp;$D171&amp;"*",'2026 AC'!G$3:G$254)</f>
        <v>0</v>
      </c>
      <c r="BF171" s="53">
        <f>SUMIF('2026 AC'!$B$3:$B$254,"*"&amp;$D171&amp;"*",'2026 AC'!H$3:H$254)</f>
        <v>0</v>
      </c>
      <c r="BG171" s="53">
        <f>SUMIF('2026 AC'!$B$3:$B$254,"*"&amp;$D171&amp;"*",'2026 AC'!I$3:I$254)</f>
        <v>0</v>
      </c>
      <c r="BH171" s="53">
        <f>SUMIF('2026 AC'!$B$3:$B$254,"*"&amp;$D171&amp;"*",'2026 AC'!J$3:J$254)</f>
        <v>0</v>
      </c>
      <c r="BI171" s="53">
        <f>SUMIF('2026 AC'!$B$3:$B$254,"*"&amp;$D171&amp;"*",'2026 AC'!K$3:K$254)</f>
        <v>0</v>
      </c>
      <c r="BJ171" s="53">
        <f>SUMIF('2026 AC'!$B$3:$B$254,"*"&amp;$D171&amp;"*",'2026 AC'!L$3:L$254)</f>
        <v>0</v>
      </c>
      <c r="BK171" s="53">
        <f>SUMIF('2026 AC'!$B$3:$B$254,"*"&amp;$D171&amp;"*",'2026 AC'!M$3:M$254)</f>
        <v>0</v>
      </c>
      <c r="BL171" s="93">
        <f>SUMIF('2026 AC'!$B$3:$B$254,"*"&amp;$D171&amp;"*",'2026 AC'!N$3:N$254)</f>
        <v>0</v>
      </c>
      <c r="BM171" s="92">
        <f t="shared" si="139"/>
        <v>0</v>
      </c>
      <c r="BN171" s="93">
        <f t="shared" si="167"/>
        <v>0</v>
      </c>
      <c r="BO171" s="93">
        <f t="shared" si="168"/>
        <v>0</v>
      </c>
      <c r="BP171" s="93">
        <f t="shared" si="169"/>
        <v>0</v>
      </c>
      <c r="BQ171" s="93">
        <f t="shared" si="170"/>
        <v>0</v>
      </c>
      <c r="BR171" s="92">
        <f t="shared" si="171"/>
        <v>0</v>
      </c>
    </row>
    <row r="172" outlineLevel="1">
      <c r="A172" t="s">
        <v>421</v>
      </c>
      <c r="B172" t="s">
        <v>422</v>
      </c>
      <c r="C172" s="34" t="s">
        <v>423</v>
      </c>
      <c r="D172" s="35" t="s">
        <v>370</v>
      </c>
      <c r="E172" s="151">
        <f t="shared" si="182"/>
        <v>1271.28</v>
      </c>
      <c r="F172" s="152">
        <f t="shared" si="183"/>
        <v>1871.0799999999999</v>
      </c>
      <c r="G172" s="54">
        <f t="shared" ref="G172:G175" si="202">(E172-F172)/F172</f>
        <v>-0.32056352480920108</v>
      </c>
      <c r="H172" s="153">
        <f t="shared" si="185"/>
        <v>6291.0899999999992</v>
      </c>
      <c r="I172" s="153">
        <f t="shared" si="186"/>
        <v>5000.8199999999997</v>
      </c>
      <c r="J172" s="54">
        <f t="shared" si="200"/>
        <v>0.25801168608348224</v>
      </c>
      <c r="K172" s="153">
        <f t="shared" si="187"/>
        <v>13918.230000000001</v>
      </c>
      <c r="L172" s="153">
        <f t="shared" si="188"/>
        <v>10965.18</v>
      </c>
      <c r="M172" s="55">
        <f t="shared" si="201"/>
        <v>0.26931158448835324</v>
      </c>
      <c r="O172" s="63">
        <f>SUMIF('2024 AC'!$B$3:$B$250,"*"&amp;$D172&amp;"*",'2024 AC'!C$3:C$250)</f>
        <v>3057.1100000000001</v>
      </c>
      <c r="P172" s="53">
        <f>SUMIF('2024 AC'!$B$3:$B$250,"*"&amp;$D172&amp;"*",'2024 AC'!D$3:D$250)</f>
        <v>1128.9300000000001</v>
      </c>
      <c r="Q172" s="53">
        <f>SUMIF('2024 AC'!$B$3:$B$250,"*"&amp;$D172&amp;"*",'2024 AC'!E$3:E$250)</f>
        <v>1472.8</v>
      </c>
      <c r="R172" s="53">
        <f>SUMIF('2024 AC'!$B$3:$B$250,"*"&amp;$D172&amp;"*",'2024 AC'!F$3:F$250)</f>
        <v>2000.6099999999999</v>
      </c>
      <c r="S172" s="53">
        <f>SUMIF('2024 AC'!$B$3:$B$250,"*"&amp;$D172&amp;"*",'2024 AC'!G$3:G$250)</f>
        <v>3122.8600000000001</v>
      </c>
      <c r="T172" s="53">
        <f>SUMIF('2024 AC'!$B$3:$B$250,"*"&amp;$D172&amp;"*",'2024 AC'!H$3:H$250)</f>
        <v>5459.6400000000003</v>
      </c>
      <c r="U172" s="53">
        <f>SUMIF('2024 AC'!$B$3:$B$250,"*"&amp;$D172&amp;"*",'2024 AC'!I$3:I$250)</f>
        <v>4158.9300000000003</v>
      </c>
      <c r="V172" s="53">
        <f>SUMIF('2024 AC'!$B$3:$B$250,"*"&amp;$D172&amp;"*",'2024 AC'!J$3:J$250)</f>
        <v>2416.3499999999999</v>
      </c>
      <c r="W172" s="53">
        <f>SUMIF('2024 AC'!$B$3:$B$250,"*"&amp;$D172&amp;"*",'2024 AC'!K$3:K$250)</f>
        <v>2360.9499999999998</v>
      </c>
      <c r="X172" s="53">
        <f>SUMIF('2024 AC'!$B$3:$B$250,"*"&amp;$D172&amp;"*",'2024 AC'!L$3:L$250)</f>
        <v>1999.3399999999999</v>
      </c>
      <c r="Y172" s="53">
        <f>SUMIF('2024 AC'!$B$3:$B$250,"*"&amp;$D172&amp;"*",'2024 AC'!M$3:M$250)</f>
        <v>6489.7399999999998</v>
      </c>
      <c r="Z172" s="93">
        <f>SUMIF('2024 AC'!$B$3:$B$250,"*"&amp;$D172&amp;"*",'2024 AC'!N$3:N$250)</f>
        <v>2062.5300000000002</v>
      </c>
      <c r="AA172" s="92">
        <f t="shared" si="156"/>
        <v>35729.790000000001</v>
      </c>
      <c r="AB172" s="93">
        <f t="shared" si="157"/>
        <v>5658.8400000000001</v>
      </c>
      <c r="AC172" s="93">
        <f t="shared" si="158"/>
        <v>10583.110000000001</v>
      </c>
      <c r="AD172" s="93">
        <f t="shared" si="159"/>
        <v>8936.2299999999996</v>
      </c>
      <c r="AE172" s="93">
        <f t="shared" si="160"/>
        <v>10551.610000000001</v>
      </c>
      <c r="AF172" s="92">
        <f t="shared" si="161"/>
        <v>35729.790000000001</v>
      </c>
      <c r="AH172" s="63">
        <f>SUMIF('2025 AC'!$B$3:$B$250,"*"&amp;$D172&amp;"*",'2025 AC'!C$3:C$250)</f>
        <v>1747.04</v>
      </c>
      <c r="AI172" s="53">
        <f>SUMIF('2025 AC'!$B$3:$B$250,"*"&amp;$D172&amp;"*",'2025 AC'!D$3:D$250)</f>
        <v>1120.6900000000001</v>
      </c>
      <c r="AJ172" s="53">
        <f>SUMIF('2025 AC'!$B$3:$B$250,"*"&amp;$D172&amp;"*",'2025 AC'!E$3:E$250)</f>
        <v>3096.6300000000001</v>
      </c>
      <c r="AK172" s="53">
        <f>SUMIF('2025 AC'!$B$3:$B$250,"*"&amp;$D172&amp;"*",'2025 AC'!F$3:F$250)</f>
        <v>1899.28</v>
      </c>
      <c r="AL172" s="53">
        <f>SUMIF('2025 AC'!$B$3:$B$250,"*"&amp;$D172&amp;"*",'2025 AC'!G$3:G$250)</f>
        <v>1230.46</v>
      </c>
      <c r="AM172" s="53">
        <f>SUMIF('2025 AC'!$B$3:$B$250,"*"&amp;$D172&amp;"*",'2025 AC'!H$3:H$250)</f>
        <v>1871.0799999999999</v>
      </c>
      <c r="AN172" s="53">
        <f>SUMIF('2025 AC'!$B$3:$B$250,"*"&amp;$D172&amp;"*",'2025 AC'!I$3:I$250)</f>
        <v>1257.73</v>
      </c>
      <c r="AO172" s="53">
        <f>SUMIF('2025 AC'!$B$3:$B$250,"*"&amp;$D172&amp;"*",'2025 AC'!J$3:J$250)</f>
        <v>2169.3600000000001</v>
      </c>
      <c r="AP172" s="53">
        <f>SUMIF('2025 AC'!$B$3:$B$250,"*"&amp;$D172&amp;"*",'2025 AC'!K$3:K$250)</f>
        <v>1762.73</v>
      </c>
      <c r="AQ172" s="53">
        <f>SUMIF('2025 AC'!$B$3:$B$250,"*"&amp;$D172&amp;"*",'2025 AC'!L$3:L$250)</f>
        <v>10975.709999999999</v>
      </c>
      <c r="AR172" s="53">
        <f>SUMIF('2025 AC'!$B$3:$B$250,"*"&amp;$D172&amp;"*",'2025 AC'!M$3:M$250)</f>
        <v>1111.96</v>
      </c>
      <c r="AS172" s="53">
        <f>SUMIF('2025 AC'!$B$3:$B$250,"*"&amp;$D172&amp;"*",'2025 AC'!N$3:N$250)</f>
        <v>3453.6100000000001</v>
      </c>
      <c r="AT172" s="94">
        <f t="shared" si="138"/>
        <v>31696.279999999999</v>
      </c>
      <c r="AU172" s="93">
        <f t="shared" si="162"/>
        <v>5964.3600000000006</v>
      </c>
      <c r="AV172" s="93">
        <f t="shared" si="163"/>
        <v>5000.8199999999997</v>
      </c>
      <c r="AW172" s="93">
        <f t="shared" si="164"/>
        <v>5189.8199999999997</v>
      </c>
      <c r="AX172" s="93">
        <f t="shared" si="165"/>
        <v>15541.279999999999</v>
      </c>
      <c r="AY172" s="92">
        <f t="shared" si="166"/>
        <v>31696.279999999999</v>
      </c>
      <c r="BA172" s="63">
        <f>SUMIF('2026 AC'!$B$3:$B$254,"*"&amp;$D172&amp;"*",'2026 AC'!C$3:C$254)</f>
        <v>3047.0599999999999</v>
      </c>
      <c r="BB172" s="53">
        <f>SUMIF('2026 AC'!$B$3:$B$254,"*"&amp;$D172&amp;"*",'2026 AC'!D$3:D$254)</f>
        <v>1691.04</v>
      </c>
      <c r="BC172" s="53">
        <f>SUMIF('2026 AC'!$B$3:$B$254,"*"&amp;$D172&amp;"*",'2026 AC'!E$3:E$254)</f>
        <v>2889.04</v>
      </c>
      <c r="BD172" s="53">
        <f>SUMIF('2026 AC'!$B$3:$B$254,"*"&amp;$D172&amp;"*",'2026 AC'!F$3:F$254)</f>
        <v>3112.48</v>
      </c>
      <c r="BE172" s="53">
        <f>SUMIF('2026 AC'!$B$3:$B$254,"*"&amp;$D172&amp;"*",'2026 AC'!G$3:G$254)</f>
        <v>1907.3299999999999</v>
      </c>
      <c r="BF172" s="53">
        <f>SUMIF('2026 AC'!$B$3:$B$254,"*"&amp;$D172&amp;"*",'2026 AC'!H$3:H$254)</f>
        <v>1271.28</v>
      </c>
      <c r="BG172" s="53">
        <f>SUMIF('2026 AC'!$B$3:$B$254,"*"&amp;$D172&amp;"*",'2026 AC'!I$3:I$254)</f>
        <v>0</v>
      </c>
      <c r="BH172" s="53">
        <f>SUMIF('2026 AC'!$B$3:$B$254,"*"&amp;$D172&amp;"*",'2026 AC'!J$3:J$254)</f>
        <v>0</v>
      </c>
      <c r="BI172" s="53">
        <f>SUMIF('2026 AC'!$B$3:$B$254,"*"&amp;$D172&amp;"*",'2026 AC'!K$3:K$254)</f>
        <v>0</v>
      </c>
      <c r="BJ172" s="53">
        <f>SUMIF('2026 AC'!$B$3:$B$254,"*"&amp;$D172&amp;"*",'2026 AC'!L$3:L$254)</f>
        <v>0</v>
      </c>
      <c r="BK172" s="53">
        <f>SUMIF('2026 AC'!$B$3:$B$254,"*"&amp;$D172&amp;"*",'2026 AC'!M$3:M$254)</f>
        <v>0</v>
      </c>
      <c r="BL172" s="93">
        <f>SUMIF('2026 AC'!$B$3:$B$254,"*"&amp;$D172&amp;"*",'2026 AC'!N$3:N$254)</f>
        <v>0</v>
      </c>
      <c r="BM172" s="92">
        <f t="shared" si="139"/>
        <v>13918.230000000001</v>
      </c>
      <c r="BN172" s="93">
        <f t="shared" si="167"/>
        <v>7627.1400000000003</v>
      </c>
      <c r="BO172" s="93">
        <f t="shared" si="168"/>
        <v>6291.0899999999992</v>
      </c>
      <c r="BP172" s="93">
        <f t="shared" si="169"/>
        <v>0</v>
      </c>
      <c r="BQ172" s="93">
        <f t="shared" si="170"/>
        <v>0</v>
      </c>
      <c r="BR172" s="92">
        <f t="shared" si="171"/>
        <v>13918.23</v>
      </c>
    </row>
    <row r="173" outlineLevel="1">
      <c r="A173" t="s">
        <v>424</v>
      </c>
      <c r="B173" t="s">
        <v>425</v>
      </c>
      <c r="C173" s="34" t="s">
        <v>426</v>
      </c>
      <c r="D173" s="35" t="s">
        <v>381</v>
      </c>
      <c r="E173" s="151">
        <f t="shared" si="182"/>
        <v>2900</v>
      </c>
      <c r="F173" s="152">
        <f t="shared" si="183"/>
        <v>3067.1999999999998</v>
      </c>
      <c r="G173" s="54">
        <f t="shared" si="202"/>
        <v>-5.4512258737610793e-02</v>
      </c>
      <c r="H173" s="153">
        <f t="shared" si="185"/>
        <v>8700</v>
      </c>
      <c r="I173" s="153">
        <f t="shared" si="186"/>
        <v>9633.5999999999985</v>
      </c>
      <c r="J173" s="54">
        <f t="shared" si="200"/>
        <v>-9.6910812157448789e-02</v>
      </c>
      <c r="K173" s="153">
        <f t="shared" si="187"/>
        <v>20767.200000000001</v>
      </c>
      <c r="L173" s="153">
        <f t="shared" si="188"/>
        <v>20779.200000000001</v>
      </c>
      <c r="M173" s="55">
        <f t="shared" si="201"/>
        <v>-5.7750057750057752e-04</v>
      </c>
      <c r="O173" s="63">
        <f>SUMIF('2024 AC'!$B$3:$B$250,"*"&amp;$D173&amp;"*",'2024 AC'!C$3:C$250)</f>
        <v>2600</v>
      </c>
      <c r="P173" s="53">
        <f>SUMIF('2024 AC'!$B$3:$B$250,"*"&amp;$D173&amp;"*",'2024 AC'!D$3:D$250)</f>
        <v>2600</v>
      </c>
      <c r="Q173" s="53">
        <f>SUMIF('2024 AC'!$B$3:$B$250,"*"&amp;$D173&amp;"*",'2024 AC'!E$3:E$250)</f>
        <v>0</v>
      </c>
      <c r="R173" s="53">
        <f>SUMIF('2024 AC'!$B$3:$B$250,"*"&amp;$D173&amp;"*",'2024 AC'!F$3:F$250)</f>
        <v>2808</v>
      </c>
      <c r="S173" s="53">
        <f>SUMIF('2024 AC'!$B$3:$B$250,"*"&amp;$D173&amp;"*",'2024 AC'!G$3:G$250)</f>
        <v>10008</v>
      </c>
      <c r="T173" s="53">
        <f>SUMIF('2024 AC'!$B$3:$B$250,"*"&amp;$D173&amp;"*",'2024 AC'!H$3:H$250)</f>
        <v>2808</v>
      </c>
      <c r="U173" s="53">
        <f>SUMIF('2024 AC'!$B$3:$B$250,"*"&amp;$D173&amp;"*",'2024 AC'!I$3:I$250)</f>
        <v>2808</v>
      </c>
      <c r="V173" s="53">
        <f>SUMIF('2024 AC'!$B$3:$B$250,"*"&amp;$D173&amp;"*",'2024 AC'!J$3:J$250)</f>
        <v>2808</v>
      </c>
      <c r="W173" s="53">
        <f>SUMIF('2024 AC'!$B$3:$B$250,"*"&amp;$D173&amp;"*",'2024 AC'!K$3:K$250)</f>
        <v>2808</v>
      </c>
      <c r="X173" s="53">
        <f>SUMIF('2024 AC'!$B$3:$B$250,"*"&amp;$D173&amp;"*",'2024 AC'!L$3:L$250)</f>
        <v>3067.1999999999998</v>
      </c>
      <c r="Y173" s="53">
        <f>SUMIF('2024 AC'!$B$3:$B$250,"*"&amp;$D173&amp;"*",'2024 AC'!M$3:M$250)</f>
        <v>1620</v>
      </c>
      <c r="Z173" s="93">
        <f>SUMIF('2024 AC'!$B$3:$B$250,"*"&amp;$D173&amp;"*",'2024 AC'!N$3:N$250)</f>
        <v>3067.1999999999998</v>
      </c>
      <c r="AA173" s="92">
        <f t="shared" si="156"/>
        <v>37002.399999999994</v>
      </c>
      <c r="AB173" s="93">
        <f t="shared" si="157"/>
        <v>5200</v>
      </c>
      <c r="AC173" s="93">
        <f t="shared" si="158"/>
        <v>15624</v>
      </c>
      <c r="AD173" s="93">
        <f t="shared" si="159"/>
        <v>8424</v>
      </c>
      <c r="AE173" s="93">
        <f t="shared" si="160"/>
        <v>7754.3999999999996</v>
      </c>
      <c r="AF173" s="92">
        <f t="shared" si="161"/>
        <v>37002.400000000001</v>
      </c>
      <c r="AH173" s="63">
        <f>SUMIF('2025 AC'!$B$3:$B$250,"*"&amp;$D173&amp;"*",'2025 AC'!C$3:C$250)</f>
        <v>5011.1999999999998</v>
      </c>
      <c r="AI173" s="53">
        <f>SUMIF('2025 AC'!$B$3:$B$250,"*"&amp;$D173&amp;"*",'2025 AC'!D$3:D$250)</f>
        <v>3067.1999999999998</v>
      </c>
      <c r="AJ173" s="53">
        <f>SUMIF('2025 AC'!$B$3:$B$250,"*"&amp;$D173&amp;"*",'2025 AC'!E$3:E$250)</f>
        <v>3067.1999999999998</v>
      </c>
      <c r="AK173" s="53">
        <f>SUMIF('2025 AC'!$B$3:$B$250,"*"&amp;$D173&amp;"*",'2025 AC'!F$3:F$250)</f>
        <v>3499.1999999999998</v>
      </c>
      <c r="AL173" s="53">
        <f>SUMIF('2025 AC'!$B$3:$B$250,"*"&amp;$D173&amp;"*",'2025 AC'!G$3:G$250)</f>
        <v>3067.1999999999998</v>
      </c>
      <c r="AM173" s="53">
        <f>SUMIF('2025 AC'!$B$3:$B$250,"*"&amp;$D173&amp;"*",'2025 AC'!H$3:H$250)</f>
        <v>3067.1999999999998</v>
      </c>
      <c r="AN173" s="53">
        <f>SUMIF('2025 AC'!$B$3:$B$250,"*"&amp;$D173&amp;"*",'2025 AC'!I$3:I$250)</f>
        <v>3067.1999999999998</v>
      </c>
      <c r="AO173" s="53">
        <f>SUMIF('2025 AC'!$B$3:$B$250,"*"&amp;$D173&amp;"*",'2025 AC'!J$3:J$250)</f>
        <v>3067.1999999999998</v>
      </c>
      <c r="AP173" s="53">
        <f>SUMIF('2025 AC'!$B$3:$B$250,"*"&amp;$D173&amp;"*",'2025 AC'!K$3:K$250)</f>
        <v>3067.1999999999998</v>
      </c>
      <c r="AQ173" s="53">
        <f>SUMIF('2025 AC'!$B$3:$B$250,"*"&amp;$D173&amp;"*",'2025 AC'!L$3:L$250)</f>
        <v>3067.1999999999998</v>
      </c>
      <c r="AR173" s="53">
        <f>SUMIF('2025 AC'!$B$3:$B$250,"*"&amp;$D173&amp;"*",'2025 AC'!M$3:M$250)</f>
        <v>2900</v>
      </c>
      <c r="AS173" s="53">
        <f>SUMIF('2025 AC'!$B$3:$B$250,"*"&amp;$D173&amp;"*",'2025 AC'!N$3:N$250)</f>
        <v>2900</v>
      </c>
      <c r="AT173" s="94">
        <f t="shared" si="138"/>
        <v>38848</v>
      </c>
      <c r="AU173" s="93">
        <f t="shared" si="162"/>
        <v>11145.599999999999</v>
      </c>
      <c r="AV173" s="93">
        <f t="shared" si="163"/>
        <v>9633.5999999999985</v>
      </c>
      <c r="AW173" s="93">
        <f t="shared" si="164"/>
        <v>9201.5999999999985</v>
      </c>
      <c r="AX173" s="93">
        <f t="shared" si="165"/>
        <v>8867.2000000000007</v>
      </c>
      <c r="AY173" s="92">
        <f t="shared" si="166"/>
        <v>38848</v>
      </c>
      <c r="BA173" s="63">
        <f>SUMIF('2026 AC'!$B$3:$B$254,"*"&amp;$D173&amp;"*",'2026 AC'!C$3:C$254)</f>
        <v>2900</v>
      </c>
      <c r="BB173" s="53">
        <f>SUMIF('2026 AC'!$B$3:$B$254,"*"&amp;$D173&amp;"*",'2026 AC'!D$3:D$254)</f>
        <v>6267.1999999999998</v>
      </c>
      <c r="BC173" s="53">
        <f>SUMIF('2026 AC'!$B$3:$B$254,"*"&amp;$D173&amp;"*",'2026 AC'!E$3:E$254)</f>
        <v>2900</v>
      </c>
      <c r="BD173" s="53">
        <f>SUMIF('2026 AC'!$B$3:$B$254,"*"&amp;$D173&amp;"*",'2026 AC'!F$3:F$254)</f>
        <v>2900</v>
      </c>
      <c r="BE173" s="53">
        <f>SUMIF('2026 AC'!$B$3:$B$254,"*"&amp;$D173&amp;"*",'2026 AC'!G$3:G$254)</f>
        <v>2900</v>
      </c>
      <c r="BF173" s="53">
        <f>SUMIF('2026 AC'!$B$3:$B$254,"*"&amp;$D173&amp;"*",'2026 AC'!H$3:H$254)</f>
        <v>2900</v>
      </c>
      <c r="BG173" s="53">
        <f>SUMIF('2026 AC'!$B$3:$B$254,"*"&amp;$D173&amp;"*",'2026 AC'!I$3:I$254)</f>
        <v>0</v>
      </c>
      <c r="BH173" s="53">
        <f>SUMIF('2026 AC'!$B$3:$B$254,"*"&amp;$D173&amp;"*",'2026 AC'!J$3:J$254)</f>
        <v>0</v>
      </c>
      <c r="BI173" s="53">
        <f>SUMIF('2026 AC'!$B$3:$B$254,"*"&amp;$D173&amp;"*",'2026 AC'!K$3:K$254)</f>
        <v>0</v>
      </c>
      <c r="BJ173" s="53">
        <f>SUMIF('2026 AC'!$B$3:$B$254,"*"&amp;$D173&amp;"*",'2026 AC'!L$3:L$254)</f>
        <v>0</v>
      </c>
      <c r="BK173" s="53">
        <f>SUMIF('2026 AC'!$B$3:$B$254,"*"&amp;$D173&amp;"*",'2026 AC'!M$3:M$254)</f>
        <v>0</v>
      </c>
      <c r="BL173" s="93">
        <f>SUMIF('2026 AC'!$B$3:$B$254,"*"&amp;$D173&amp;"*",'2026 AC'!N$3:N$254)</f>
        <v>0</v>
      </c>
      <c r="BM173" s="92">
        <f t="shared" si="139"/>
        <v>20767.200000000001</v>
      </c>
      <c r="BN173" s="93">
        <f t="shared" si="167"/>
        <v>12067.200000000001</v>
      </c>
      <c r="BO173" s="93">
        <f t="shared" si="168"/>
        <v>8700</v>
      </c>
      <c r="BP173" s="93">
        <f t="shared" si="169"/>
        <v>0</v>
      </c>
      <c r="BQ173" s="93">
        <f t="shared" si="170"/>
        <v>0</v>
      </c>
      <c r="BR173" s="92">
        <f t="shared" si="171"/>
        <v>20767.200000000001</v>
      </c>
    </row>
    <row r="174" outlineLevel="1">
      <c r="A174" t="s">
        <v>427</v>
      </c>
      <c r="B174" t="s">
        <v>428</v>
      </c>
      <c r="C174" s="34" t="s">
        <v>429</v>
      </c>
      <c r="D174" s="35" t="s">
        <v>389</v>
      </c>
      <c r="E174" s="151">
        <f t="shared" si="182"/>
        <v>0</v>
      </c>
      <c r="F174" s="152">
        <f t="shared" si="183"/>
        <v>550</v>
      </c>
      <c r="G174" s="154">
        <f>IFERROR((E174-F174)/F174,0)</f>
        <v>-1</v>
      </c>
      <c r="H174" s="153">
        <f t="shared" si="185"/>
        <v>2500</v>
      </c>
      <c r="I174" s="153">
        <f t="shared" si="186"/>
        <v>690</v>
      </c>
      <c r="J174" s="154">
        <f>IFERROR((H174-I174)/I174,0)</f>
        <v>2.6231884057971016</v>
      </c>
      <c r="K174" s="153">
        <f t="shared" si="187"/>
        <v>2500</v>
      </c>
      <c r="L174" s="153">
        <f t="shared" si="188"/>
        <v>690</v>
      </c>
      <c r="M174" s="155">
        <f>IFERROR((K174-L174)/L174,0)</f>
        <v>2.6231884057971016</v>
      </c>
      <c r="O174" s="63">
        <f>SUMIF('2024 AC'!$B$3:$B$250,"*"&amp;$D174&amp;"*",'2024 AC'!C$3:C$250)</f>
        <v>0</v>
      </c>
      <c r="P174" s="53">
        <f>SUMIF('2024 AC'!$B$3:$B$250,"*"&amp;$D174&amp;"*",'2024 AC'!D$3:D$250)</f>
        <v>1891.8</v>
      </c>
      <c r="Q174" s="53">
        <f>SUMIF('2024 AC'!$B$3:$B$250,"*"&amp;$D174&amp;"*",'2024 AC'!E$3:E$250)</f>
        <v>37.899999999999999</v>
      </c>
      <c r="R174" s="53">
        <f>SUMIF('2024 AC'!$B$3:$B$250,"*"&amp;$D174&amp;"*",'2024 AC'!F$3:F$250)</f>
        <v>199</v>
      </c>
      <c r="S174" s="53">
        <f>SUMIF('2024 AC'!$B$3:$B$250,"*"&amp;$D174&amp;"*",'2024 AC'!G$3:G$250)</f>
        <v>0</v>
      </c>
      <c r="T174" s="53">
        <f>SUMIF('2024 AC'!$B$3:$B$250,"*"&amp;$D174&amp;"*",'2024 AC'!H$3:H$250)</f>
        <v>946.79999999999995</v>
      </c>
      <c r="U174" s="53">
        <f>SUMIF('2024 AC'!$B$3:$B$250,"*"&amp;$D174&amp;"*",'2024 AC'!I$3:I$250)</f>
        <v>110</v>
      </c>
      <c r="V174" s="53">
        <f>SUMIF('2024 AC'!$B$3:$B$250,"*"&amp;$D174&amp;"*",'2024 AC'!J$3:J$250)</f>
        <v>0</v>
      </c>
      <c r="W174" s="53">
        <f>SUMIF('2024 AC'!$B$3:$B$250,"*"&amp;$D174&amp;"*",'2024 AC'!K$3:K$250)</f>
        <v>949.32000000000005</v>
      </c>
      <c r="X174" s="53">
        <f>SUMIF('2024 AC'!$B$3:$B$250,"*"&amp;$D174&amp;"*",'2024 AC'!L$3:L$250)</f>
        <v>0</v>
      </c>
      <c r="Y174" s="53">
        <f>SUMIF('2024 AC'!$B$3:$B$250,"*"&amp;$D174&amp;"*",'2024 AC'!M$3:M$250)</f>
        <v>0</v>
      </c>
      <c r="Z174" s="93">
        <f>SUMIF('2024 AC'!$B$3:$B$250,"*"&amp;$D174&amp;"*",'2024 AC'!N$3:N$250)</f>
        <v>0</v>
      </c>
      <c r="AA174" s="92">
        <f t="shared" si="156"/>
        <v>4134.8199999999997</v>
      </c>
      <c r="AB174" s="93">
        <f t="shared" si="157"/>
        <v>1929.7</v>
      </c>
      <c r="AC174" s="93">
        <f t="shared" si="158"/>
        <v>1145.8</v>
      </c>
      <c r="AD174" s="93">
        <f t="shared" si="159"/>
        <v>1059.3200000000002</v>
      </c>
      <c r="AE174" s="93">
        <f t="shared" si="160"/>
        <v>0</v>
      </c>
      <c r="AF174" s="92">
        <f t="shared" si="161"/>
        <v>4134.8199999999997</v>
      </c>
      <c r="AH174" s="63">
        <f>SUMIF('2025 AC'!$B$3:$B$250,"*"&amp;$D174&amp;"*",'2025 AC'!C$3:C$250)</f>
        <v>0</v>
      </c>
      <c r="AI174" s="53">
        <f>SUMIF('2025 AC'!$B$3:$B$250,"*"&amp;$D174&amp;"*",'2025 AC'!D$3:D$250)</f>
        <v>0</v>
      </c>
      <c r="AJ174" s="53">
        <f>SUMIF('2025 AC'!$B$3:$B$250,"*"&amp;$D174&amp;"*",'2025 AC'!E$3:E$250)</f>
        <v>0</v>
      </c>
      <c r="AK174" s="53">
        <f>SUMIF('2025 AC'!$B$3:$B$250,"*"&amp;$D174&amp;"*",'2025 AC'!F$3:F$250)</f>
        <v>140</v>
      </c>
      <c r="AL174" s="53">
        <f>SUMIF('2025 AC'!$B$3:$B$250,"*"&amp;$D174&amp;"*",'2025 AC'!G$3:G$250)</f>
        <v>0</v>
      </c>
      <c r="AM174" s="53">
        <f>SUMIF('2025 AC'!$B$3:$B$250,"*"&amp;$D174&amp;"*",'2025 AC'!H$3:H$250)</f>
        <v>550</v>
      </c>
      <c r="AN174" s="53">
        <f>SUMIF('2025 AC'!$B$3:$B$250,"*"&amp;$D174&amp;"*",'2025 AC'!I$3:I$250)</f>
        <v>0</v>
      </c>
      <c r="AO174" s="53">
        <f>SUMIF('2025 AC'!$B$3:$B$250,"*"&amp;$D174&amp;"*",'2025 AC'!J$3:J$250)</f>
        <v>0</v>
      </c>
      <c r="AP174" s="53">
        <f>SUMIF('2025 AC'!$B$3:$B$250,"*"&amp;$D174&amp;"*",'2025 AC'!K$3:K$250)</f>
        <v>0</v>
      </c>
      <c r="AQ174" s="53">
        <f>SUMIF('2025 AC'!$B$3:$B$250,"*"&amp;$D174&amp;"*",'2025 AC'!L$3:L$250)</f>
        <v>2896</v>
      </c>
      <c r="AR174" s="53">
        <f>SUMIF('2025 AC'!$B$3:$B$250,"*"&amp;$D174&amp;"*",'2025 AC'!M$3:M$250)</f>
        <v>0</v>
      </c>
      <c r="AS174" s="53">
        <f>SUMIF('2025 AC'!$B$3:$B$250,"*"&amp;$D174&amp;"*",'2025 AC'!N$3:N$250)</f>
        <v>3780</v>
      </c>
      <c r="AT174" s="94">
        <f t="shared" si="138"/>
        <v>7366</v>
      </c>
      <c r="AU174" s="93">
        <f t="shared" si="162"/>
        <v>0</v>
      </c>
      <c r="AV174" s="93">
        <f t="shared" si="163"/>
        <v>690</v>
      </c>
      <c r="AW174" s="93">
        <f t="shared" si="164"/>
        <v>0</v>
      </c>
      <c r="AX174" s="93">
        <f t="shared" si="165"/>
        <v>6676</v>
      </c>
      <c r="AY174" s="92">
        <f t="shared" si="166"/>
        <v>7366</v>
      </c>
      <c r="BA174" s="63">
        <f>SUMIF('2026 AC'!$B$3:$B$254,"*"&amp;$D174&amp;"*",'2026 AC'!C$3:C$254)</f>
        <v>0</v>
      </c>
      <c r="BB174" s="53">
        <f>SUMIF('2026 AC'!$B$3:$B$254,"*"&amp;$D174&amp;"*",'2026 AC'!D$3:D$254)</f>
        <v>0</v>
      </c>
      <c r="BC174" s="53">
        <f>SUMIF('2026 AC'!$B$3:$B$254,"*"&amp;$D174&amp;"*",'2026 AC'!E$3:E$254)</f>
        <v>0</v>
      </c>
      <c r="BD174" s="53">
        <f>SUMIF('2026 AC'!$B$3:$B$254,"*"&amp;$D174&amp;"*",'2026 AC'!F$3:F$254)</f>
        <v>2500</v>
      </c>
      <c r="BE174" s="53">
        <f>SUMIF('2026 AC'!$B$3:$B$254,"*"&amp;$D174&amp;"*",'2026 AC'!G$3:G$254)</f>
        <v>0</v>
      </c>
      <c r="BF174" s="53">
        <f>SUMIF('2026 AC'!$B$3:$B$254,"*"&amp;$D174&amp;"*",'2026 AC'!H$3:H$254)</f>
        <v>0</v>
      </c>
      <c r="BG174" s="53">
        <f>SUMIF('2026 AC'!$B$3:$B$254,"*"&amp;$D174&amp;"*",'2026 AC'!I$3:I$254)</f>
        <v>0</v>
      </c>
      <c r="BH174" s="53">
        <f>SUMIF('2026 AC'!$B$3:$B$254,"*"&amp;$D174&amp;"*",'2026 AC'!J$3:J$254)</f>
        <v>0</v>
      </c>
      <c r="BI174" s="53">
        <f>SUMIF('2026 AC'!$B$3:$B$254,"*"&amp;$D174&amp;"*",'2026 AC'!K$3:K$254)</f>
        <v>0</v>
      </c>
      <c r="BJ174" s="53">
        <f>SUMIF('2026 AC'!$B$3:$B$254,"*"&amp;$D174&amp;"*",'2026 AC'!L$3:L$254)</f>
        <v>0</v>
      </c>
      <c r="BK174" s="53">
        <f>SUMIF('2026 AC'!$B$3:$B$254,"*"&amp;$D174&amp;"*",'2026 AC'!M$3:M$254)</f>
        <v>0</v>
      </c>
      <c r="BL174" s="93">
        <f>SUMIF('2026 AC'!$B$3:$B$254,"*"&amp;$D174&amp;"*",'2026 AC'!N$3:N$254)</f>
        <v>0</v>
      </c>
      <c r="BM174" s="92">
        <f t="shared" si="139"/>
        <v>2500</v>
      </c>
      <c r="BN174" s="93">
        <f t="shared" si="167"/>
        <v>0</v>
      </c>
      <c r="BO174" s="93">
        <f t="shared" si="168"/>
        <v>2500</v>
      </c>
      <c r="BP174" s="93">
        <f t="shared" si="169"/>
        <v>0</v>
      </c>
      <c r="BQ174" s="93">
        <f t="shared" si="170"/>
        <v>0</v>
      </c>
      <c r="BR174" s="92">
        <f t="shared" si="171"/>
        <v>2500</v>
      </c>
    </row>
    <row r="175" ht="15" customHeight="1" outlineLevel="1">
      <c r="A175" t="s">
        <v>430</v>
      </c>
      <c r="B175" t="s">
        <v>431</v>
      </c>
      <c r="C175" s="34" t="s">
        <v>432</v>
      </c>
      <c r="D175" s="35" t="s">
        <v>393</v>
      </c>
      <c r="E175" s="153">
        <f t="shared" si="182"/>
        <v>6156</v>
      </c>
      <c r="F175" s="152">
        <f t="shared" si="183"/>
        <v>6156</v>
      </c>
      <c r="G175" s="54">
        <f t="shared" si="202"/>
        <v>0</v>
      </c>
      <c r="H175" s="153">
        <f t="shared" si="185"/>
        <v>18587</v>
      </c>
      <c r="I175" s="153">
        <f t="shared" si="186"/>
        <v>18468</v>
      </c>
      <c r="J175" s="54">
        <f t="shared" ref="J175:J180" si="203">(H175-I175)/I175</f>
        <v>6.4435780810049815e-03</v>
      </c>
      <c r="K175" s="153">
        <f t="shared" si="187"/>
        <v>42618.800000000003</v>
      </c>
      <c r="L175" s="153">
        <f t="shared" si="188"/>
        <v>36936</v>
      </c>
      <c r="M175" s="55">
        <f t="shared" ref="M175:M180" si="204">(K175-L175)/L175</f>
        <v>0.15385531730560978</v>
      </c>
      <c r="O175" s="63">
        <f>SUMIF('2024 AC'!$B$3:$B$250,"*"&amp;$D175&amp;"*",'2024 AC'!C$3:C$250)</f>
        <v>8776</v>
      </c>
      <c r="P175" s="53">
        <f>SUMIF('2024 AC'!$B$3:$B$250,"*"&amp;$D175&amp;"*",'2024 AC'!D$3:D$250)</f>
        <v>5470</v>
      </c>
      <c r="Q175" s="53">
        <f>SUMIF('2024 AC'!$B$3:$B$250,"*"&amp;$D175&amp;"*",'2024 AC'!E$3:E$250)</f>
        <v>5560</v>
      </c>
      <c r="R175" s="53">
        <f>SUMIF('2024 AC'!$B$3:$B$250,"*"&amp;$D175&amp;"*",'2024 AC'!F$3:F$250)</f>
        <v>5200</v>
      </c>
      <c r="S175" s="53">
        <f>SUMIF('2024 AC'!$B$3:$B$250,"*"&amp;$D175&amp;"*",'2024 AC'!G$3:G$250)</f>
        <v>5200</v>
      </c>
      <c r="T175" s="53">
        <f>SUMIF('2024 AC'!$B$3:$B$250,"*"&amp;$D175&amp;"*",'2024 AC'!H$3:H$250)</f>
        <v>5200</v>
      </c>
      <c r="U175" s="53">
        <f>SUMIF('2024 AC'!$B$3:$B$250,"*"&amp;$D175&amp;"*",'2024 AC'!I$3:I$250)</f>
        <v>5616</v>
      </c>
      <c r="V175" s="53">
        <f>SUMIF('2024 AC'!$B$3:$B$250,"*"&amp;$D175&amp;"*",'2024 AC'!J$3:J$250)</f>
        <v>5616</v>
      </c>
      <c r="W175" s="53">
        <f>SUMIF('2024 AC'!$B$3:$B$250,"*"&amp;$D175&amp;"*",'2024 AC'!K$3:K$250)</f>
        <v>5616</v>
      </c>
      <c r="X175" s="53">
        <f>SUMIF('2024 AC'!$B$3:$B$250,"*"&amp;$D175&amp;"*",'2024 AC'!L$3:L$250)</f>
        <v>5616</v>
      </c>
      <c r="Y175" s="53">
        <f>SUMIF('2024 AC'!$B$3:$B$250,"*"&amp;$D175&amp;"*",'2024 AC'!M$3:M$250)</f>
        <v>4860</v>
      </c>
      <c r="Z175" s="93">
        <f>SUMIF('2024 AC'!$B$3:$B$250,"*"&amp;$D175&amp;"*",'2024 AC'!N$3:N$250)</f>
        <v>6912</v>
      </c>
      <c r="AA175" s="92">
        <f t="shared" si="156"/>
        <v>69642</v>
      </c>
      <c r="AB175" s="93">
        <f t="shared" si="157"/>
        <v>19806</v>
      </c>
      <c r="AC175" s="93">
        <f t="shared" si="158"/>
        <v>15600</v>
      </c>
      <c r="AD175" s="93">
        <f t="shared" si="159"/>
        <v>16848</v>
      </c>
      <c r="AE175" s="93">
        <f t="shared" si="160"/>
        <v>17388</v>
      </c>
      <c r="AF175" s="92">
        <f t="shared" si="161"/>
        <v>69642</v>
      </c>
      <c r="AH175" s="63">
        <f>SUMIF('2025 AC'!$B$3:$B$250,"*"&amp;$D175&amp;"*",'2025 AC'!C$3:C$250)</f>
        <v>6156</v>
      </c>
      <c r="AI175" s="53">
        <f>SUMIF('2025 AC'!$B$3:$B$250,"*"&amp;$D175&amp;"*",'2025 AC'!D$3:D$250)</f>
        <v>6156</v>
      </c>
      <c r="AJ175" s="53">
        <f>SUMIF('2025 AC'!$B$3:$B$250,"*"&amp;$D175&amp;"*",'2025 AC'!E$3:E$250)</f>
        <v>6156</v>
      </c>
      <c r="AK175" s="53">
        <f>SUMIF('2025 AC'!$B$3:$B$250,"*"&amp;$D175&amp;"*",'2025 AC'!F$3:F$250)</f>
        <v>6156</v>
      </c>
      <c r="AL175" s="53">
        <f>SUMIF('2025 AC'!$B$3:$B$250,"*"&amp;$D175&amp;"*",'2025 AC'!G$3:G$250)</f>
        <v>6156</v>
      </c>
      <c r="AM175" s="53">
        <f>SUMIF('2025 AC'!$B$3:$B$250,"*"&amp;$D175&amp;"*",'2025 AC'!H$3:H$250)</f>
        <v>6156</v>
      </c>
      <c r="AN175" s="53">
        <f>SUMIF('2025 AC'!$B$3:$B$250,"*"&amp;$D175&amp;"*",'2025 AC'!I$3:I$250)</f>
        <v>7456</v>
      </c>
      <c r="AO175" s="53">
        <f>SUMIF('2025 AC'!$B$3:$B$250,"*"&amp;$D175&amp;"*",'2025 AC'!J$3:J$250)</f>
        <v>6156</v>
      </c>
      <c r="AP175" s="53">
        <f>SUMIF('2025 AC'!$B$3:$B$250,"*"&amp;$D175&amp;"*",'2025 AC'!K$3:K$250)</f>
        <v>6156</v>
      </c>
      <c r="AQ175" s="53">
        <f>SUMIF('2025 AC'!$B$3:$B$250,"*"&amp;$D175&amp;"*",'2025 AC'!L$3:L$250)</f>
        <v>6156</v>
      </c>
      <c r="AR175" s="53">
        <f>SUMIF('2025 AC'!$B$3:$B$250,"*"&amp;$D175&amp;"*",'2025 AC'!M$3:M$250)</f>
        <v>6781</v>
      </c>
      <c r="AS175" s="53">
        <f>SUMIF('2025 AC'!$B$3:$B$250,"*"&amp;$D175&amp;"*",'2025 AC'!N$3:N$250)</f>
        <v>20980.919999999998</v>
      </c>
      <c r="AT175" s="94">
        <f t="shared" si="138"/>
        <v>90621.919999999998</v>
      </c>
      <c r="AU175" s="93">
        <f t="shared" si="162"/>
        <v>18468</v>
      </c>
      <c r="AV175" s="93">
        <f t="shared" si="163"/>
        <v>18468</v>
      </c>
      <c r="AW175" s="93">
        <f t="shared" si="164"/>
        <v>19768</v>
      </c>
      <c r="AX175" s="93">
        <f t="shared" si="165"/>
        <v>33917.919999999998</v>
      </c>
      <c r="AY175" s="92">
        <f t="shared" si="166"/>
        <v>90621.919999999998</v>
      </c>
      <c r="BA175" s="63">
        <f>SUMIF('2026 AC'!$B$3:$B$254,"*"&amp;$D175&amp;"*",'2026 AC'!C$3:C$254)</f>
        <v>11655</v>
      </c>
      <c r="BB175" s="53">
        <f>SUMIF('2026 AC'!$B$3:$B$254,"*"&amp;$D175&amp;"*",'2026 AC'!D$3:D$254)</f>
        <v>6156</v>
      </c>
      <c r="BC175" s="53">
        <f>SUMIF('2026 AC'!$B$3:$B$254,"*"&amp;$D175&amp;"*",'2026 AC'!E$3:E$254)</f>
        <v>6220.8000000000002</v>
      </c>
      <c r="BD175" s="53">
        <f>SUMIF('2026 AC'!$B$3:$B$254,"*"&amp;$D175&amp;"*",'2026 AC'!F$3:F$254)</f>
        <v>6275</v>
      </c>
      <c r="BE175" s="53">
        <f>SUMIF('2026 AC'!$B$3:$B$254,"*"&amp;$D175&amp;"*",'2026 AC'!G$3:G$254)</f>
        <v>6156</v>
      </c>
      <c r="BF175" s="53">
        <f>SUMIF('2026 AC'!$B$3:$B$254,"*"&amp;$D175&amp;"*",'2026 AC'!H$3:H$254)</f>
        <v>6156</v>
      </c>
      <c r="BG175" s="53">
        <f>SUMIF('2026 AC'!$B$3:$B$254,"*"&amp;$D175&amp;"*",'2026 AC'!I$3:I$254)</f>
        <v>0</v>
      </c>
      <c r="BH175" s="53">
        <f>SUMIF('2026 AC'!$B$3:$B$254,"*"&amp;$D175&amp;"*",'2026 AC'!J$3:J$254)</f>
        <v>0</v>
      </c>
      <c r="BI175" s="53">
        <f>SUMIF('2026 AC'!$B$3:$B$254,"*"&amp;$D175&amp;"*",'2026 AC'!K$3:K$254)</f>
        <v>0</v>
      </c>
      <c r="BJ175" s="53">
        <f>SUMIF('2026 AC'!$B$3:$B$254,"*"&amp;$D175&amp;"*",'2026 AC'!L$3:L$254)</f>
        <v>0</v>
      </c>
      <c r="BK175" s="53">
        <f>SUMIF('2026 AC'!$B$3:$B$254,"*"&amp;$D175&amp;"*",'2026 AC'!M$3:M$254)</f>
        <v>0</v>
      </c>
      <c r="BL175" s="93">
        <f>SUMIF('2026 AC'!$B$3:$B$254,"*"&amp;$D175&amp;"*",'2026 AC'!N$3:N$254)</f>
        <v>0</v>
      </c>
      <c r="BM175" s="92">
        <f t="shared" si="139"/>
        <v>42618.800000000003</v>
      </c>
      <c r="BN175" s="93">
        <f t="shared" si="167"/>
        <v>24031.799999999999</v>
      </c>
      <c r="BO175" s="93">
        <f t="shared" si="168"/>
        <v>18587</v>
      </c>
      <c r="BP175" s="93">
        <f t="shared" si="169"/>
        <v>0</v>
      </c>
      <c r="BQ175" s="93">
        <f t="shared" si="170"/>
        <v>0</v>
      </c>
      <c r="BR175" s="92">
        <f t="shared" si="171"/>
        <v>42618.800000000003</v>
      </c>
    </row>
    <row r="176" ht="15" customHeight="1" outlineLevel="1">
      <c r="A176" t="s">
        <v>433</v>
      </c>
      <c r="B176" t="s">
        <v>434</v>
      </c>
      <c r="C176" s="34" t="s">
        <v>435</v>
      </c>
      <c r="D176" s="35" t="s">
        <v>397</v>
      </c>
      <c r="E176" s="151">
        <f t="shared" si="182"/>
        <v>0</v>
      </c>
      <c r="F176" s="152">
        <f t="shared" si="183"/>
        <v>0</v>
      </c>
      <c r="G176" s="154">
        <f>IFERROR((E176-F176)/F176,0)</f>
        <v>0</v>
      </c>
      <c r="H176" s="153">
        <f t="shared" si="185"/>
        <v>0</v>
      </c>
      <c r="I176" s="153">
        <f t="shared" si="186"/>
        <v>0</v>
      </c>
      <c r="J176" s="154">
        <f>IFERROR((H176-I176)/I176,0)</f>
        <v>0</v>
      </c>
      <c r="K176" s="153">
        <f t="shared" si="187"/>
        <v>0</v>
      </c>
      <c r="L176" s="153">
        <f t="shared" si="188"/>
        <v>0</v>
      </c>
      <c r="M176" s="155">
        <f>IFERROR((K176-L176)/L176,0)</f>
        <v>0</v>
      </c>
      <c r="O176" s="63">
        <f>SUMIF('2024 AC'!$B$3:$B$250,"*"&amp;$D176&amp;"*",'2024 AC'!C$3:C$250)</f>
        <v>0</v>
      </c>
      <c r="P176" s="53">
        <f>SUMIF('2024 AC'!$B$3:$B$250,"*"&amp;$D176&amp;"*",'2024 AC'!D$3:D$250)</f>
        <v>0</v>
      </c>
      <c r="Q176" s="53">
        <f>SUMIF('2024 AC'!$B$3:$B$250,"*"&amp;$D176&amp;"*",'2024 AC'!E$3:E$250)</f>
        <v>0</v>
      </c>
      <c r="R176" s="53">
        <f>SUMIF('2024 AC'!$B$3:$B$250,"*"&amp;$D176&amp;"*",'2024 AC'!F$3:F$250)</f>
        <v>0</v>
      </c>
      <c r="S176" s="53">
        <f>SUMIF('2024 AC'!$B$3:$B$250,"*"&amp;$D176&amp;"*",'2024 AC'!G$3:G$250)</f>
        <v>0</v>
      </c>
      <c r="T176" s="53">
        <f>SUMIF('2024 AC'!$B$3:$B$250,"*"&amp;$D176&amp;"*",'2024 AC'!H$3:H$250)</f>
        <v>0</v>
      </c>
      <c r="U176" s="53">
        <f>SUMIF('2024 AC'!$B$3:$B$250,"*"&amp;$D176&amp;"*",'2024 AC'!I$3:I$250)</f>
        <v>0</v>
      </c>
      <c r="V176" s="53">
        <f>SUMIF('2024 AC'!$B$3:$B$250,"*"&amp;$D176&amp;"*",'2024 AC'!J$3:J$250)</f>
        <v>0</v>
      </c>
      <c r="W176" s="53">
        <f>SUMIF('2024 AC'!$B$3:$B$250,"*"&amp;$D176&amp;"*",'2024 AC'!K$3:K$250)</f>
        <v>0</v>
      </c>
      <c r="X176" s="53">
        <f>SUMIF('2024 AC'!$B$3:$B$250,"*"&amp;$D176&amp;"*",'2024 AC'!L$3:L$250)</f>
        <v>0</v>
      </c>
      <c r="Y176" s="53">
        <f>SUMIF('2024 AC'!$B$3:$B$250,"*"&amp;$D176&amp;"*",'2024 AC'!M$3:M$250)</f>
        <v>0</v>
      </c>
      <c r="Z176" s="93">
        <f>SUMIF('2024 AC'!$B$3:$B$250,"*"&amp;$D176&amp;"*",'2024 AC'!N$3:N$250)</f>
        <v>0</v>
      </c>
      <c r="AA176" s="92">
        <f t="shared" si="156"/>
        <v>0</v>
      </c>
      <c r="AB176" s="93">
        <f t="shared" si="157"/>
        <v>0</v>
      </c>
      <c r="AC176" s="93">
        <f t="shared" si="158"/>
        <v>0</v>
      </c>
      <c r="AD176" s="93">
        <f t="shared" si="159"/>
        <v>0</v>
      </c>
      <c r="AE176" s="93">
        <f t="shared" si="160"/>
        <v>0</v>
      </c>
      <c r="AF176" s="92">
        <f t="shared" si="161"/>
        <v>0</v>
      </c>
      <c r="AH176" s="63">
        <f>SUMIF('2025 AC'!$B$3:$B$250,"*"&amp;$D176&amp;"*",'2025 AC'!C$3:C$250)</f>
        <v>0</v>
      </c>
      <c r="AI176" s="53">
        <f>SUMIF('2025 AC'!$B$3:$B$250,"*"&amp;$D176&amp;"*",'2025 AC'!D$3:D$250)</f>
        <v>0</v>
      </c>
      <c r="AJ176" s="53">
        <f>SUMIF('2025 AC'!$B$3:$B$250,"*"&amp;$D176&amp;"*",'2025 AC'!E$3:E$250)</f>
        <v>0</v>
      </c>
      <c r="AK176" s="53">
        <f>SUMIF('2025 AC'!$B$3:$B$250,"*"&amp;$D176&amp;"*",'2025 AC'!F$3:F$250)</f>
        <v>0</v>
      </c>
      <c r="AL176" s="53">
        <f>SUMIF('2025 AC'!$B$3:$B$250,"*"&amp;$D176&amp;"*",'2025 AC'!G$3:G$250)</f>
        <v>0</v>
      </c>
      <c r="AM176" s="53">
        <f>SUMIF('2025 AC'!$B$3:$B$250,"*"&amp;$D176&amp;"*",'2025 AC'!H$3:H$250)</f>
        <v>0</v>
      </c>
      <c r="AN176" s="53">
        <f>SUMIF('2025 AC'!$B$3:$B$250,"*"&amp;$D176&amp;"*",'2025 AC'!I$3:I$250)</f>
        <v>0</v>
      </c>
      <c r="AO176" s="53">
        <f>SUMIF('2025 AC'!$B$3:$B$250,"*"&amp;$D176&amp;"*",'2025 AC'!J$3:J$250)</f>
        <v>0</v>
      </c>
      <c r="AP176" s="53">
        <f>SUMIF('2025 AC'!$B$3:$B$250,"*"&amp;$D176&amp;"*",'2025 AC'!K$3:K$250)</f>
        <v>0</v>
      </c>
      <c r="AQ176" s="53">
        <f>SUMIF('2025 AC'!$B$3:$B$250,"*"&amp;$D176&amp;"*",'2025 AC'!L$3:L$250)</f>
        <v>0</v>
      </c>
      <c r="AR176" s="53">
        <f>SUMIF('2025 AC'!$B$3:$B$250,"*"&amp;$D176&amp;"*",'2025 AC'!M$3:M$250)</f>
        <v>0</v>
      </c>
      <c r="AS176" s="53">
        <f>SUMIF('2025 AC'!$B$3:$B$250,"*"&amp;$D176&amp;"*",'2025 AC'!N$3:N$250)</f>
        <v>0</v>
      </c>
      <c r="AT176" s="94">
        <f t="shared" si="138"/>
        <v>0</v>
      </c>
      <c r="AU176" s="93">
        <f t="shared" si="162"/>
        <v>0</v>
      </c>
      <c r="AV176" s="93">
        <f t="shared" si="163"/>
        <v>0</v>
      </c>
      <c r="AW176" s="93">
        <f t="shared" si="164"/>
        <v>0</v>
      </c>
      <c r="AX176" s="93">
        <f t="shared" si="165"/>
        <v>0</v>
      </c>
      <c r="AY176" s="92">
        <f t="shared" si="166"/>
        <v>0</v>
      </c>
      <c r="BA176" s="63">
        <f>SUMIF('2026 AC'!$B$3:$B$254,"*"&amp;$D176&amp;"*",'2026 AC'!C$3:C$254)</f>
        <v>0</v>
      </c>
      <c r="BB176" s="53">
        <f>SUMIF('2026 AC'!$B$3:$B$254,"*"&amp;$D176&amp;"*",'2026 AC'!D$3:D$254)</f>
        <v>0</v>
      </c>
      <c r="BC176" s="53">
        <f>SUMIF('2026 AC'!$B$3:$B$254,"*"&amp;$D176&amp;"*",'2026 AC'!E$3:E$254)</f>
        <v>0</v>
      </c>
      <c r="BD176" s="53">
        <f>SUMIF('2026 AC'!$B$3:$B$254,"*"&amp;$D176&amp;"*",'2026 AC'!F$3:F$254)</f>
        <v>0</v>
      </c>
      <c r="BE176" s="53">
        <f>SUMIF('2026 AC'!$B$3:$B$254,"*"&amp;$D176&amp;"*",'2026 AC'!G$3:G$254)</f>
        <v>0</v>
      </c>
      <c r="BF176" s="53">
        <f>SUMIF('2026 AC'!$B$3:$B$254,"*"&amp;$D176&amp;"*",'2026 AC'!H$3:H$254)</f>
        <v>0</v>
      </c>
      <c r="BG176" s="53">
        <f>SUMIF('2026 AC'!$B$3:$B$254,"*"&amp;$D176&amp;"*",'2026 AC'!I$3:I$254)</f>
        <v>0</v>
      </c>
      <c r="BH176" s="53">
        <f>SUMIF('2026 AC'!$B$3:$B$254,"*"&amp;$D176&amp;"*",'2026 AC'!J$3:J$254)</f>
        <v>0</v>
      </c>
      <c r="BI176" s="53">
        <f>SUMIF('2026 AC'!$B$3:$B$254,"*"&amp;$D176&amp;"*",'2026 AC'!K$3:K$254)</f>
        <v>0</v>
      </c>
      <c r="BJ176" s="53">
        <f>SUMIF('2026 AC'!$B$3:$B$254,"*"&amp;$D176&amp;"*",'2026 AC'!L$3:L$254)</f>
        <v>0</v>
      </c>
      <c r="BK176" s="53">
        <f>SUMIF('2026 AC'!$B$3:$B$254,"*"&amp;$D176&amp;"*",'2026 AC'!M$3:M$254)</f>
        <v>0</v>
      </c>
      <c r="BL176" s="93">
        <f>SUMIF('2026 AC'!$B$3:$B$254,"*"&amp;$D176&amp;"*",'2026 AC'!N$3:N$254)</f>
        <v>0</v>
      </c>
      <c r="BM176" s="92">
        <f t="shared" si="139"/>
        <v>0</v>
      </c>
      <c r="BN176" s="93">
        <f t="shared" si="167"/>
        <v>0</v>
      </c>
      <c r="BO176" s="93">
        <f t="shared" si="168"/>
        <v>0</v>
      </c>
      <c r="BP176" s="93">
        <f t="shared" si="169"/>
        <v>0</v>
      </c>
      <c r="BQ176" s="93">
        <f t="shared" si="170"/>
        <v>0</v>
      </c>
      <c r="BR176" s="92">
        <f t="shared" si="171"/>
        <v>0</v>
      </c>
    </row>
    <row r="177" outlineLevel="1">
      <c r="A177" t="s">
        <v>436</v>
      </c>
      <c r="B177" t="s">
        <v>437</v>
      </c>
      <c r="C177" s="34" t="s">
        <v>438</v>
      </c>
      <c r="D177" s="35" t="s">
        <v>401</v>
      </c>
      <c r="E177" s="151">
        <f t="shared" si="182"/>
        <v>5386.9200000000001</v>
      </c>
      <c r="F177" s="152">
        <f t="shared" si="183"/>
        <v>3602.3099999999999</v>
      </c>
      <c r="G177" s="54">
        <f t="shared" ref="G177:G179" si="205">(E177-F177)/F177</f>
        <v>0.49540711376866514</v>
      </c>
      <c r="H177" s="153">
        <f t="shared" si="185"/>
        <v>15918.699999999999</v>
      </c>
      <c r="I177" s="153">
        <f t="shared" si="186"/>
        <v>38049.279999999999</v>
      </c>
      <c r="J177" s="54">
        <f t="shared" si="203"/>
        <v>-0.58162940271143115</v>
      </c>
      <c r="K177" s="153">
        <f t="shared" si="187"/>
        <v>31470.739999999998</v>
      </c>
      <c r="L177" s="153">
        <f t="shared" si="188"/>
        <v>54994.93</v>
      </c>
      <c r="M177" s="55">
        <f t="shared" si="204"/>
        <v>-0.42775197640946178</v>
      </c>
      <c r="O177" s="63">
        <f>SUMIF('2024 AC'!$B$3:$B$250,"*"&amp;$D177&amp;"*",'2024 AC'!C$3:C$250)</f>
        <v>0</v>
      </c>
      <c r="P177" s="53">
        <f>SUMIF('2024 AC'!$B$3:$B$250,"*"&amp;$D177&amp;"*",'2024 AC'!D$3:D$250)</f>
        <v>0</v>
      </c>
      <c r="Q177" s="53">
        <f>SUMIF('2024 AC'!$B$3:$B$250,"*"&amp;$D177&amp;"*",'2024 AC'!E$3:E$250)</f>
        <v>18723.150000000001</v>
      </c>
      <c r="R177" s="53">
        <f>SUMIF('2024 AC'!$B$3:$B$250,"*"&amp;$D177&amp;"*",'2024 AC'!F$3:F$250)</f>
        <v>706.98000000000002</v>
      </c>
      <c r="S177" s="53">
        <f>SUMIF('2024 AC'!$B$3:$B$250,"*"&amp;$D177&amp;"*",'2024 AC'!G$3:G$250)</f>
        <v>0</v>
      </c>
      <c r="T177" s="53">
        <f>SUMIF('2024 AC'!$B$3:$B$250,"*"&amp;$D177&amp;"*",'2024 AC'!H$3:H$250)</f>
        <v>0</v>
      </c>
      <c r="U177" s="53">
        <f>SUMIF('2024 AC'!$B$3:$B$250,"*"&amp;$D177&amp;"*",'2024 AC'!I$3:I$250)</f>
        <v>6860.3199999999997</v>
      </c>
      <c r="V177" s="53">
        <f>SUMIF('2024 AC'!$B$3:$B$250,"*"&amp;$D177&amp;"*",'2024 AC'!J$3:J$250)</f>
        <v>17547.439999999999</v>
      </c>
      <c r="W177" s="53">
        <f>SUMIF('2024 AC'!$B$3:$B$250,"*"&amp;$D177&amp;"*",'2024 AC'!K$3:K$250)</f>
        <v>14050.200000000001</v>
      </c>
      <c r="X177" s="53">
        <f>SUMIF('2024 AC'!$B$3:$B$250,"*"&amp;$D177&amp;"*",'2024 AC'!L$3:L$250)</f>
        <v>14242.200000000001</v>
      </c>
      <c r="Y177" s="53">
        <f>SUMIF('2024 AC'!$B$3:$B$250,"*"&amp;$D177&amp;"*",'2024 AC'!M$3:M$250)</f>
        <v>17142.900000000001</v>
      </c>
      <c r="Z177" s="93">
        <f>SUMIF('2024 AC'!$B$3:$B$250,"*"&amp;$D177&amp;"*",'2024 AC'!N$3:N$250)</f>
        <v>11823.040000000001</v>
      </c>
      <c r="AA177" s="92">
        <f t="shared" si="156"/>
        <v>101096.23000000001</v>
      </c>
      <c r="AB177" s="93">
        <f t="shared" si="157"/>
        <v>18723.150000000001</v>
      </c>
      <c r="AC177" s="93">
        <f t="shared" si="158"/>
        <v>706.98000000000002</v>
      </c>
      <c r="AD177" s="93">
        <f t="shared" si="159"/>
        <v>38457.959999999999</v>
      </c>
      <c r="AE177" s="93">
        <f t="shared" si="160"/>
        <v>43208.139999999999</v>
      </c>
      <c r="AF177" s="92">
        <f t="shared" si="161"/>
        <v>101096.23</v>
      </c>
      <c r="AH177" s="63">
        <f>SUMIF('2025 AC'!$B$3:$B$250,"*"&amp;$D177&amp;"*",'2025 AC'!C$3:C$250)</f>
        <v>1519.1900000000001</v>
      </c>
      <c r="AI177" s="53">
        <f>SUMIF('2025 AC'!$B$3:$B$250,"*"&amp;$D177&amp;"*",'2025 AC'!D$3:D$250)</f>
        <v>5917.8500000000004</v>
      </c>
      <c r="AJ177" s="53">
        <f>SUMIF('2025 AC'!$B$3:$B$250,"*"&amp;$D177&amp;"*",'2025 AC'!E$3:E$250)</f>
        <v>9508.6100000000006</v>
      </c>
      <c r="AK177" s="53">
        <f>SUMIF('2025 AC'!$B$3:$B$250,"*"&amp;$D177&amp;"*",'2025 AC'!F$3:F$250)</f>
        <v>2573.6500000000001</v>
      </c>
      <c r="AL177" s="53">
        <f>SUMIF('2025 AC'!$B$3:$B$250,"*"&amp;$D177&amp;"*",'2025 AC'!G$3:G$250)</f>
        <v>31873.32</v>
      </c>
      <c r="AM177" s="53">
        <f>SUMIF('2025 AC'!$B$3:$B$250,"*"&amp;$D177&amp;"*",'2025 AC'!H$3:H$250)</f>
        <v>3602.3099999999999</v>
      </c>
      <c r="AN177" s="53">
        <f>SUMIF('2025 AC'!$B$3:$B$250,"*"&amp;$D177&amp;"*",'2025 AC'!I$3:I$250)</f>
        <v>47105.550000000003</v>
      </c>
      <c r="AO177" s="53">
        <f>SUMIF('2025 AC'!$B$3:$B$250,"*"&amp;$D177&amp;"*",'2025 AC'!J$3:J$250)</f>
        <v>3452.5999999999999</v>
      </c>
      <c r="AP177" s="53">
        <f>SUMIF('2025 AC'!$B$3:$B$250,"*"&amp;$D177&amp;"*",'2025 AC'!K$3:K$250)</f>
        <v>9099</v>
      </c>
      <c r="AQ177" s="53">
        <f>SUMIF('2025 AC'!$B$3:$B$250,"*"&amp;$D177&amp;"*",'2025 AC'!L$3:L$250)</f>
        <v>9099</v>
      </c>
      <c r="AR177" s="53">
        <f>SUMIF('2025 AC'!$B$3:$B$250,"*"&amp;$D177&amp;"*",'2025 AC'!M$3:M$250)</f>
        <v>4171.8500000000004</v>
      </c>
      <c r="AS177" s="53">
        <f>SUMIF('2025 AC'!$B$3:$B$250,"*"&amp;$D177&amp;"*",'2025 AC'!N$3:N$250)</f>
        <v>20631.450000000001</v>
      </c>
      <c r="AT177" s="94">
        <f t="shared" si="138"/>
        <v>148554.38000000003</v>
      </c>
      <c r="AU177" s="93">
        <f t="shared" si="162"/>
        <v>16945.650000000001</v>
      </c>
      <c r="AV177" s="93">
        <f t="shared" si="163"/>
        <v>38049.279999999999</v>
      </c>
      <c r="AW177" s="93">
        <f t="shared" si="164"/>
        <v>59657.150000000001</v>
      </c>
      <c r="AX177" s="93">
        <f t="shared" si="165"/>
        <v>33902.300000000003</v>
      </c>
      <c r="AY177" s="92">
        <f t="shared" si="166"/>
        <v>148554.38</v>
      </c>
      <c r="BA177" s="63">
        <f>SUMIF('2026 AC'!$B$3:$B$254,"*"&amp;$D177&amp;"*",'2026 AC'!C$3:C$254)</f>
        <v>3753</v>
      </c>
      <c r="BB177" s="53">
        <f>SUMIF('2026 AC'!$B$3:$B$254,"*"&amp;$D177&amp;"*",'2026 AC'!D$3:D$254)</f>
        <v>6644.8999999999996</v>
      </c>
      <c r="BC177" s="53">
        <f>SUMIF('2026 AC'!$B$3:$B$254,"*"&amp;$D177&amp;"*",'2026 AC'!E$3:E$254)</f>
        <v>5154.1400000000003</v>
      </c>
      <c r="BD177" s="53">
        <f>SUMIF('2026 AC'!$B$3:$B$254,"*"&amp;$D177&amp;"*",'2026 AC'!F$3:F$254)</f>
        <v>5353.29</v>
      </c>
      <c r="BE177" s="53">
        <f>SUMIF('2026 AC'!$B$3:$B$254,"*"&amp;$D177&amp;"*",'2026 AC'!G$3:G$254)</f>
        <v>5178.4899999999998</v>
      </c>
      <c r="BF177" s="53">
        <f>SUMIF('2026 AC'!$B$3:$B$254,"*"&amp;$D177&amp;"*",'2026 AC'!H$3:H$254)</f>
        <v>5386.9200000000001</v>
      </c>
      <c r="BG177" s="53">
        <f>SUMIF('2026 AC'!$B$3:$B$254,"*"&amp;$D177&amp;"*",'2026 AC'!I$3:I$254)</f>
        <v>0</v>
      </c>
      <c r="BH177" s="53">
        <f>SUMIF('2026 AC'!$B$3:$B$254,"*"&amp;$D177&amp;"*",'2026 AC'!J$3:J$254)</f>
        <v>0</v>
      </c>
      <c r="BI177" s="53">
        <f>SUMIF('2026 AC'!$B$3:$B$254,"*"&amp;$D177&amp;"*",'2026 AC'!K$3:K$254)</f>
        <v>0</v>
      </c>
      <c r="BJ177" s="53">
        <f>SUMIF('2026 AC'!$B$3:$B$254,"*"&amp;$D177&amp;"*",'2026 AC'!L$3:L$254)</f>
        <v>0</v>
      </c>
      <c r="BK177" s="53">
        <f>SUMIF('2026 AC'!$B$3:$B$254,"*"&amp;$D177&amp;"*",'2026 AC'!M$3:M$254)</f>
        <v>0</v>
      </c>
      <c r="BL177" s="93">
        <f>SUMIF('2026 AC'!$B$3:$B$254,"*"&amp;$D177&amp;"*",'2026 AC'!N$3:N$254)</f>
        <v>0</v>
      </c>
      <c r="BM177" s="92">
        <f t="shared" si="139"/>
        <v>31470.739999999998</v>
      </c>
      <c r="BN177" s="93">
        <f t="shared" si="167"/>
        <v>15552.040000000001</v>
      </c>
      <c r="BO177" s="93">
        <f t="shared" si="168"/>
        <v>15918.699999999999</v>
      </c>
      <c r="BP177" s="93">
        <f t="shared" si="169"/>
        <v>0</v>
      </c>
      <c r="BQ177" s="93">
        <f t="shared" si="170"/>
        <v>0</v>
      </c>
      <c r="BR177" s="92">
        <f t="shared" si="171"/>
        <v>31470.739999999998</v>
      </c>
    </row>
    <row r="178" ht="15" customHeight="1" outlineLevel="1">
      <c r="A178" t="s">
        <v>439</v>
      </c>
      <c r="B178" t="s">
        <v>440</v>
      </c>
      <c r="C178" s="34" t="s">
        <v>441</v>
      </c>
      <c r="D178" s="35" t="s">
        <v>442</v>
      </c>
      <c r="E178" s="151">
        <f t="shared" si="182"/>
        <v>0</v>
      </c>
      <c r="F178" s="152">
        <f t="shared" si="183"/>
        <v>0</v>
      </c>
      <c r="G178" s="54" t="e">
        <f t="shared" si="205"/>
        <v>#DIV/0!</v>
      </c>
      <c r="H178" s="153">
        <f t="shared" si="185"/>
        <v>2800</v>
      </c>
      <c r="I178" s="153">
        <f t="shared" si="186"/>
        <v>1350</v>
      </c>
      <c r="J178" s="54">
        <f t="shared" si="203"/>
        <v>1.0740740740740742</v>
      </c>
      <c r="K178" s="153">
        <f t="shared" si="187"/>
        <v>2827.5</v>
      </c>
      <c r="L178" s="153">
        <f t="shared" si="188"/>
        <v>2760</v>
      </c>
      <c r="M178" s="55">
        <f t="shared" si="204"/>
        <v>2.4456521739130436e-02</v>
      </c>
      <c r="O178" s="63">
        <f>SUMIF('2024 AC'!$B$3:$B$250,"*"&amp;$D178&amp;"*",'2024 AC'!C$3:C$250)</f>
        <v>0</v>
      </c>
      <c r="P178" s="53">
        <f>SUMIF('2024 AC'!$B$3:$B$250,"*"&amp;$D178&amp;"*",'2024 AC'!D$3:D$250)</f>
        <v>0</v>
      </c>
      <c r="Q178" s="53">
        <f>SUMIF('2024 AC'!$B$3:$B$250,"*"&amp;$D178&amp;"*",'2024 AC'!E$3:E$250)</f>
        <v>0</v>
      </c>
      <c r="R178" s="53">
        <f>SUMIF('2024 AC'!$B$3:$B$250,"*"&amp;$D178&amp;"*",'2024 AC'!F$3:F$250)</f>
        <v>0</v>
      </c>
      <c r="S178" s="53">
        <f>SUMIF('2024 AC'!$B$3:$B$250,"*"&amp;$D178&amp;"*",'2024 AC'!G$3:G$250)</f>
        <v>0</v>
      </c>
      <c r="T178" s="53">
        <f>SUMIF('2024 AC'!$B$3:$B$250,"*"&amp;$D178&amp;"*",'2024 AC'!H$3:H$250)</f>
        <v>0</v>
      </c>
      <c r="U178" s="53">
        <f>SUMIF('2024 AC'!$B$3:$B$250,"*"&amp;$D178&amp;"*",'2024 AC'!I$3:I$250)</f>
        <v>0</v>
      </c>
      <c r="V178" s="53">
        <f>SUMIF('2024 AC'!$B$3:$B$250,"*"&amp;$D178&amp;"*",'2024 AC'!J$3:J$250)</f>
        <v>4870</v>
      </c>
      <c r="W178" s="53">
        <f>SUMIF('2024 AC'!$B$3:$B$250,"*"&amp;$D178&amp;"*",'2024 AC'!K$3:K$250)</f>
        <v>0</v>
      </c>
      <c r="X178" s="53">
        <f>SUMIF('2024 AC'!$B$3:$B$250,"*"&amp;$D178&amp;"*",'2024 AC'!L$3:L$250)</f>
        <v>2650</v>
      </c>
      <c r="Y178" s="53">
        <f>SUMIF('2024 AC'!$B$3:$B$250,"*"&amp;$D178&amp;"*",'2024 AC'!M$3:M$250)</f>
        <v>0</v>
      </c>
      <c r="Z178" s="93">
        <f>SUMIF('2024 AC'!$B$3:$B$250,"*"&amp;$D178&amp;"*",'2024 AC'!N$3:N$250)</f>
        <v>0</v>
      </c>
      <c r="AA178" s="92">
        <f t="shared" si="156"/>
        <v>7520</v>
      </c>
      <c r="AB178" s="93">
        <f t="shared" si="157"/>
        <v>0</v>
      </c>
      <c r="AC178" s="93">
        <f t="shared" si="158"/>
        <v>0</v>
      </c>
      <c r="AD178" s="93">
        <f t="shared" si="159"/>
        <v>4870</v>
      </c>
      <c r="AE178" s="93">
        <f t="shared" si="160"/>
        <v>2650</v>
      </c>
      <c r="AF178" s="92">
        <f t="shared" si="161"/>
        <v>7520</v>
      </c>
      <c r="AH178" s="63">
        <f>SUMIF('2025 AC'!$B$3:$B$250,"*"&amp;$D178&amp;"*",'2025 AC'!C$3:C$250)</f>
        <v>0</v>
      </c>
      <c r="AI178" s="53">
        <f>SUMIF('2025 AC'!$B$3:$B$250,"*"&amp;$D178&amp;"*",'2025 AC'!D$3:D$250)</f>
        <v>1125</v>
      </c>
      <c r="AJ178" s="53">
        <f>SUMIF('2025 AC'!$B$3:$B$250,"*"&amp;$D178&amp;"*",'2025 AC'!E$3:E$250)</f>
        <v>285</v>
      </c>
      <c r="AK178" s="53">
        <f>SUMIF('2025 AC'!$B$3:$B$250,"*"&amp;$D178&amp;"*",'2025 AC'!F$3:F$250)</f>
        <v>1350</v>
      </c>
      <c r="AL178" s="53">
        <f>SUMIF('2025 AC'!$B$3:$B$250,"*"&amp;$D178&amp;"*",'2025 AC'!G$3:G$250)</f>
        <v>0</v>
      </c>
      <c r="AM178" s="53">
        <f>SUMIF('2025 AC'!$B$3:$B$250,"*"&amp;$D178&amp;"*",'2025 AC'!H$3:H$250)</f>
        <v>0</v>
      </c>
      <c r="AN178" s="53">
        <f>SUMIF('2025 AC'!$B$3:$B$250,"*"&amp;$D178&amp;"*",'2025 AC'!I$3:I$250)</f>
        <v>0</v>
      </c>
      <c r="AO178" s="53">
        <f>SUMIF('2025 AC'!$B$3:$B$250,"*"&amp;$D178&amp;"*",'2025 AC'!J$3:J$250)</f>
        <v>0</v>
      </c>
      <c r="AP178" s="53">
        <f>SUMIF('2025 AC'!$B$3:$B$250,"*"&amp;$D178&amp;"*",'2025 AC'!K$3:K$250)</f>
        <v>0</v>
      </c>
      <c r="AQ178" s="53">
        <f>SUMIF('2025 AC'!$B$3:$B$250,"*"&amp;$D178&amp;"*",'2025 AC'!L$3:L$250)</f>
        <v>0</v>
      </c>
      <c r="AR178" s="53">
        <f>SUMIF('2025 AC'!$B$3:$B$250,"*"&amp;$D178&amp;"*",'2025 AC'!M$3:M$250)</f>
        <v>940</v>
      </c>
      <c r="AS178" s="53">
        <f>SUMIF('2025 AC'!$B$3:$B$250,"*"&amp;$D178&amp;"*",'2025 AC'!N$3:N$250)</f>
        <v>0</v>
      </c>
      <c r="AT178" s="94">
        <f t="shared" ref="AT178:AT228" si="206">SUM(AH178:AS178)</f>
        <v>3700</v>
      </c>
      <c r="AU178" s="93">
        <f t="shared" si="162"/>
        <v>1410</v>
      </c>
      <c r="AV178" s="93">
        <f t="shared" si="163"/>
        <v>1350</v>
      </c>
      <c r="AW178" s="93">
        <f t="shared" si="164"/>
        <v>0</v>
      </c>
      <c r="AX178" s="93">
        <f t="shared" si="165"/>
        <v>940</v>
      </c>
      <c r="AY178" s="92">
        <f t="shared" si="166"/>
        <v>3700</v>
      </c>
      <c r="BA178" s="63">
        <f>SUMIF('2026 AC'!$B$3:$B$254,"*"&amp;$D178&amp;"*",'2026 AC'!C$3:C$254)</f>
        <v>0</v>
      </c>
      <c r="BB178" s="53">
        <f>SUMIF('2026 AC'!$B$3:$B$254,"*"&amp;$D178&amp;"*",'2026 AC'!D$3:D$254)</f>
        <v>0</v>
      </c>
      <c r="BC178" s="53">
        <f>SUMIF('2026 AC'!$B$3:$B$254,"*"&amp;$D178&amp;"*",'2026 AC'!E$3:E$254)</f>
        <v>27.5</v>
      </c>
      <c r="BD178" s="53">
        <f>SUMIF('2026 AC'!$B$3:$B$254,"*"&amp;$D178&amp;"*",'2026 AC'!F$3:F$254)</f>
        <v>0</v>
      </c>
      <c r="BE178" s="53">
        <f>SUMIF('2026 AC'!$B$3:$B$254,"*"&amp;$D178&amp;"*",'2026 AC'!G$3:G$254)</f>
        <v>2800</v>
      </c>
      <c r="BF178" s="53">
        <f>SUMIF('2026 AC'!$B$3:$B$254,"*"&amp;$D178&amp;"*",'2026 AC'!H$3:H$254)</f>
        <v>0</v>
      </c>
      <c r="BG178" s="53">
        <f>SUMIF('2026 AC'!$B$3:$B$254,"*"&amp;$D178&amp;"*",'2026 AC'!I$3:I$254)</f>
        <v>0</v>
      </c>
      <c r="BH178" s="53">
        <f>SUMIF('2026 AC'!$B$3:$B$254,"*"&amp;$D178&amp;"*",'2026 AC'!J$3:J$254)</f>
        <v>0</v>
      </c>
      <c r="BI178" s="53">
        <f>SUMIF('2026 AC'!$B$3:$B$254,"*"&amp;$D178&amp;"*",'2026 AC'!K$3:K$254)</f>
        <v>0</v>
      </c>
      <c r="BJ178" s="53">
        <f>SUMIF('2026 AC'!$B$3:$B$254,"*"&amp;$D178&amp;"*",'2026 AC'!L$3:L$254)</f>
        <v>0</v>
      </c>
      <c r="BK178" s="53">
        <f>SUMIF('2026 AC'!$B$3:$B$254,"*"&amp;$D178&amp;"*",'2026 AC'!M$3:M$254)</f>
        <v>0</v>
      </c>
      <c r="BL178" s="93">
        <f>SUMIF('2026 AC'!$B$3:$B$254,"*"&amp;$D178&amp;"*",'2026 AC'!N$3:N$254)</f>
        <v>0</v>
      </c>
      <c r="BM178" s="92">
        <f t="shared" ref="BM178:BM228" si="207">SUM(BA178:BL178)</f>
        <v>2827.5</v>
      </c>
      <c r="BN178" s="93">
        <f t="shared" si="167"/>
        <v>27.5</v>
      </c>
      <c r="BO178" s="93">
        <f t="shared" si="168"/>
        <v>2800</v>
      </c>
      <c r="BP178" s="93">
        <f t="shared" si="169"/>
        <v>0</v>
      </c>
      <c r="BQ178" s="93">
        <f t="shared" si="170"/>
        <v>0</v>
      </c>
      <c r="BR178" s="92">
        <f t="shared" si="171"/>
        <v>2827.5</v>
      </c>
    </row>
    <row r="179" ht="15" customHeight="1" outlineLevel="1">
      <c r="A179" t="s">
        <v>443</v>
      </c>
      <c r="B179" t="s">
        <v>444</v>
      </c>
      <c r="C179" s="34" t="s">
        <v>445</v>
      </c>
      <c r="D179" s="35" t="s">
        <v>409</v>
      </c>
      <c r="E179" s="151">
        <f t="shared" si="182"/>
        <v>3853.4400000000001</v>
      </c>
      <c r="F179" s="152">
        <f t="shared" si="183"/>
        <v>3504.5999999999999</v>
      </c>
      <c r="G179" s="54">
        <f t="shared" si="205"/>
        <v>9.9537750385208054e-02</v>
      </c>
      <c r="H179" s="153">
        <f t="shared" si="185"/>
        <v>11560.32</v>
      </c>
      <c r="I179" s="153">
        <f t="shared" si="186"/>
        <v>10513.799999999999</v>
      </c>
      <c r="J179" s="54">
        <f t="shared" si="203"/>
        <v>9.9537750385208054e-02</v>
      </c>
      <c r="K179" s="153">
        <f t="shared" si="187"/>
        <v>22074.119999999999</v>
      </c>
      <c r="L179" s="153">
        <f t="shared" si="188"/>
        <v>21027.599999999999</v>
      </c>
      <c r="M179" s="55">
        <f t="shared" si="204"/>
        <v>4.9768875192604027e-02</v>
      </c>
      <c r="O179" s="63">
        <f>SUMIF('2024 AC'!$B$3:$B$250,"*"&amp;$D179&amp;"*",'2024 AC'!C$3:C$250)</f>
        <v>3439.6999999999998</v>
      </c>
      <c r="P179" s="53">
        <f>SUMIF('2024 AC'!$B$3:$B$250,"*"&amp;$D179&amp;"*",'2024 AC'!D$3:D$250)</f>
        <v>3439.6999999999998</v>
      </c>
      <c r="Q179" s="53">
        <f>SUMIF('2024 AC'!$B$3:$B$250,"*"&amp;$D179&amp;"*",'2024 AC'!E$3:E$250)</f>
        <v>3504.5999999999999</v>
      </c>
      <c r="R179" s="53">
        <f>SUMIF('2024 AC'!$B$3:$B$250,"*"&amp;$D179&amp;"*",'2024 AC'!F$3:F$250)</f>
        <v>3504.5999999999999</v>
      </c>
      <c r="S179" s="53">
        <f>SUMIF('2024 AC'!$B$3:$B$250,"*"&amp;$D179&amp;"*",'2024 AC'!G$3:G$250)</f>
        <v>3504.5999999999999</v>
      </c>
      <c r="T179" s="53">
        <f>SUMIF('2024 AC'!$B$3:$B$250,"*"&amp;$D179&amp;"*",'2024 AC'!H$3:H$250)</f>
        <v>3504.5999999999999</v>
      </c>
      <c r="U179" s="53">
        <f>SUMIF('2024 AC'!$B$3:$B$250,"*"&amp;$D179&amp;"*",'2024 AC'!I$3:I$250)</f>
        <v>3504.5999999999999</v>
      </c>
      <c r="V179" s="53">
        <f>SUMIF('2024 AC'!$B$3:$B$250,"*"&amp;$D179&amp;"*",'2024 AC'!J$3:J$250)</f>
        <v>3504.5999999999999</v>
      </c>
      <c r="W179" s="53">
        <f>SUMIF('2024 AC'!$B$3:$B$250,"*"&amp;$D179&amp;"*",'2024 AC'!K$3:K$250)</f>
        <v>3504.5999999999999</v>
      </c>
      <c r="X179" s="53">
        <f>SUMIF('2024 AC'!$B$3:$B$250,"*"&amp;$D179&amp;"*",'2024 AC'!L$3:L$250)</f>
        <v>3504.5999999999999</v>
      </c>
      <c r="Y179" s="53">
        <f>SUMIF('2024 AC'!$B$3:$B$250,"*"&amp;$D179&amp;"*",'2024 AC'!M$3:M$250)</f>
        <v>3504.5999999999999</v>
      </c>
      <c r="Z179" s="93">
        <f>SUMIF('2024 AC'!$B$3:$B$250,"*"&amp;$D179&amp;"*",'2024 AC'!N$3:N$250)</f>
        <v>3504.5999999999999</v>
      </c>
      <c r="AA179" s="92">
        <f t="shared" si="156"/>
        <v>41925.399999999994</v>
      </c>
      <c r="AB179" s="93">
        <f t="shared" si="157"/>
        <v>10384</v>
      </c>
      <c r="AC179" s="93">
        <f t="shared" si="158"/>
        <v>10513.799999999999</v>
      </c>
      <c r="AD179" s="93">
        <f t="shared" si="159"/>
        <v>10513.799999999999</v>
      </c>
      <c r="AE179" s="93">
        <f t="shared" si="160"/>
        <v>10513.799999999999</v>
      </c>
      <c r="AF179" s="92">
        <f t="shared" si="161"/>
        <v>41925.399999999994</v>
      </c>
      <c r="AH179" s="63">
        <f>SUMIF('2025 AC'!$B$3:$B$250,"*"&amp;$D179&amp;"*",'2025 AC'!C$3:C$250)</f>
        <v>3504.5999999999999</v>
      </c>
      <c r="AI179" s="53">
        <f>SUMIF('2025 AC'!$B$3:$B$250,"*"&amp;$D179&amp;"*",'2025 AC'!D$3:D$250)</f>
        <v>3504.5999999999999</v>
      </c>
      <c r="AJ179" s="53">
        <f>SUMIF('2025 AC'!$B$3:$B$250,"*"&amp;$D179&amp;"*",'2025 AC'!E$3:E$250)</f>
        <v>3504.5999999999999</v>
      </c>
      <c r="AK179" s="53">
        <f>SUMIF('2025 AC'!$B$3:$B$250,"*"&amp;$D179&amp;"*",'2025 AC'!F$3:F$250)</f>
        <v>3504.5999999999999</v>
      </c>
      <c r="AL179" s="53">
        <f>SUMIF('2025 AC'!$B$3:$B$250,"*"&amp;$D179&amp;"*",'2025 AC'!G$3:G$250)</f>
        <v>3504.5999999999999</v>
      </c>
      <c r="AM179" s="53">
        <f>SUMIF('2025 AC'!$B$3:$B$250,"*"&amp;$D179&amp;"*",'2025 AC'!H$3:H$250)</f>
        <v>3504.5999999999999</v>
      </c>
      <c r="AN179" s="53">
        <f>SUMIF('2025 AC'!$B$3:$B$250,"*"&amp;$D179&amp;"*",'2025 AC'!I$3:I$250)</f>
        <v>4800.6000000000004</v>
      </c>
      <c r="AO179" s="53">
        <f>SUMIF('2025 AC'!$B$3:$B$250,"*"&amp;$D179&amp;"*",'2025 AC'!J$3:J$250)</f>
        <v>3504.5999999999999</v>
      </c>
      <c r="AP179" s="53">
        <f>SUMIF('2025 AC'!$B$3:$B$250,"*"&amp;$D179&amp;"*",'2025 AC'!K$3:K$250)</f>
        <v>3504.5999999999999</v>
      </c>
      <c r="AQ179" s="53">
        <f>SUMIF('2025 AC'!$B$3:$B$250,"*"&amp;$D179&amp;"*",'2025 AC'!L$3:L$250)</f>
        <v>3504.5999999999999</v>
      </c>
      <c r="AR179" s="53">
        <f>SUMIF('2025 AC'!$B$3:$B$250,"*"&amp;$D179&amp;"*",'2025 AC'!M$3:M$250)</f>
        <v>4746.1999999999998</v>
      </c>
      <c r="AS179" s="53">
        <f>SUMIF('2025 AC'!$B$3:$B$250,"*"&amp;$D179&amp;"*",'2025 AC'!N$3:N$250)</f>
        <v>3504.5999999999999</v>
      </c>
      <c r="AT179" s="94">
        <f t="shared" si="206"/>
        <v>44592.799999999988</v>
      </c>
      <c r="AU179" s="93">
        <f t="shared" si="162"/>
        <v>10513.799999999999</v>
      </c>
      <c r="AV179" s="93">
        <f t="shared" si="163"/>
        <v>10513.799999999999</v>
      </c>
      <c r="AW179" s="93">
        <f t="shared" si="164"/>
        <v>11809.800000000001</v>
      </c>
      <c r="AX179" s="93">
        <f t="shared" si="165"/>
        <v>11755.4</v>
      </c>
      <c r="AY179" s="92">
        <f t="shared" si="166"/>
        <v>44592.800000000003</v>
      </c>
      <c r="BA179" s="63">
        <f>SUMIF('2026 AC'!$B$3:$B$254,"*"&amp;$D179&amp;"*",'2026 AC'!C$3:C$254)</f>
        <v>3504.5999999999999</v>
      </c>
      <c r="BB179" s="53">
        <f>SUMIF('2026 AC'!$B$3:$B$254,"*"&amp;$D179&amp;"*",'2026 AC'!D$3:D$254)</f>
        <v>3504.5999999999999</v>
      </c>
      <c r="BC179" s="53">
        <f>SUMIF('2026 AC'!$B$3:$B$254,"*"&amp;$D179&amp;"*",'2026 AC'!E$3:E$254)</f>
        <v>3504.5999999999999</v>
      </c>
      <c r="BD179" s="53">
        <f>SUMIF('2026 AC'!$B$3:$B$254,"*"&amp;$D179&amp;"*",'2026 AC'!F$3:F$254)</f>
        <v>3853.4400000000001</v>
      </c>
      <c r="BE179" s="53">
        <f>SUMIF('2026 AC'!$B$3:$B$254,"*"&amp;$D179&amp;"*",'2026 AC'!G$3:G$254)</f>
        <v>3853.4400000000001</v>
      </c>
      <c r="BF179" s="53">
        <f>SUMIF('2026 AC'!$B$3:$B$254,"*"&amp;$D179&amp;"*",'2026 AC'!H$3:H$254)</f>
        <v>3853.4400000000001</v>
      </c>
      <c r="BG179" s="53">
        <f>SUMIF('2026 AC'!$B$3:$B$254,"*"&amp;$D179&amp;"*",'2026 AC'!I$3:I$254)</f>
        <v>0</v>
      </c>
      <c r="BH179" s="53">
        <f>SUMIF('2026 AC'!$B$3:$B$254,"*"&amp;$D179&amp;"*",'2026 AC'!J$3:J$254)</f>
        <v>0</v>
      </c>
      <c r="BI179" s="53">
        <f>SUMIF('2026 AC'!$B$3:$B$254,"*"&amp;$D179&amp;"*",'2026 AC'!K$3:K$254)</f>
        <v>0</v>
      </c>
      <c r="BJ179" s="53">
        <f>SUMIF('2026 AC'!$B$3:$B$254,"*"&amp;$D179&amp;"*",'2026 AC'!L$3:L$254)</f>
        <v>0</v>
      </c>
      <c r="BK179" s="53">
        <f>SUMIF('2026 AC'!$B$3:$B$254,"*"&amp;$D179&amp;"*",'2026 AC'!M$3:M$254)</f>
        <v>0</v>
      </c>
      <c r="BL179" s="93">
        <f>SUMIF('2026 AC'!$B$3:$B$254,"*"&amp;$D179&amp;"*",'2026 AC'!N$3:N$254)</f>
        <v>0</v>
      </c>
      <c r="BM179" s="92">
        <f t="shared" si="207"/>
        <v>22074.119999999999</v>
      </c>
      <c r="BN179" s="93">
        <f t="shared" si="167"/>
        <v>10513.799999999999</v>
      </c>
      <c r="BO179" s="93">
        <f t="shared" si="168"/>
        <v>11560.32</v>
      </c>
      <c r="BP179" s="93">
        <f t="shared" si="169"/>
        <v>0</v>
      </c>
      <c r="BQ179" s="93">
        <f t="shared" si="170"/>
        <v>0</v>
      </c>
      <c r="BR179" s="92">
        <f t="shared" si="171"/>
        <v>22074.119999999999</v>
      </c>
    </row>
    <row r="180" ht="15" customHeight="1" outlineLevel="1">
      <c r="A180" t="s">
        <v>446</v>
      </c>
      <c r="B180" t="s">
        <v>447</v>
      </c>
      <c r="C180" s="34" t="s">
        <v>448</v>
      </c>
      <c r="D180" s="35" t="s">
        <v>413</v>
      </c>
      <c r="E180" s="151">
        <f t="shared" si="182"/>
        <v>1240</v>
      </c>
      <c r="F180" s="152">
        <f t="shared" si="183"/>
        <v>0</v>
      </c>
      <c r="G180" s="154">
        <f>IFERROR((E180-F180)/F180,1)</f>
        <v>1</v>
      </c>
      <c r="H180" s="153">
        <f t="shared" si="185"/>
        <v>4130</v>
      </c>
      <c r="I180" s="153">
        <f t="shared" si="186"/>
        <v>942</v>
      </c>
      <c r="J180" s="54">
        <f t="shared" si="203"/>
        <v>3.3842887473460723</v>
      </c>
      <c r="K180" s="153">
        <f t="shared" si="187"/>
        <v>4910</v>
      </c>
      <c r="L180" s="153">
        <f t="shared" si="188"/>
        <v>1202</v>
      </c>
      <c r="M180" s="55">
        <f t="shared" si="204"/>
        <v>3.0848585690515806</v>
      </c>
      <c r="O180" s="63">
        <f>SUMIF('2024 AC'!$B$3:$B$250,"*"&amp;$D180&amp;"*",'2024 AC'!C$3:C$250)</f>
        <v>0</v>
      </c>
      <c r="P180" s="53">
        <f>SUMIF('2024 AC'!$B$3:$B$250,"*"&amp;$D180&amp;"*",'2024 AC'!D$3:D$250)</f>
        <v>1710</v>
      </c>
      <c r="Q180" s="53">
        <f>SUMIF('2024 AC'!$B$3:$B$250,"*"&amp;$D180&amp;"*",'2024 AC'!E$3:E$250)</f>
        <v>0</v>
      </c>
      <c r="R180" s="53">
        <f>SUMIF('2024 AC'!$B$3:$B$250,"*"&amp;$D180&amp;"*",'2024 AC'!F$3:F$250)</f>
        <v>0</v>
      </c>
      <c r="S180" s="53">
        <f>SUMIF('2024 AC'!$B$3:$B$250,"*"&amp;$D180&amp;"*",'2024 AC'!G$3:G$250)</f>
        <v>0</v>
      </c>
      <c r="T180" s="53">
        <f>SUMIF('2024 AC'!$B$3:$B$250,"*"&amp;$D180&amp;"*",'2024 AC'!H$3:H$250)</f>
        <v>0</v>
      </c>
      <c r="U180" s="53">
        <f>SUMIF('2024 AC'!$B$3:$B$250,"*"&amp;$D180&amp;"*",'2024 AC'!I$3:I$250)</f>
        <v>348.25</v>
      </c>
      <c r="V180" s="53">
        <f>SUMIF('2024 AC'!$B$3:$B$250,"*"&amp;$D180&amp;"*",'2024 AC'!J$3:J$250)</f>
        <v>260</v>
      </c>
      <c r="W180" s="53">
        <f>SUMIF('2024 AC'!$B$3:$B$250,"*"&amp;$D180&amp;"*",'2024 AC'!K$3:K$250)</f>
        <v>995</v>
      </c>
      <c r="X180" s="53">
        <f>SUMIF('2024 AC'!$B$3:$B$250,"*"&amp;$D180&amp;"*",'2024 AC'!L$3:L$250)</f>
        <v>260</v>
      </c>
      <c r="Y180" s="53">
        <f>SUMIF('2024 AC'!$B$3:$B$250,"*"&amp;$D180&amp;"*",'2024 AC'!M$3:M$250)</f>
        <v>0</v>
      </c>
      <c r="Z180" s="93">
        <f>SUMIF('2024 AC'!$B$3:$B$250,"*"&amp;$D180&amp;"*",'2024 AC'!N$3:N$250)</f>
        <v>0</v>
      </c>
      <c r="AA180" s="92">
        <f t="shared" si="156"/>
        <v>3573.25</v>
      </c>
      <c r="AB180" s="93">
        <f t="shared" si="157"/>
        <v>1710</v>
      </c>
      <c r="AC180" s="93">
        <f t="shared" si="158"/>
        <v>0</v>
      </c>
      <c r="AD180" s="93">
        <f t="shared" si="159"/>
        <v>1603.25</v>
      </c>
      <c r="AE180" s="93">
        <f t="shared" si="160"/>
        <v>260</v>
      </c>
      <c r="AF180" s="92">
        <f t="shared" si="161"/>
        <v>3573.25</v>
      </c>
      <c r="AH180" s="63">
        <f>SUMIF('2025 AC'!$B$3:$B$250,"*"&amp;$D180&amp;"*",'2025 AC'!C$3:C$250)</f>
        <v>260</v>
      </c>
      <c r="AI180" s="53">
        <f>SUMIF('2025 AC'!$B$3:$B$250,"*"&amp;$D180&amp;"*",'2025 AC'!D$3:D$250)</f>
        <v>0</v>
      </c>
      <c r="AJ180" s="53">
        <f>SUMIF('2025 AC'!$B$3:$B$250,"*"&amp;$D180&amp;"*",'2025 AC'!E$3:E$250)</f>
        <v>0</v>
      </c>
      <c r="AK180" s="53">
        <f>SUMIF('2025 AC'!$B$3:$B$250,"*"&amp;$D180&amp;"*",'2025 AC'!F$3:F$250)</f>
        <v>0</v>
      </c>
      <c r="AL180" s="53">
        <f>SUMIF('2025 AC'!$B$3:$B$250,"*"&amp;$D180&amp;"*",'2025 AC'!G$3:G$250)</f>
        <v>942</v>
      </c>
      <c r="AM180" s="53">
        <f>SUMIF('2025 AC'!$B$3:$B$250,"*"&amp;$D180&amp;"*",'2025 AC'!H$3:H$250)</f>
        <v>0</v>
      </c>
      <c r="AN180" s="53">
        <f>SUMIF('2025 AC'!$B$3:$B$250,"*"&amp;$D180&amp;"*",'2025 AC'!I$3:I$250)</f>
        <v>260</v>
      </c>
      <c r="AO180" s="53">
        <f>SUMIF('2025 AC'!$B$3:$B$250,"*"&amp;$D180&amp;"*",'2025 AC'!J$3:J$250)</f>
        <v>260</v>
      </c>
      <c r="AP180" s="53">
        <f>SUMIF('2025 AC'!$B$3:$B$250,"*"&amp;$D180&amp;"*",'2025 AC'!K$3:K$250)</f>
        <v>260</v>
      </c>
      <c r="AQ180" s="53">
        <f>SUMIF('2025 AC'!$B$3:$B$250,"*"&amp;$D180&amp;"*",'2025 AC'!L$3:L$250)</f>
        <v>1730</v>
      </c>
      <c r="AR180" s="53">
        <f>SUMIF('2025 AC'!$B$3:$B$250,"*"&amp;$D180&amp;"*",'2025 AC'!M$3:M$250)</f>
        <v>260</v>
      </c>
      <c r="AS180" s="53">
        <f>SUMIF('2025 AC'!$B$3:$B$250,"*"&amp;$D180&amp;"*",'2025 AC'!N$3:N$250)</f>
        <v>260</v>
      </c>
      <c r="AT180" s="94">
        <f t="shared" si="206"/>
        <v>4232</v>
      </c>
      <c r="AU180" s="93">
        <f t="shared" si="162"/>
        <v>260</v>
      </c>
      <c r="AV180" s="93">
        <f t="shared" si="163"/>
        <v>942</v>
      </c>
      <c r="AW180" s="93">
        <f t="shared" si="164"/>
        <v>780</v>
      </c>
      <c r="AX180" s="93">
        <f t="shared" si="165"/>
        <v>2250</v>
      </c>
      <c r="AY180" s="92">
        <f t="shared" si="166"/>
        <v>4232</v>
      </c>
      <c r="BA180" s="63">
        <f>SUMIF('2026 AC'!$B$3:$B$254,"*"&amp;$D180&amp;"*",'2026 AC'!C$3:C$254)</f>
        <v>260</v>
      </c>
      <c r="BB180" s="53">
        <f>SUMIF('2026 AC'!$B$3:$B$254,"*"&amp;$D180&amp;"*",'2026 AC'!D$3:D$254)</f>
        <v>260</v>
      </c>
      <c r="BC180" s="53">
        <f>SUMIF('2026 AC'!$B$3:$B$254,"*"&amp;$D180&amp;"*",'2026 AC'!E$3:E$254)</f>
        <v>260</v>
      </c>
      <c r="BD180" s="53">
        <f>SUMIF('2026 AC'!$B$3:$B$254,"*"&amp;$D180&amp;"*",'2026 AC'!F$3:F$254)</f>
        <v>2630</v>
      </c>
      <c r="BE180" s="53">
        <f>SUMIF('2026 AC'!$B$3:$B$254,"*"&amp;$D180&amp;"*",'2026 AC'!G$3:G$254)</f>
        <v>260</v>
      </c>
      <c r="BF180" s="53">
        <f>SUMIF('2026 AC'!$B$3:$B$254,"*"&amp;$D180&amp;"*",'2026 AC'!H$3:H$254)</f>
        <v>1240</v>
      </c>
      <c r="BG180" s="53">
        <f>SUMIF('2026 AC'!$B$3:$B$254,"*"&amp;$D180&amp;"*",'2026 AC'!I$3:I$254)</f>
        <v>0</v>
      </c>
      <c r="BH180" s="53">
        <f>SUMIF('2026 AC'!$B$3:$B$254,"*"&amp;$D180&amp;"*",'2026 AC'!J$3:J$254)</f>
        <v>0</v>
      </c>
      <c r="BI180" s="53">
        <f>SUMIF('2026 AC'!$B$3:$B$254,"*"&amp;$D180&amp;"*",'2026 AC'!K$3:K$254)</f>
        <v>0</v>
      </c>
      <c r="BJ180" s="53">
        <f>SUMIF('2026 AC'!$B$3:$B$254,"*"&amp;$D180&amp;"*",'2026 AC'!L$3:L$254)</f>
        <v>0</v>
      </c>
      <c r="BK180" s="53">
        <f>SUMIF('2026 AC'!$B$3:$B$254,"*"&amp;$D180&amp;"*",'2026 AC'!M$3:M$254)</f>
        <v>0</v>
      </c>
      <c r="BL180" s="93">
        <f>SUMIF('2026 AC'!$B$3:$B$254,"*"&amp;$D180&amp;"*",'2026 AC'!N$3:N$254)</f>
        <v>0</v>
      </c>
      <c r="BM180" s="92">
        <f t="shared" si="207"/>
        <v>4910</v>
      </c>
      <c r="BN180" s="93">
        <f t="shared" si="167"/>
        <v>780</v>
      </c>
      <c r="BO180" s="93">
        <f t="shared" si="168"/>
        <v>4130</v>
      </c>
      <c r="BP180" s="93">
        <f t="shared" si="169"/>
        <v>0</v>
      </c>
      <c r="BQ180" s="93">
        <f t="shared" si="170"/>
        <v>0</v>
      </c>
      <c r="BR180" s="92">
        <f t="shared" si="171"/>
        <v>4910</v>
      </c>
    </row>
    <row r="181" ht="15" customHeight="1" outlineLevel="1">
      <c r="A181" t="s">
        <v>449</v>
      </c>
      <c r="B181" t="s">
        <v>450</v>
      </c>
      <c r="C181" s="34" t="s">
        <v>451</v>
      </c>
      <c r="D181" s="35" t="s">
        <v>416</v>
      </c>
      <c r="E181" s="151">
        <f t="shared" si="182"/>
        <v>0</v>
      </c>
      <c r="F181" s="152">
        <f t="shared" si="183"/>
        <v>0</v>
      </c>
      <c r="G181" s="154">
        <f t="shared" ref="G181:G182" si="208">IFERROR((E181-F181)/F181,0)</f>
        <v>0</v>
      </c>
      <c r="H181" s="153">
        <f t="shared" si="185"/>
        <v>0</v>
      </c>
      <c r="I181" s="153">
        <f t="shared" si="186"/>
        <v>0</v>
      </c>
      <c r="J181" s="154">
        <f>IFERROR((H181-I181)/I181,0)</f>
        <v>0</v>
      </c>
      <c r="K181" s="153">
        <f t="shared" si="187"/>
        <v>0</v>
      </c>
      <c r="L181" s="153">
        <f t="shared" si="188"/>
        <v>0</v>
      </c>
      <c r="M181" s="155">
        <f>IFERROR((K181-L181)/L181,0)</f>
        <v>0</v>
      </c>
      <c r="O181" s="63">
        <f>SUMIF('2024 AC'!$B$3:$B$250,"*"&amp;$D181&amp;"*",'2024 AC'!C$3:C$250)</f>
        <v>0</v>
      </c>
      <c r="P181" s="53">
        <f>SUMIF('2024 AC'!$B$3:$B$250,"*"&amp;$D181&amp;"*",'2024 AC'!D$3:D$250)</f>
        <v>0</v>
      </c>
      <c r="Q181" s="53">
        <f>SUMIF('2024 AC'!$B$3:$B$250,"*"&amp;$D181&amp;"*",'2024 AC'!E$3:E$250)</f>
        <v>0</v>
      </c>
      <c r="R181" s="53">
        <f>SUMIF('2024 AC'!$B$3:$B$250,"*"&amp;$D181&amp;"*",'2024 AC'!F$3:F$250)</f>
        <v>0</v>
      </c>
      <c r="S181" s="53">
        <f>SUMIF('2024 AC'!$B$3:$B$250,"*"&amp;$D181&amp;"*",'2024 AC'!G$3:G$250)</f>
        <v>0</v>
      </c>
      <c r="T181" s="53">
        <f>SUMIF('2024 AC'!$B$3:$B$250,"*"&amp;$D181&amp;"*",'2024 AC'!H$3:H$250)</f>
        <v>0</v>
      </c>
      <c r="U181" s="53">
        <f>SUMIF('2024 AC'!$B$3:$B$250,"*"&amp;$D181&amp;"*",'2024 AC'!I$3:I$250)</f>
        <v>0</v>
      </c>
      <c r="V181" s="53">
        <f>SUMIF('2024 AC'!$B$3:$B$250,"*"&amp;$D181&amp;"*",'2024 AC'!J$3:J$250)</f>
        <v>19</v>
      </c>
      <c r="W181" s="53">
        <f>SUMIF('2024 AC'!$B$3:$B$250,"*"&amp;$D181&amp;"*",'2024 AC'!K$3:K$250)</f>
        <v>0</v>
      </c>
      <c r="X181" s="53">
        <f>SUMIF('2024 AC'!$B$3:$B$250,"*"&amp;$D181&amp;"*",'2024 AC'!L$3:L$250)</f>
        <v>0</v>
      </c>
      <c r="Y181" s="53">
        <f>SUMIF('2024 AC'!$B$3:$B$250,"*"&amp;$D181&amp;"*",'2024 AC'!M$3:M$250)</f>
        <v>300</v>
      </c>
      <c r="Z181" s="93">
        <f>SUMIF('2024 AC'!$B$3:$B$250,"*"&amp;$D181&amp;"*",'2024 AC'!N$3:N$250)</f>
        <v>80</v>
      </c>
      <c r="AA181" s="92">
        <f t="shared" si="156"/>
        <v>399</v>
      </c>
      <c r="AB181" s="93">
        <f t="shared" si="157"/>
        <v>0</v>
      </c>
      <c r="AC181" s="93">
        <f t="shared" si="158"/>
        <v>0</v>
      </c>
      <c r="AD181" s="93">
        <f t="shared" si="159"/>
        <v>19</v>
      </c>
      <c r="AE181" s="93">
        <f t="shared" si="160"/>
        <v>380</v>
      </c>
      <c r="AF181" s="92">
        <f t="shared" si="161"/>
        <v>399</v>
      </c>
      <c r="AH181" s="63">
        <f>SUMIF('2025 AC'!$B$3:$B$250,"*"&amp;$D181&amp;"*",'2025 AC'!C$3:C$250)</f>
        <v>0</v>
      </c>
      <c r="AI181" s="53">
        <f>SUMIF('2025 AC'!$B$3:$B$250,"*"&amp;$D181&amp;"*",'2025 AC'!D$3:D$250)</f>
        <v>0</v>
      </c>
      <c r="AJ181" s="53">
        <f>SUMIF('2025 AC'!$B$3:$B$250,"*"&amp;$D181&amp;"*",'2025 AC'!E$3:E$250)</f>
        <v>0</v>
      </c>
      <c r="AK181" s="53">
        <f>SUMIF('2025 AC'!$B$3:$B$250,"*"&amp;$D181&amp;"*",'2025 AC'!F$3:F$250)</f>
        <v>0</v>
      </c>
      <c r="AL181" s="53">
        <f>SUMIF('2025 AC'!$B$3:$B$250,"*"&amp;$D181&amp;"*",'2025 AC'!G$3:G$250)</f>
        <v>0</v>
      </c>
      <c r="AM181" s="53">
        <f>SUMIF('2025 AC'!$B$3:$B$250,"*"&amp;$D181&amp;"*",'2025 AC'!H$3:H$250)</f>
        <v>0</v>
      </c>
      <c r="AN181" s="53">
        <f>SUMIF('2025 AC'!$B$3:$B$250,"*"&amp;$D181&amp;"*",'2025 AC'!I$3:I$250)</f>
        <v>0</v>
      </c>
      <c r="AO181" s="53">
        <f>SUMIF('2025 AC'!$B$3:$B$250,"*"&amp;$D181&amp;"*",'2025 AC'!J$3:J$250)</f>
        <v>0</v>
      </c>
      <c r="AP181" s="53">
        <f>SUMIF('2025 AC'!$B$3:$B$250,"*"&amp;$D181&amp;"*",'2025 AC'!K$3:K$250)</f>
        <v>0</v>
      </c>
      <c r="AQ181" s="53">
        <f>SUMIF('2025 AC'!$B$3:$B$250,"*"&amp;$D181&amp;"*",'2025 AC'!L$3:L$250)</f>
        <v>0</v>
      </c>
      <c r="AR181" s="53">
        <f>SUMIF('2025 AC'!$B$3:$B$250,"*"&amp;$D181&amp;"*",'2025 AC'!M$3:M$250)</f>
        <v>0</v>
      </c>
      <c r="AS181" s="53">
        <f>SUMIF('2025 AC'!$B$3:$B$250,"*"&amp;$D181&amp;"*",'2025 AC'!N$3:N$250)</f>
        <v>0</v>
      </c>
      <c r="AT181" s="94">
        <f t="shared" si="206"/>
        <v>0</v>
      </c>
      <c r="AU181" s="93">
        <f t="shared" si="162"/>
        <v>0</v>
      </c>
      <c r="AV181" s="93">
        <f t="shared" si="163"/>
        <v>0</v>
      </c>
      <c r="AW181" s="93">
        <f t="shared" si="164"/>
        <v>0</v>
      </c>
      <c r="AX181" s="93">
        <f t="shared" si="165"/>
        <v>0</v>
      </c>
      <c r="AY181" s="92">
        <f t="shared" si="166"/>
        <v>0</v>
      </c>
      <c r="BA181" s="63">
        <f>SUMIF('2026 AC'!$B$3:$B$254,"*"&amp;$D181&amp;"*",'2026 AC'!C$3:C$254)</f>
        <v>0</v>
      </c>
      <c r="BB181" s="53">
        <f>SUMIF('2026 AC'!$B$3:$B$254,"*"&amp;$D181&amp;"*",'2026 AC'!D$3:D$254)</f>
        <v>0</v>
      </c>
      <c r="BC181" s="53">
        <f>SUMIF('2026 AC'!$B$3:$B$254,"*"&amp;$D181&amp;"*",'2026 AC'!E$3:E$254)</f>
        <v>0</v>
      </c>
      <c r="BD181" s="53">
        <f>SUMIF('2026 AC'!$B$3:$B$254,"*"&amp;$D181&amp;"*",'2026 AC'!F$3:F$254)</f>
        <v>0</v>
      </c>
      <c r="BE181" s="53">
        <f>SUMIF('2026 AC'!$B$3:$B$254,"*"&amp;$D181&amp;"*",'2026 AC'!G$3:G$254)</f>
        <v>0</v>
      </c>
      <c r="BF181" s="53">
        <f>SUMIF('2026 AC'!$B$3:$B$254,"*"&amp;$D181&amp;"*",'2026 AC'!H$3:H$254)</f>
        <v>0</v>
      </c>
      <c r="BG181" s="53">
        <f>SUMIF('2026 AC'!$B$3:$B$254,"*"&amp;$D181&amp;"*",'2026 AC'!I$3:I$254)</f>
        <v>0</v>
      </c>
      <c r="BH181" s="53">
        <f>SUMIF('2026 AC'!$B$3:$B$254,"*"&amp;$D181&amp;"*",'2026 AC'!J$3:J$254)</f>
        <v>0</v>
      </c>
      <c r="BI181" s="53">
        <f>SUMIF('2026 AC'!$B$3:$B$254,"*"&amp;$D181&amp;"*",'2026 AC'!K$3:K$254)</f>
        <v>0</v>
      </c>
      <c r="BJ181" s="53">
        <f>SUMIF('2026 AC'!$B$3:$B$254,"*"&amp;$D181&amp;"*",'2026 AC'!L$3:L$254)</f>
        <v>0</v>
      </c>
      <c r="BK181" s="53">
        <f>SUMIF('2026 AC'!$B$3:$B$254,"*"&amp;$D181&amp;"*",'2026 AC'!M$3:M$254)</f>
        <v>0</v>
      </c>
      <c r="BL181" s="93">
        <f>SUMIF('2026 AC'!$B$3:$B$254,"*"&amp;$D181&amp;"*",'2026 AC'!N$3:N$254)</f>
        <v>0</v>
      </c>
      <c r="BM181" s="92">
        <f t="shared" si="207"/>
        <v>0</v>
      </c>
      <c r="BN181" s="93">
        <f t="shared" si="167"/>
        <v>0</v>
      </c>
      <c r="BO181" s="93">
        <f t="shared" si="168"/>
        <v>0</v>
      </c>
      <c r="BP181" s="93">
        <f t="shared" si="169"/>
        <v>0</v>
      </c>
      <c r="BQ181" s="93">
        <f t="shared" si="170"/>
        <v>0</v>
      </c>
      <c r="BR181" s="92">
        <f t="shared" si="171"/>
        <v>0</v>
      </c>
    </row>
    <row r="182" ht="15" customHeight="1" outlineLevel="1">
      <c r="A182" t="s">
        <v>452</v>
      </c>
      <c r="B182" t="s">
        <v>453</v>
      </c>
      <c r="C182" s="34" t="s">
        <v>454</v>
      </c>
      <c r="D182" s="35" t="s">
        <v>419</v>
      </c>
      <c r="E182" s="151">
        <f t="shared" si="182"/>
        <v>0</v>
      </c>
      <c r="F182" s="152">
        <f t="shared" si="183"/>
        <v>0</v>
      </c>
      <c r="G182" s="154">
        <f t="shared" si="208"/>
        <v>0</v>
      </c>
      <c r="H182" s="153">
        <f t="shared" si="185"/>
        <v>0</v>
      </c>
      <c r="I182" s="153">
        <f t="shared" si="186"/>
        <v>0</v>
      </c>
      <c r="J182" s="54" t="e">
        <f t="shared" ref="J182:J190" si="209">(H182-I182)/I182</f>
        <v>#DIV/0!</v>
      </c>
      <c r="K182" s="153">
        <f t="shared" si="187"/>
        <v>0</v>
      </c>
      <c r="L182" s="153">
        <f t="shared" si="188"/>
        <v>0</v>
      </c>
      <c r="M182" s="55" t="e">
        <f t="shared" ref="M182:M190" si="210">(K182-L182)/L182</f>
        <v>#DIV/0!</v>
      </c>
      <c r="O182" s="63">
        <f>SUMIF('2024 AC'!$B$3:$B$250,"*"&amp;$D182&amp;"*",'2024 AC'!C$3:C$250)</f>
        <v>0</v>
      </c>
      <c r="P182" s="53">
        <f>SUMIF('2024 AC'!$B$3:$B$250,"*"&amp;$D182&amp;"*",'2024 AC'!D$3:D$250)</f>
        <v>0</v>
      </c>
      <c r="Q182" s="53">
        <f>SUMIF('2024 AC'!$B$3:$B$250,"*"&amp;$D182&amp;"*",'2024 AC'!E$3:E$250)</f>
        <v>0</v>
      </c>
      <c r="R182" s="53">
        <f>SUMIF('2024 AC'!$B$3:$B$250,"*"&amp;$D182&amp;"*",'2024 AC'!F$3:F$250)</f>
        <v>4500</v>
      </c>
      <c r="S182" s="53">
        <f>SUMIF('2024 AC'!$B$3:$B$250,"*"&amp;$D182&amp;"*",'2024 AC'!G$3:G$250)</f>
        <v>59</v>
      </c>
      <c r="T182" s="53">
        <f>SUMIF('2024 AC'!$B$3:$B$250,"*"&amp;$D182&amp;"*",'2024 AC'!H$3:H$250)</f>
        <v>0</v>
      </c>
      <c r="U182" s="53">
        <f>SUMIF('2024 AC'!$B$3:$B$250,"*"&amp;$D182&amp;"*",'2024 AC'!I$3:I$250)</f>
        <v>0</v>
      </c>
      <c r="V182" s="53">
        <f>SUMIF('2024 AC'!$B$3:$B$250,"*"&amp;$D182&amp;"*",'2024 AC'!J$3:J$250)</f>
        <v>0</v>
      </c>
      <c r="W182" s="53">
        <f>SUMIF('2024 AC'!$B$3:$B$250,"*"&amp;$D182&amp;"*",'2024 AC'!K$3:K$250)</f>
        <v>0</v>
      </c>
      <c r="X182" s="53">
        <f>SUMIF('2024 AC'!$B$3:$B$250,"*"&amp;$D182&amp;"*",'2024 AC'!L$3:L$250)</f>
        <v>0</v>
      </c>
      <c r="Y182" s="53">
        <f>SUMIF('2024 AC'!$B$3:$B$250,"*"&amp;$D182&amp;"*",'2024 AC'!M$3:M$250)</f>
        <v>330</v>
      </c>
      <c r="Z182" s="93">
        <f>SUMIF('2024 AC'!$B$3:$B$250,"*"&amp;$D182&amp;"*",'2024 AC'!N$3:N$250)</f>
        <v>0</v>
      </c>
      <c r="AA182" s="92">
        <f t="shared" si="156"/>
        <v>4889</v>
      </c>
      <c r="AB182" s="93">
        <f t="shared" si="157"/>
        <v>0</v>
      </c>
      <c r="AC182" s="93">
        <f t="shared" si="158"/>
        <v>4559</v>
      </c>
      <c r="AD182" s="93">
        <f t="shared" si="159"/>
        <v>0</v>
      </c>
      <c r="AE182" s="93">
        <f t="shared" si="160"/>
        <v>330</v>
      </c>
      <c r="AF182" s="92">
        <f t="shared" si="161"/>
        <v>4889</v>
      </c>
      <c r="AH182" s="63">
        <f>SUMIF('2025 AC'!$B$3:$B$250,"*"&amp;$D182&amp;"*",'2025 AC'!C$3:C$250)</f>
        <v>0</v>
      </c>
      <c r="AI182" s="53">
        <f>SUMIF('2025 AC'!$B$3:$B$250,"*"&amp;$D182&amp;"*",'2025 AC'!D$3:D$250)</f>
        <v>0</v>
      </c>
      <c r="AJ182" s="53">
        <f>SUMIF('2025 AC'!$B$3:$B$250,"*"&amp;$D182&amp;"*",'2025 AC'!E$3:E$250)</f>
        <v>0</v>
      </c>
      <c r="AK182" s="53">
        <f>SUMIF('2025 AC'!$B$3:$B$250,"*"&amp;$D182&amp;"*",'2025 AC'!F$3:F$250)</f>
        <v>0</v>
      </c>
      <c r="AL182" s="53">
        <f>SUMIF('2025 AC'!$B$3:$B$250,"*"&amp;$D182&amp;"*",'2025 AC'!G$3:G$250)</f>
        <v>0</v>
      </c>
      <c r="AM182" s="53">
        <f>SUMIF('2025 AC'!$B$3:$B$250,"*"&amp;$D182&amp;"*",'2025 AC'!H$3:H$250)</f>
        <v>0</v>
      </c>
      <c r="AN182" s="53">
        <f>SUMIF('2025 AC'!$B$3:$B$250,"*"&amp;$D182&amp;"*",'2025 AC'!I$3:I$250)</f>
        <v>0</v>
      </c>
      <c r="AO182" s="53">
        <f>SUMIF('2025 AC'!$B$3:$B$250,"*"&amp;$D182&amp;"*",'2025 AC'!J$3:J$250)</f>
        <v>0</v>
      </c>
      <c r="AP182" s="53">
        <f>SUMIF('2025 AC'!$B$3:$B$250,"*"&amp;$D182&amp;"*",'2025 AC'!K$3:K$250)</f>
        <v>0</v>
      </c>
      <c r="AQ182" s="53">
        <f>SUMIF('2025 AC'!$B$3:$B$250,"*"&amp;$D182&amp;"*",'2025 AC'!L$3:L$250)</f>
        <v>0</v>
      </c>
      <c r="AR182" s="53">
        <f>SUMIF('2025 AC'!$B$3:$B$250,"*"&amp;$D182&amp;"*",'2025 AC'!M$3:M$250)</f>
        <v>0</v>
      </c>
      <c r="AS182" s="53">
        <f>SUMIF('2025 AC'!$B$3:$B$250,"*"&amp;$D182&amp;"*",'2025 AC'!N$3:N$250)</f>
        <v>0</v>
      </c>
      <c r="AT182" s="94">
        <f t="shared" si="206"/>
        <v>0</v>
      </c>
      <c r="AU182" s="93">
        <f t="shared" si="162"/>
        <v>0</v>
      </c>
      <c r="AV182" s="93">
        <f t="shared" si="163"/>
        <v>0</v>
      </c>
      <c r="AW182" s="93">
        <f t="shared" si="164"/>
        <v>0</v>
      </c>
      <c r="AX182" s="93">
        <f t="shared" si="165"/>
        <v>0</v>
      </c>
      <c r="AY182" s="92">
        <f t="shared" si="166"/>
        <v>0</v>
      </c>
      <c r="BA182" s="63">
        <f>SUMIF('2026 AC'!$B$3:$B$254,"*"&amp;$D182&amp;"*",'2026 AC'!C$3:C$254)</f>
        <v>0</v>
      </c>
      <c r="BB182" s="53">
        <f>SUMIF('2026 AC'!$B$3:$B$254,"*"&amp;$D182&amp;"*",'2026 AC'!D$3:D$254)</f>
        <v>0</v>
      </c>
      <c r="BC182" s="53">
        <f>SUMIF('2026 AC'!$B$3:$B$254,"*"&amp;$D182&amp;"*",'2026 AC'!E$3:E$254)</f>
        <v>0</v>
      </c>
      <c r="BD182" s="53">
        <f>SUMIF('2026 AC'!$B$3:$B$254,"*"&amp;$D182&amp;"*",'2026 AC'!F$3:F$254)</f>
        <v>0</v>
      </c>
      <c r="BE182" s="53">
        <f>SUMIF('2026 AC'!$B$3:$B$254,"*"&amp;$D182&amp;"*",'2026 AC'!G$3:G$254)</f>
        <v>0</v>
      </c>
      <c r="BF182" s="53">
        <f>SUMIF('2026 AC'!$B$3:$B$254,"*"&amp;$D182&amp;"*",'2026 AC'!H$3:H$254)</f>
        <v>0</v>
      </c>
      <c r="BG182" s="53">
        <f>SUMIF('2026 AC'!$B$3:$B$254,"*"&amp;$D182&amp;"*",'2026 AC'!I$3:I$254)</f>
        <v>0</v>
      </c>
      <c r="BH182" s="53">
        <f>SUMIF('2026 AC'!$B$3:$B$254,"*"&amp;$D182&amp;"*",'2026 AC'!J$3:J$254)</f>
        <v>0</v>
      </c>
      <c r="BI182" s="53">
        <f>SUMIF('2026 AC'!$B$3:$B$254,"*"&amp;$D182&amp;"*",'2026 AC'!K$3:K$254)</f>
        <v>0</v>
      </c>
      <c r="BJ182" s="53">
        <f>SUMIF('2026 AC'!$B$3:$B$254,"*"&amp;$D182&amp;"*",'2026 AC'!L$3:L$254)</f>
        <v>0</v>
      </c>
      <c r="BK182" s="53">
        <f>SUMIF('2026 AC'!$B$3:$B$254,"*"&amp;$D182&amp;"*",'2026 AC'!M$3:M$254)</f>
        <v>0</v>
      </c>
      <c r="BL182" s="93">
        <f>SUMIF('2026 AC'!$B$3:$B$254,"*"&amp;$D182&amp;"*",'2026 AC'!N$3:N$254)</f>
        <v>0</v>
      </c>
      <c r="BM182" s="92">
        <f t="shared" si="207"/>
        <v>0</v>
      </c>
      <c r="BN182" s="93">
        <f t="shared" si="167"/>
        <v>0</v>
      </c>
      <c r="BO182" s="93">
        <f t="shared" si="168"/>
        <v>0</v>
      </c>
      <c r="BP182" s="93">
        <f t="shared" si="169"/>
        <v>0</v>
      </c>
      <c r="BQ182" s="93">
        <f t="shared" si="170"/>
        <v>0</v>
      </c>
      <c r="BR182" s="92">
        <f t="shared" si="171"/>
        <v>0</v>
      </c>
    </row>
    <row r="183" ht="15" customHeight="1" outlineLevel="1">
      <c r="A183" t="s">
        <v>455</v>
      </c>
      <c r="B183" t="s">
        <v>456</v>
      </c>
      <c r="C183" s="34" t="s">
        <v>457</v>
      </c>
      <c r="D183" s="35" t="s">
        <v>422</v>
      </c>
      <c r="E183" s="151">
        <f t="shared" si="182"/>
        <v>1221</v>
      </c>
      <c r="F183" s="152">
        <f t="shared" si="183"/>
        <v>0</v>
      </c>
      <c r="G183" s="154">
        <f>IFERROR((E183-F183)/F183,1)</f>
        <v>1</v>
      </c>
      <c r="H183" s="153">
        <f t="shared" si="185"/>
        <v>1448.4000000000001</v>
      </c>
      <c r="I183" s="153">
        <f t="shared" si="186"/>
        <v>3429</v>
      </c>
      <c r="J183" s="154">
        <f>IFERROR((H183-I183)/I183,1)</f>
        <v>-0.57760279965004369</v>
      </c>
      <c r="K183" s="153">
        <f t="shared" si="187"/>
        <v>1598.4000000000001</v>
      </c>
      <c r="L183" s="153">
        <f t="shared" si="188"/>
        <v>6559</v>
      </c>
      <c r="M183" s="155">
        <f>IFERROR((K183-L183)/L183,1)</f>
        <v>-0.75630431468211623</v>
      </c>
      <c r="O183" s="63">
        <f>SUMIF('2024 AC'!$B$3:$B$250,"*"&amp;$D183&amp;"*",'2024 AC'!C$3:C$250)</f>
        <v>0</v>
      </c>
      <c r="P183" s="53">
        <f>SUMIF('2024 AC'!$B$3:$B$250,"*"&amp;$D183&amp;"*",'2024 AC'!D$3:D$250)</f>
        <v>0</v>
      </c>
      <c r="Q183" s="53">
        <f>SUMIF('2024 AC'!$B$3:$B$250,"*"&amp;$D183&amp;"*",'2024 AC'!E$3:E$250)</f>
        <v>300</v>
      </c>
      <c r="R183" s="53">
        <f>SUMIF('2024 AC'!$B$3:$B$250,"*"&amp;$D183&amp;"*",'2024 AC'!F$3:F$250)</f>
        <v>1070</v>
      </c>
      <c r="S183" s="53">
        <f>SUMIF('2024 AC'!$B$3:$B$250,"*"&amp;$D183&amp;"*",'2024 AC'!G$3:G$250)</f>
        <v>320</v>
      </c>
      <c r="T183" s="53">
        <f>SUMIF('2024 AC'!$B$3:$B$250,"*"&amp;$D183&amp;"*",'2024 AC'!H$3:H$250)</f>
        <v>295</v>
      </c>
      <c r="U183" s="53">
        <f>SUMIF('2024 AC'!$B$3:$B$250,"*"&amp;$D183&amp;"*",'2024 AC'!I$3:I$250)</f>
        <v>4350</v>
      </c>
      <c r="V183" s="53">
        <f>SUMIF('2024 AC'!$B$3:$B$250,"*"&amp;$D183&amp;"*",'2024 AC'!J$3:J$250)</f>
        <v>715</v>
      </c>
      <c r="W183" s="53">
        <f>SUMIF('2024 AC'!$B$3:$B$250,"*"&amp;$D183&amp;"*",'2024 AC'!K$3:K$250)</f>
        <v>1295</v>
      </c>
      <c r="X183" s="53">
        <f>SUMIF('2024 AC'!$B$3:$B$250,"*"&amp;$D183&amp;"*",'2024 AC'!L$3:L$250)</f>
        <v>29.5</v>
      </c>
      <c r="Y183" s="53">
        <f>SUMIF('2024 AC'!$B$3:$B$250,"*"&amp;$D183&amp;"*",'2024 AC'!M$3:M$250)</f>
        <v>588.28999999999996</v>
      </c>
      <c r="Z183" s="93">
        <f>SUMIF('2024 AC'!$B$3:$B$250,"*"&amp;$D183&amp;"*",'2024 AC'!N$3:N$250)</f>
        <v>801</v>
      </c>
      <c r="AA183" s="92">
        <f t="shared" si="156"/>
        <v>9763.7900000000009</v>
      </c>
      <c r="AB183" s="93">
        <f t="shared" si="157"/>
        <v>300</v>
      </c>
      <c r="AC183" s="93">
        <f t="shared" si="158"/>
        <v>1685</v>
      </c>
      <c r="AD183" s="93">
        <f t="shared" si="159"/>
        <v>6360</v>
      </c>
      <c r="AE183" s="93">
        <f t="shared" si="160"/>
        <v>1418.79</v>
      </c>
      <c r="AF183" s="92">
        <f t="shared" si="161"/>
        <v>9763.7900000000009</v>
      </c>
      <c r="AH183" s="63">
        <f>SUMIF('2025 AC'!$B$3:$B$250,"*"&amp;$D183&amp;"*",'2025 AC'!C$3:C$250)</f>
        <v>3130</v>
      </c>
      <c r="AI183" s="53">
        <f>SUMIF('2025 AC'!$B$3:$B$250,"*"&amp;$D183&amp;"*",'2025 AC'!D$3:D$250)</f>
        <v>0</v>
      </c>
      <c r="AJ183" s="53">
        <f>SUMIF('2025 AC'!$B$3:$B$250,"*"&amp;$D183&amp;"*",'2025 AC'!E$3:E$250)</f>
        <v>0</v>
      </c>
      <c r="AK183" s="53">
        <f>SUMIF('2025 AC'!$B$3:$B$250,"*"&amp;$D183&amp;"*",'2025 AC'!F$3:F$250)</f>
        <v>1609</v>
      </c>
      <c r="AL183" s="53">
        <f>SUMIF('2025 AC'!$B$3:$B$250,"*"&amp;$D183&amp;"*",'2025 AC'!G$3:G$250)</f>
        <v>1820</v>
      </c>
      <c r="AM183" s="53">
        <f>SUMIF('2025 AC'!$B$3:$B$250,"*"&amp;$D183&amp;"*",'2025 AC'!H$3:H$250)</f>
        <v>0</v>
      </c>
      <c r="AN183" s="53">
        <f>SUMIF('2025 AC'!$B$3:$B$250,"*"&amp;$D183&amp;"*",'2025 AC'!I$3:I$250)</f>
        <v>0</v>
      </c>
      <c r="AO183" s="53">
        <f>SUMIF('2025 AC'!$B$3:$B$250,"*"&amp;$D183&amp;"*",'2025 AC'!J$3:J$250)</f>
        <v>0</v>
      </c>
      <c r="AP183" s="53">
        <f>SUMIF('2025 AC'!$B$3:$B$250,"*"&amp;$D183&amp;"*",'2025 AC'!K$3:K$250)</f>
        <v>50</v>
      </c>
      <c r="AQ183" s="53">
        <f>SUMIF('2025 AC'!$B$3:$B$250,"*"&amp;$D183&amp;"*",'2025 AC'!L$3:L$250)</f>
        <v>0</v>
      </c>
      <c r="AR183" s="53">
        <f>SUMIF('2025 AC'!$B$3:$B$250,"*"&amp;$D183&amp;"*",'2025 AC'!M$3:M$250)</f>
        <v>0</v>
      </c>
      <c r="AS183" s="53">
        <f>SUMIF('2025 AC'!$B$3:$B$250,"*"&amp;$D183&amp;"*",'2025 AC'!N$3:N$250)</f>
        <v>0</v>
      </c>
      <c r="AT183" s="94">
        <f t="shared" si="206"/>
        <v>6609</v>
      </c>
      <c r="AU183" s="93">
        <f t="shared" si="162"/>
        <v>3130</v>
      </c>
      <c r="AV183" s="93">
        <f t="shared" si="163"/>
        <v>3429</v>
      </c>
      <c r="AW183" s="93">
        <f t="shared" si="164"/>
        <v>50</v>
      </c>
      <c r="AX183" s="93">
        <f t="shared" si="165"/>
        <v>0</v>
      </c>
      <c r="AY183" s="92">
        <f t="shared" si="166"/>
        <v>6609</v>
      </c>
      <c r="BA183" s="63">
        <f>SUMIF('2026 AC'!$B$3:$B$254,"*"&amp;$D183&amp;"*",'2026 AC'!C$3:C$254)</f>
        <v>0</v>
      </c>
      <c r="BB183" s="53">
        <f>SUMIF('2026 AC'!$B$3:$B$254,"*"&amp;$D183&amp;"*",'2026 AC'!D$3:D$254)</f>
        <v>0</v>
      </c>
      <c r="BC183" s="53">
        <f>SUMIF('2026 AC'!$B$3:$B$254,"*"&amp;$D183&amp;"*",'2026 AC'!E$3:E$254)</f>
        <v>150</v>
      </c>
      <c r="BD183" s="53">
        <f>SUMIF('2026 AC'!$B$3:$B$254,"*"&amp;$D183&amp;"*",'2026 AC'!F$3:F$254)</f>
        <v>107</v>
      </c>
      <c r="BE183" s="53">
        <f>SUMIF('2026 AC'!$B$3:$B$254,"*"&amp;$D183&amp;"*",'2026 AC'!G$3:G$254)</f>
        <v>120.40000000000001</v>
      </c>
      <c r="BF183" s="53">
        <f>SUMIF('2026 AC'!$B$3:$B$254,"*"&amp;$D183&amp;"*",'2026 AC'!H$3:H$254)</f>
        <v>1221</v>
      </c>
      <c r="BG183" s="53">
        <f>SUMIF('2026 AC'!$B$3:$B$254,"*"&amp;$D183&amp;"*",'2026 AC'!I$3:I$254)</f>
        <v>0</v>
      </c>
      <c r="BH183" s="53">
        <f>SUMIF('2026 AC'!$B$3:$B$254,"*"&amp;$D183&amp;"*",'2026 AC'!J$3:J$254)</f>
        <v>0</v>
      </c>
      <c r="BI183" s="53">
        <f>SUMIF('2026 AC'!$B$3:$B$254,"*"&amp;$D183&amp;"*",'2026 AC'!K$3:K$254)</f>
        <v>0</v>
      </c>
      <c r="BJ183" s="53">
        <f>SUMIF('2026 AC'!$B$3:$B$254,"*"&amp;$D183&amp;"*",'2026 AC'!L$3:L$254)</f>
        <v>0</v>
      </c>
      <c r="BK183" s="53">
        <f>SUMIF('2026 AC'!$B$3:$B$254,"*"&amp;$D183&amp;"*",'2026 AC'!M$3:M$254)</f>
        <v>0</v>
      </c>
      <c r="BL183" s="93">
        <f>SUMIF('2026 AC'!$B$3:$B$254,"*"&amp;$D183&amp;"*",'2026 AC'!N$3:N$254)</f>
        <v>0</v>
      </c>
      <c r="BM183" s="92">
        <f t="shared" si="207"/>
        <v>1598.4000000000001</v>
      </c>
      <c r="BN183" s="93">
        <f t="shared" si="167"/>
        <v>150</v>
      </c>
      <c r="BO183" s="93">
        <f t="shared" si="168"/>
        <v>1448.4000000000001</v>
      </c>
      <c r="BP183" s="93">
        <f t="shared" si="169"/>
        <v>0</v>
      </c>
      <c r="BQ183" s="93">
        <f t="shared" si="170"/>
        <v>0</v>
      </c>
      <c r="BR183" s="92">
        <f t="shared" si="171"/>
        <v>1598.4000000000001</v>
      </c>
    </row>
    <row r="184" ht="15" customHeight="1" outlineLevel="1">
      <c r="A184" t="s">
        <v>458</v>
      </c>
      <c r="B184" t="s">
        <v>459</v>
      </c>
      <c r="C184" s="34" t="s">
        <v>460</v>
      </c>
      <c r="D184" s="35" t="s">
        <v>461</v>
      </c>
      <c r="E184" s="153">
        <f t="shared" si="182"/>
        <v>2214</v>
      </c>
      <c r="F184" s="152">
        <f t="shared" si="183"/>
        <v>2214</v>
      </c>
      <c r="G184" s="54">
        <f t="shared" ref="G184:G190" si="211">(E184-F184)/F184</f>
        <v>0</v>
      </c>
      <c r="H184" s="153">
        <f t="shared" si="185"/>
        <v>6642</v>
      </c>
      <c r="I184" s="153">
        <f t="shared" si="186"/>
        <v>6642</v>
      </c>
      <c r="J184" s="54">
        <f t="shared" si="209"/>
        <v>0</v>
      </c>
      <c r="K184" s="153">
        <f t="shared" si="187"/>
        <v>13284</v>
      </c>
      <c r="L184" s="153">
        <f t="shared" si="188"/>
        <v>19170</v>
      </c>
      <c r="M184" s="55">
        <f t="shared" si="210"/>
        <v>-0.30704225352112674</v>
      </c>
      <c r="O184" s="63">
        <f>SUMIF('2024 AC'!$B$3:$B$250,"*"&amp;$D184&amp;"*",'2024 AC'!C$3:C$250)</f>
        <v>265</v>
      </c>
      <c r="P184" s="53">
        <f>SUMIF('2024 AC'!$B$3:$B$250,"*"&amp;$D184&amp;"*",'2024 AC'!D$3:D$250)</f>
        <v>901</v>
      </c>
      <c r="Q184" s="53">
        <f>SUMIF('2024 AC'!$B$3:$B$250,"*"&amp;$D184&amp;"*",'2024 AC'!E$3:E$250)</f>
        <v>270</v>
      </c>
      <c r="R184" s="53">
        <f>SUMIF('2024 AC'!$B$3:$B$250,"*"&amp;$D184&amp;"*",'2024 AC'!F$3:F$250)</f>
        <v>270</v>
      </c>
      <c r="S184" s="53">
        <f>SUMIF('2024 AC'!$B$3:$B$250,"*"&amp;$D184&amp;"*",'2024 AC'!G$3:G$250)</f>
        <v>2214</v>
      </c>
      <c r="T184" s="53">
        <f>SUMIF('2024 AC'!$B$3:$B$250,"*"&amp;$D184&amp;"*",'2024 AC'!H$3:H$250)</f>
        <v>2214</v>
      </c>
      <c r="U184" s="53">
        <f>SUMIF('2024 AC'!$B$3:$B$250,"*"&amp;$D184&amp;"*",'2024 AC'!I$3:I$250)</f>
        <v>2214</v>
      </c>
      <c r="V184" s="53">
        <f>SUMIF('2024 AC'!$B$3:$B$250,"*"&amp;$D184&amp;"*",'2024 AC'!J$3:J$250)</f>
        <v>0</v>
      </c>
      <c r="W184" s="53">
        <f>SUMIF('2024 AC'!$B$3:$B$250,"*"&amp;$D184&amp;"*",'2024 AC'!K$3:K$250)</f>
        <v>2214</v>
      </c>
      <c r="X184" s="53">
        <f>SUMIF('2024 AC'!$B$3:$B$250,"*"&amp;$D184&amp;"*",'2024 AC'!L$3:L$250)</f>
        <v>2214</v>
      </c>
      <c r="Y184" s="53">
        <f>SUMIF('2024 AC'!$B$3:$B$250,"*"&amp;$D184&amp;"*",'2024 AC'!M$3:M$250)</f>
        <v>2214</v>
      </c>
      <c r="Z184" s="93">
        <f>SUMIF('2024 AC'!$B$3:$B$250,"*"&amp;$D184&amp;"*",'2024 AC'!N$3:N$250)</f>
        <v>1130</v>
      </c>
      <c r="AA184" s="92">
        <f t="shared" si="156"/>
        <v>16120</v>
      </c>
      <c r="AB184" s="93">
        <f t="shared" si="157"/>
        <v>1436</v>
      </c>
      <c r="AC184" s="93">
        <f t="shared" si="158"/>
        <v>4698</v>
      </c>
      <c r="AD184" s="93">
        <f t="shared" si="159"/>
        <v>4428</v>
      </c>
      <c r="AE184" s="93">
        <f t="shared" si="160"/>
        <v>5558</v>
      </c>
      <c r="AF184" s="92">
        <f t="shared" si="161"/>
        <v>16120</v>
      </c>
      <c r="AH184" s="63">
        <f>SUMIF('2025 AC'!$B$3:$B$250,"*"&amp;$D184&amp;"*",'2025 AC'!C$3:C$250)</f>
        <v>2214</v>
      </c>
      <c r="AI184" s="53">
        <f>SUMIF('2025 AC'!$B$3:$B$250,"*"&amp;$D184&amp;"*",'2025 AC'!D$3:D$250)</f>
        <v>8100</v>
      </c>
      <c r="AJ184" s="53">
        <f>SUMIF('2025 AC'!$B$3:$B$250,"*"&amp;$D184&amp;"*",'2025 AC'!E$3:E$250)</f>
        <v>2214</v>
      </c>
      <c r="AK184" s="53">
        <f>SUMIF('2025 AC'!$B$3:$B$250,"*"&amp;$D184&amp;"*",'2025 AC'!F$3:F$250)</f>
        <v>2214</v>
      </c>
      <c r="AL184" s="53">
        <f>SUMIF('2025 AC'!$B$3:$B$250,"*"&amp;$D184&amp;"*",'2025 AC'!G$3:G$250)</f>
        <v>2214</v>
      </c>
      <c r="AM184" s="53">
        <f>SUMIF('2025 AC'!$B$3:$B$250,"*"&amp;$D184&amp;"*",'2025 AC'!H$3:H$250)</f>
        <v>2214</v>
      </c>
      <c r="AN184" s="53">
        <f>SUMIF('2025 AC'!$B$3:$B$250,"*"&amp;$D184&amp;"*",'2025 AC'!I$3:I$250)</f>
        <v>7437</v>
      </c>
      <c r="AO184" s="53">
        <f>SUMIF('2025 AC'!$B$3:$B$250,"*"&amp;$D184&amp;"*",'2025 AC'!J$3:J$250)</f>
        <v>2214</v>
      </c>
      <c r="AP184" s="53">
        <f>SUMIF('2025 AC'!$B$3:$B$250,"*"&amp;$D184&amp;"*",'2025 AC'!K$3:K$250)</f>
        <v>2214</v>
      </c>
      <c r="AQ184" s="53">
        <f>SUMIF('2025 AC'!$B$3:$B$250,"*"&amp;$D184&amp;"*",'2025 AC'!L$3:L$250)</f>
        <v>2214</v>
      </c>
      <c r="AR184" s="53">
        <f>SUMIF('2025 AC'!$B$3:$B$250,"*"&amp;$D184&amp;"*",'2025 AC'!M$3:M$250)</f>
        <v>2242</v>
      </c>
      <c r="AS184" s="53">
        <f>SUMIF('2025 AC'!$B$3:$B$250,"*"&amp;$D184&amp;"*",'2025 AC'!N$3:N$250)</f>
        <v>2214</v>
      </c>
      <c r="AT184" s="94">
        <f t="shared" si="206"/>
        <v>37705</v>
      </c>
      <c r="AU184" s="93">
        <f t="shared" si="162"/>
        <v>12528</v>
      </c>
      <c r="AV184" s="93">
        <f t="shared" si="163"/>
        <v>6642</v>
      </c>
      <c r="AW184" s="93">
        <f t="shared" si="164"/>
        <v>11865</v>
      </c>
      <c r="AX184" s="93">
        <f t="shared" si="165"/>
        <v>6670</v>
      </c>
      <c r="AY184" s="92">
        <f t="shared" si="166"/>
        <v>37705</v>
      </c>
      <c r="BA184" s="63">
        <f>SUMIF('2026 AC'!$B$3:$B$254,"*"&amp;$D184&amp;"*",'2026 AC'!C$3:C$254)</f>
        <v>2214</v>
      </c>
      <c r="BB184" s="53">
        <f>SUMIF('2026 AC'!$B$3:$B$254,"*"&amp;$D184&amp;"*",'2026 AC'!D$3:D$254)</f>
        <v>2214</v>
      </c>
      <c r="BC184" s="53">
        <f>SUMIF('2026 AC'!$B$3:$B$254,"*"&amp;$D184&amp;"*",'2026 AC'!E$3:E$254)</f>
        <v>2214</v>
      </c>
      <c r="BD184" s="53">
        <f>SUMIF('2026 AC'!$B$3:$B$254,"*"&amp;$D184&amp;"*",'2026 AC'!F$3:F$254)</f>
        <v>2214</v>
      </c>
      <c r="BE184" s="53">
        <f>SUMIF('2026 AC'!$B$3:$B$254,"*"&amp;$D184&amp;"*",'2026 AC'!G$3:G$254)</f>
        <v>2214</v>
      </c>
      <c r="BF184" s="53">
        <f>SUMIF('2026 AC'!$B$3:$B$254,"*"&amp;$D184&amp;"*",'2026 AC'!H$3:H$254)</f>
        <v>2214</v>
      </c>
      <c r="BG184" s="53">
        <f>SUMIF('2026 AC'!$B$3:$B$254,"*"&amp;$D184&amp;"*",'2026 AC'!I$3:I$254)</f>
        <v>0</v>
      </c>
      <c r="BH184" s="53">
        <f>SUMIF('2026 AC'!$B$3:$B$254,"*"&amp;$D184&amp;"*",'2026 AC'!J$3:J$254)</f>
        <v>0</v>
      </c>
      <c r="BI184" s="53">
        <f>SUMIF('2026 AC'!$B$3:$B$254,"*"&amp;$D184&amp;"*",'2026 AC'!K$3:K$254)</f>
        <v>0</v>
      </c>
      <c r="BJ184" s="53">
        <f>SUMIF('2026 AC'!$B$3:$B$254,"*"&amp;$D184&amp;"*",'2026 AC'!L$3:L$254)</f>
        <v>0</v>
      </c>
      <c r="BK184" s="53">
        <f>SUMIF('2026 AC'!$B$3:$B$254,"*"&amp;$D184&amp;"*",'2026 AC'!M$3:M$254)</f>
        <v>0</v>
      </c>
      <c r="BL184" s="93">
        <f>SUMIF('2026 AC'!$B$3:$B$254,"*"&amp;$D184&amp;"*",'2026 AC'!N$3:N$254)</f>
        <v>0</v>
      </c>
      <c r="BM184" s="92">
        <f t="shared" si="207"/>
        <v>13284</v>
      </c>
      <c r="BN184" s="93">
        <f t="shared" si="167"/>
        <v>6642</v>
      </c>
      <c r="BO184" s="93">
        <f t="shared" si="168"/>
        <v>6642</v>
      </c>
      <c r="BP184" s="93">
        <f t="shared" si="169"/>
        <v>0</v>
      </c>
      <c r="BQ184" s="93">
        <f t="shared" si="170"/>
        <v>0</v>
      </c>
      <c r="BR184" s="92">
        <f t="shared" si="171"/>
        <v>13284</v>
      </c>
    </row>
    <row r="185" ht="15" customHeight="1" outlineLevel="1">
      <c r="A185" t="s">
        <v>462</v>
      </c>
      <c r="B185" t="s">
        <v>463</v>
      </c>
      <c r="C185" s="34" t="s">
        <v>464</v>
      </c>
      <c r="D185" s="35" t="s">
        <v>465</v>
      </c>
      <c r="E185" s="151">
        <f t="shared" si="182"/>
        <v>0</v>
      </c>
      <c r="F185" s="152">
        <f t="shared" si="183"/>
        <v>0</v>
      </c>
      <c r="G185" s="54" t="e">
        <f t="shared" si="211"/>
        <v>#DIV/0!</v>
      </c>
      <c r="H185" s="153">
        <f t="shared" si="185"/>
        <v>0</v>
      </c>
      <c r="I185" s="153">
        <f t="shared" si="186"/>
        <v>2710</v>
      </c>
      <c r="J185" s="54">
        <f t="shared" si="209"/>
        <v>-1</v>
      </c>
      <c r="K185" s="153">
        <f t="shared" si="187"/>
        <v>200</v>
      </c>
      <c r="L185" s="153">
        <f t="shared" si="188"/>
        <v>13203.440000000001</v>
      </c>
      <c r="M185" s="55">
        <f t="shared" si="210"/>
        <v>-0.98485243239640574</v>
      </c>
      <c r="O185" s="63">
        <f>SUMIF('2024 AC'!$B$3:$B$250,"*"&amp;$D185&amp;"*",'2024 AC'!C$3:C$250)</f>
        <v>0</v>
      </c>
      <c r="P185" s="53">
        <f>SUMIF('2024 AC'!$B$3:$B$250,"*"&amp;$D185&amp;"*",'2024 AC'!D$3:D$250)</f>
        <v>1320</v>
      </c>
      <c r="Q185" s="53">
        <f>SUMIF('2024 AC'!$B$3:$B$250,"*"&amp;$D185&amp;"*",'2024 AC'!E$3:E$250)</f>
        <v>380</v>
      </c>
      <c r="R185" s="53">
        <f>SUMIF('2024 AC'!$B$3:$B$250,"*"&amp;$D185&amp;"*",'2024 AC'!F$3:F$250)</f>
        <v>2644</v>
      </c>
      <c r="S185" s="53">
        <f>SUMIF('2024 AC'!$B$3:$B$250,"*"&amp;$D185&amp;"*",'2024 AC'!G$3:G$250)</f>
        <v>1145.0999999999999</v>
      </c>
      <c r="T185" s="53">
        <f>SUMIF('2024 AC'!$B$3:$B$250,"*"&amp;$D185&amp;"*",'2024 AC'!H$3:H$250)</f>
        <v>804</v>
      </c>
      <c r="U185" s="53">
        <f>SUMIF('2024 AC'!$B$3:$B$250,"*"&amp;$D185&amp;"*",'2024 AC'!I$3:I$250)</f>
        <v>97.5</v>
      </c>
      <c r="V185" s="53">
        <f>SUMIF('2024 AC'!$B$3:$B$250,"*"&amp;$D185&amp;"*",'2024 AC'!J$3:J$250)</f>
        <v>114</v>
      </c>
      <c r="W185" s="53">
        <f>SUMIF('2024 AC'!$B$3:$B$250,"*"&amp;$D185&amp;"*",'2024 AC'!K$3:K$250)</f>
        <v>14</v>
      </c>
      <c r="X185" s="53">
        <f>SUMIF('2024 AC'!$B$3:$B$250,"*"&amp;$D185&amp;"*",'2024 AC'!L$3:L$250)</f>
        <v>0</v>
      </c>
      <c r="Y185" s="53">
        <f>SUMIF('2024 AC'!$B$3:$B$250,"*"&amp;$D185&amp;"*",'2024 AC'!M$3:M$250)</f>
        <v>2920</v>
      </c>
      <c r="Z185" s="93">
        <f>SUMIF('2024 AC'!$B$3:$B$250,"*"&amp;$D185&amp;"*",'2024 AC'!N$3:N$250)</f>
        <v>820</v>
      </c>
      <c r="AA185" s="92">
        <f t="shared" si="156"/>
        <v>10258.6</v>
      </c>
      <c r="AB185" s="93">
        <f t="shared" si="157"/>
        <v>1700</v>
      </c>
      <c r="AC185" s="93">
        <f t="shared" si="158"/>
        <v>4593.1000000000004</v>
      </c>
      <c r="AD185" s="93">
        <f t="shared" si="159"/>
        <v>225.5</v>
      </c>
      <c r="AE185" s="93">
        <f t="shared" si="160"/>
        <v>3740</v>
      </c>
      <c r="AF185" s="92">
        <f t="shared" si="161"/>
        <v>10258.6</v>
      </c>
      <c r="AH185" s="63">
        <f>SUMIF('2025 AC'!$B$3:$B$250,"*"&amp;$D185&amp;"*",'2025 AC'!C$3:C$250)</f>
        <v>150</v>
      </c>
      <c r="AI185" s="53">
        <f>SUMIF('2025 AC'!$B$3:$B$250,"*"&amp;$D185&amp;"*",'2025 AC'!D$3:D$250)</f>
        <v>8225.6000000000004</v>
      </c>
      <c r="AJ185" s="53">
        <f>SUMIF('2025 AC'!$B$3:$B$250,"*"&amp;$D185&amp;"*",'2025 AC'!E$3:E$250)</f>
        <v>2117.8400000000001</v>
      </c>
      <c r="AK185" s="53">
        <f>SUMIF('2025 AC'!$B$3:$B$250,"*"&amp;$D185&amp;"*",'2025 AC'!F$3:F$250)</f>
        <v>250</v>
      </c>
      <c r="AL185" s="53">
        <f>SUMIF('2025 AC'!$B$3:$B$250,"*"&amp;$D185&amp;"*",'2025 AC'!G$3:G$250)</f>
        <v>2460</v>
      </c>
      <c r="AM185" s="53">
        <f>SUMIF('2025 AC'!$B$3:$B$250,"*"&amp;$D185&amp;"*",'2025 AC'!H$3:H$250)</f>
        <v>0</v>
      </c>
      <c r="AN185" s="53">
        <f>SUMIF('2025 AC'!$B$3:$B$250,"*"&amp;$D185&amp;"*",'2025 AC'!I$3:I$250)</f>
        <v>528</v>
      </c>
      <c r="AO185" s="53">
        <f>SUMIF('2025 AC'!$B$3:$B$250,"*"&amp;$D185&amp;"*",'2025 AC'!J$3:J$250)</f>
        <v>345</v>
      </c>
      <c r="AP185" s="53">
        <f>SUMIF('2025 AC'!$B$3:$B$250,"*"&amp;$D185&amp;"*",'2025 AC'!K$3:K$250)</f>
        <v>0</v>
      </c>
      <c r="AQ185" s="53">
        <f>SUMIF('2025 AC'!$B$3:$B$250,"*"&amp;$D185&amp;"*",'2025 AC'!L$3:L$250)</f>
        <v>2120</v>
      </c>
      <c r="AR185" s="53">
        <f>SUMIF('2025 AC'!$B$3:$B$250,"*"&amp;$D185&amp;"*",'2025 AC'!M$3:M$250)</f>
        <v>0</v>
      </c>
      <c r="AS185" s="53">
        <f>SUMIF('2025 AC'!$B$3:$B$250,"*"&amp;$D185&amp;"*",'2025 AC'!N$3:N$250)</f>
        <v>729</v>
      </c>
      <c r="AT185" s="94">
        <f t="shared" si="206"/>
        <v>16925.440000000002</v>
      </c>
      <c r="AU185" s="93">
        <f t="shared" si="162"/>
        <v>10493.440000000001</v>
      </c>
      <c r="AV185" s="93">
        <f t="shared" si="163"/>
        <v>2710</v>
      </c>
      <c r="AW185" s="93">
        <f t="shared" si="164"/>
        <v>873</v>
      </c>
      <c r="AX185" s="93">
        <f t="shared" si="165"/>
        <v>2849</v>
      </c>
      <c r="AY185" s="92">
        <f t="shared" si="166"/>
        <v>16925.440000000002</v>
      </c>
      <c r="BA185" s="63">
        <f>SUMIF('2026 AC'!$B$3:$B$254,"*"&amp;$D185&amp;"*",'2026 AC'!C$3:C$254)</f>
        <v>200</v>
      </c>
      <c r="BB185" s="53">
        <f>SUMIF('2026 AC'!$B$3:$B$254,"*"&amp;$D185&amp;"*",'2026 AC'!D$3:D$254)</f>
        <v>0</v>
      </c>
      <c r="BC185" s="53">
        <f>SUMIF('2026 AC'!$B$3:$B$254,"*"&amp;$D185&amp;"*",'2026 AC'!E$3:E$254)</f>
        <v>0</v>
      </c>
      <c r="BD185" s="53">
        <f>SUMIF('2026 AC'!$B$3:$B$254,"*"&amp;$D185&amp;"*",'2026 AC'!F$3:F$254)</f>
        <v>0</v>
      </c>
      <c r="BE185" s="53">
        <f>SUMIF('2026 AC'!$B$3:$B$254,"*"&amp;$D185&amp;"*",'2026 AC'!G$3:G$254)</f>
        <v>0</v>
      </c>
      <c r="BF185" s="53">
        <f>SUMIF('2026 AC'!$B$3:$B$254,"*"&amp;$D185&amp;"*",'2026 AC'!H$3:H$254)</f>
        <v>0</v>
      </c>
      <c r="BG185" s="53">
        <f>SUMIF('2026 AC'!$B$3:$B$254,"*"&amp;$D185&amp;"*",'2026 AC'!I$3:I$254)</f>
        <v>0</v>
      </c>
      <c r="BH185" s="53">
        <f>SUMIF('2026 AC'!$B$3:$B$254,"*"&amp;$D185&amp;"*",'2026 AC'!J$3:J$254)</f>
        <v>0</v>
      </c>
      <c r="BI185" s="53">
        <f>SUMIF('2026 AC'!$B$3:$B$254,"*"&amp;$D185&amp;"*",'2026 AC'!K$3:K$254)</f>
        <v>0</v>
      </c>
      <c r="BJ185" s="53">
        <f>SUMIF('2026 AC'!$B$3:$B$254,"*"&amp;$D185&amp;"*",'2026 AC'!L$3:L$254)</f>
        <v>0</v>
      </c>
      <c r="BK185" s="53">
        <f>SUMIF('2026 AC'!$B$3:$B$254,"*"&amp;$D185&amp;"*",'2026 AC'!M$3:M$254)</f>
        <v>0</v>
      </c>
      <c r="BL185" s="93">
        <f>SUMIF('2026 AC'!$B$3:$B$254,"*"&amp;$D185&amp;"*",'2026 AC'!N$3:N$254)</f>
        <v>0</v>
      </c>
      <c r="BM185" s="92">
        <f t="shared" si="207"/>
        <v>200</v>
      </c>
      <c r="BN185" s="93">
        <f t="shared" si="167"/>
        <v>200</v>
      </c>
      <c r="BO185" s="93">
        <f t="shared" si="168"/>
        <v>0</v>
      </c>
      <c r="BP185" s="93">
        <f t="shared" si="169"/>
        <v>0</v>
      </c>
      <c r="BQ185" s="93">
        <f t="shared" si="170"/>
        <v>0</v>
      </c>
      <c r="BR185" s="92">
        <f t="shared" si="171"/>
        <v>200</v>
      </c>
    </row>
    <row r="186" ht="15" customHeight="1" outlineLevel="1">
      <c r="A186" t="s">
        <v>466</v>
      </c>
      <c r="B186" t="s">
        <v>467</v>
      </c>
      <c r="C186" s="34" t="s">
        <v>468</v>
      </c>
      <c r="D186" s="35" t="s">
        <v>425</v>
      </c>
      <c r="E186" s="151">
        <f t="shared" si="182"/>
        <v>0</v>
      </c>
      <c r="F186" s="152">
        <f t="shared" si="183"/>
        <v>5292</v>
      </c>
      <c r="G186" s="54">
        <f t="shared" si="211"/>
        <v>-1</v>
      </c>
      <c r="H186" s="153">
        <f t="shared" si="185"/>
        <v>0</v>
      </c>
      <c r="I186" s="153">
        <f t="shared" si="186"/>
        <v>7938</v>
      </c>
      <c r="J186" s="54">
        <f t="shared" si="209"/>
        <v>-1</v>
      </c>
      <c r="K186" s="153">
        <f t="shared" si="187"/>
        <v>12474</v>
      </c>
      <c r="L186" s="153">
        <f t="shared" si="188"/>
        <v>31148</v>
      </c>
      <c r="M186" s="55">
        <f t="shared" si="210"/>
        <v>-0.59952484910748682</v>
      </c>
      <c r="O186" s="63">
        <f>SUMIF('2024 AC'!$B$3:$B$250,"*"&amp;$D186&amp;"*",'2024 AC'!C$3:C$250)</f>
        <v>10720</v>
      </c>
      <c r="P186" s="53">
        <f>SUMIF('2024 AC'!$B$3:$B$250,"*"&amp;$D186&amp;"*",'2024 AC'!D$3:D$250)</f>
        <v>0</v>
      </c>
      <c r="Q186" s="53">
        <f>SUMIF('2024 AC'!$B$3:$B$250,"*"&amp;$D186&amp;"*",'2024 AC'!E$3:E$250)</f>
        <v>2580</v>
      </c>
      <c r="R186" s="53">
        <f>SUMIF('2024 AC'!$B$3:$B$250,"*"&amp;$D186&amp;"*",'2024 AC'!F$3:F$250)</f>
        <v>1750</v>
      </c>
      <c r="S186" s="53">
        <f>SUMIF('2024 AC'!$B$3:$B$250,"*"&amp;$D186&amp;"*",'2024 AC'!G$3:G$250)</f>
        <v>1500</v>
      </c>
      <c r="T186" s="53">
        <f>SUMIF('2024 AC'!$B$3:$B$250,"*"&amp;$D186&amp;"*",'2024 AC'!H$3:H$250)</f>
        <v>1500</v>
      </c>
      <c r="U186" s="53">
        <f>SUMIF('2024 AC'!$B$3:$B$250,"*"&amp;$D186&amp;"*",'2024 AC'!I$3:I$250)</f>
        <v>0</v>
      </c>
      <c r="V186" s="53">
        <f>SUMIF('2024 AC'!$B$3:$B$250,"*"&amp;$D186&amp;"*",'2024 AC'!J$3:J$250)</f>
        <v>0</v>
      </c>
      <c r="W186" s="53">
        <f>SUMIF('2024 AC'!$B$3:$B$250,"*"&amp;$D186&amp;"*",'2024 AC'!K$3:K$250)</f>
        <v>0</v>
      </c>
      <c r="X186" s="53">
        <f>SUMIF('2024 AC'!$B$3:$B$250,"*"&amp;$D186&amp;"*",'2024 AC'!L$3:L$250)</f>
        <v>0</v>
      </c>
      <c r="Y186" s="53">
        <f>SUMIF('2024 AC'!$B$3:$B$250,"*"&amp;$D186&amp;"*",'2024 AC'!M$3:M$250)</f>
        <v>0</v>
      </c>
      <c r="Z186" s="93">
        <f>SUMIF('2024 AC'!$B$3:$B$250,"*"&amp;$D186&amp;"*",'2024 AC'!N$3:N$250)</f>
        <v>0</v>
      </c>
      <c r="AA186" s="92">
        <f t="shared" si="156"/>
        <v>18050</v>
      </c>
      <c r="AB186" s="93">
        <f t="shared" si="157"/>
        <v>13300</v>
      </c>
      <c r="AC186" s="93">
        <f t="shared" si="158"/>
        <v>4750</v>
      </c>
      <c r="AD186" s="93">
        <f t="shared" si="159"/>
        <v>0</v>
      </c>
      <c r="AE186" s="93">
        <f t="shared" si="160"/>
        <v>0</v>
      </c>
      <c r="AF186" s="92">
        <f t="shared" si="161"/>
        <v>18050</v>
      </c>
      <c r="AH186" s="63">
        <f>SUMIF('2025 AC'!$B$3:$B$250,"*"&amp;$D186&amp;"*",'2025 AC'!C$3:C$250)</f>
        <v>4076</v>
      </c>
      <c r="AI186" s="53">
        <f>SUMIF('2025 AC'!$B$3:$B$250,"*"&amp;$D186&amp;"*",'2025 AC'!D$3:D$250)</f>
        <v>5292</v>
      </c>
      <c r="AJ186" s="53">
        <f>SUMIF('2025 AC'!$B$3:$B$250,"*"&amp;$D186&amp;"*",'2025 AC'!E$3:E$250)</f>
        <v>13842</v>
      </c>
      <c r="AK186" s="53">
        <f>SUMIF('2025 AC'!$B$3:$B$250,"*"&amp;$D186&amp;"*",'2025 AC'!F$3:F$250)</f>
        <v>2646</v>
      </c>
      <c r="AL186" s="53">
        <f>SUMIF('2025 AC'!$B$3:$B$250,"*"&amp;$D186&amp;"*",'2025 AC'!G$3:G$250)</f>
        <v>0</v>
      </c>
      <c r="AM186" s="53">
        <f>SUMIF('2025 AC'!$B$3:$B$250,"*"&amp;$D186&amp;"*",'2025 AC'!H$3:H$250)</f>
        <v>5292</v>
      </c>
      <c r="AN186" s="53">
        <f>SUMIF('2025 AC'!$B$3:$B$250,"*"&amp;$D186&amp;"*",'2025 AC'!I$3:I$250)</f>
        <v>8406</v>
      </c>
      <c r="AO186" s="53">
        <f>SUMIF('2025 AC'!$B$3:$B$250,"*"&amp;$D186&amp;"*",'2025 AC'!J$3:J$250)</f>
        <v>2646</v>
      </c>
      <c r="AP186" s="53">
        <f>SUMIF('2025 AC'!$B$3:$B$250,"*"&amp;$D186&amp;"*",'2025 AC'!K$3:K$250)</f>
        <v>30196</v>
      </c>
      <c r="AQ186" s="53">
        <f>SUMIF('2025 AC'!$B$3:$B$250,"*"&amp;$D186&amp;"*",'2025 AC'!L$3:L$250)</f>
        <v>21106</v>
      </c>
      <c r="AR186" s="53">
        <f>SUMIF('2025 AC'!$B$3:$B$250,"*"&amp;$D186&amp;"*",'2025 AC'!M$3:M$250)</f>
        <v>2646</v>
      </c>
      <c r="AS186" s="53">
        <f>SUMIF('2025 AC'!$B$3:$B$250,"*"&amp;$D186&amp;"*",'2025 AC'!N$3:N$250)</f>
        <v>7646</v>
      </c>
      <c r="AT186" s="94">
        <f t="shared" si="206"/>
        <v>103794</v>
      </c>
      <c r="AU186" s="93">
        <f t="shared" si="162"/>
        <v>23210</v>
      </c>
      <c r="AV186" s="93">
        <f t="shared" si="163"/>
        <v>7938</v>
      </c>
      <c r="AW186" s="93">
        <f t="shared" si="164"/>
        <v>41248</v>
      </c>
      <c r="AX186" s="93">
        <f t="shared" si="165"/>
        <v>31398</v>
      </c>
      <c r="AY186" s="92">
        <f t="shared" si="166"/>
        <v>103794</v>
      </c>
      <c r="BA186" s="63">
        <f>SUMIF('2026 AC'!$B$3:$B$254,"*"&amp;$D186&amp;"*",'2026 AC'!C$3:C$254)</f>
        <v>2646</v>
      </c>
      <c r="BB186" s="53">
        <f>SUMIF('2026 AC'!$B$3:$B$254,"*"&amp;$D186&amp;"*",'2026 AC'!D$3:D$254)</f>
        <v>6696</v>
      </c>
      <c r="BC186" s="53">
        <f>SUMIF('2026 AC'!$B$3:$B$254,"*"&amp;$D186&amp;"*",'2026 AC'!E$3:E$254)</f>
        <v>3132</v>
      </c>
      <c r="BD186" s="53">
        <f>SUMIF('2026 AC'!$B$3:$B$254,"*"&amp;$D186&amp;"*",'2026 AC'!F$3:F$254)</f>
        <v>0</v>
      </c>
      <c r="BE186" s="53">
        <f>SUMIF('2026 AC'!$B$3:$B$254,"*"&amp;$D186&amp;"*",'2026 AC'!G$3:G$254)</f>
        <v>0</v>
      </c>
      <c r="BF186" s="53">
        <f>SUMIF('2026 AC'!$B$3:$B$254,"*"&amp;$D186&amp;"*",'2026 AC'!H$3:H$254)</f>
        <v>0</v>
      </c>
      <c r="BG186" s="53">
        <f>SUMIF('2026 AC'!$B$3:$B$254,"*"&amp;$D186&amp;"*",'2026 AC'!I$3:I$254)</f>
        <v>0</v>
      </c>
      <c r="BH186" s="53">
        <f>SUMIF('2026 AC'!$B$3:$B$254,"*"&amp;$D186&amp;"*",'2026 AC'!J$3:J$254)</f>
        <v>0</v>
      </c>
      <c r="BI186" s="53">
        <f>SUMIF('2026 AC'!$B$3:$B$254,"*"&amp;$D186&amp;"*",'2026 AC'!K$3:K$254)</f>
        <v>0</v>
      </c>
      <c r="BJ186" s="53">
        <f>SUMIF('2026 AC'!$B$3:$B$254,"*"&amp;$D186&amp;"*",'2026 AC'!L$3:L$254)</f>
        <v>0</v>
      </c>
      <c r="BK186" s="53">
        <f>SUMIF('2026 AC'!$B$3:$B$254,"*"&amp;$D186&amp;"*",'2026 AC'!M$3:M$254)</f>
        <v>0</v>
      </c>
      <c r="BL186" s="93">
        <f>SUMIF('2026 AC'!$B$3:$B$254,"*"&amp;$D186&amp;"*",'2026 AC'!N$3:N$254)</f>
        <v>0</v>
      </c>
      <c r="BM186" s="92">
        <f t="shared" si="207"/>
        <v>12474</v>
      </c>
      <c r="BN186" s="93">
        <f t="shared" si="167"/>
        <v>12474</v>
      </c>
      <c r="BO186" s="93">
        <f t="shared" si="168"/>
        <v>0</v>
      </c>
      <c r="BP186" s="93">
        <f t="shared" si="169"/>
        <v>0</v>
      </c>
      <c r="BQ186" s="93">
        <f t="shared" si="170"/>
        <v>0</v>
      </c>
      <c r="BR186" s="92">
        <f t="shared" si="171"/>
        <v>12474</v>
      </c>
    </row>
    <row r="187" ht="15" customHeight="1" outlineLevel="1">
      <c r="A187" t="s">
        <v>469</v>
      </c>
      <c r="B187" t="s">
        <v>470</v>
      </c>
      <c r="C187" s="34" t="s">
        <v>471</v>
      </c>
      <c r="D187" s="35" t="s">
        <v>472</v>
      </c>
      <c r="E187" s="151">
        <f t="shared" si="182"/>
        <v>0</v>
      </c>
      <c r="F187" s="152">
        <f t="shared" si="183"/>
        <v>0</v>
      </c>
      <c r="G187" s="154">
        <f>IFERROR((E187-F187)/F187,1)</f>
        <v>1</v>
      </c>
      <c r="H187" s="153">
        <f t="shared" si="185"/>
        <v>5112</v>
      </c>
      <c r="I187" s="153">
        <f t="shared" si="186"/>
        <v>0</v>
      </c>
      <c r="J187" s="54" t="e">
        <f t="shared" si="209"/>
        <v>#DIV/0!</v>
      </c>
      <c r="K187" s="153">
        <f t="shared" si="187"/>
        <v>11544</v>
      </c>
      <c r="L187" s="153">
        <f t="shared" si="188"/>
        <v>146.69999999999999</v>
      </c>
      <c r="M187" s="55">
        <f t="shared" si="210"/>
        <v>77.691206543967283</v>
      </c>
      <c r="O187" s="63">
        <f>SUMIF('2024 AC'!$B$3:$B$250,"*"&amp;$D187&amp;"*",'2024 AC'!C$3:C$250)</f>
        <v>0</v>
      </c>
      <c r="P187" s="53">
        <f>SUMIF('2024 AC'!$B$3:$B$250,"*"&amp;$D187&amp;"*",'2024 AC'!D$3:D$250)</f>
        <v>0</v>
      </c>
      <c r="Q187" s="53">
        <f>SUMIF('2024 AC'!$B$3:$B$250,"*"&amp;$D187&amp;"*",'2024 AC'!E$3:E$250)</f>
        <v>3100</v>
      </c>
      <c r="R187" s="53">
        <f>SUMIF('2024 AC'!$B$3:$B$250,"*"&amp;$D187&amp;"*",'2024 AC'!F$3:F$250)</f>
        <v>2450</v>
      </c>
      <c r="S187" s="53">
        <f>SUMIF('2024 AC'!$B$3:$B$250,"*"&amp;$D187&amp;"*",'2024 AC'!G$3:G$250)</f>
        <v>12219</v>
      </c>
      <c r="T187" s="53">
        <f>SUMIF('2024 AC'!$B$3:$B$250,"*"&amp;$D187&amp;"*",'2024 AC'!H$3:H$250)</f>
        <v>4568</v>
      </c>
      <c r="U187" s="53">
        <f>SUMIF('2024 AC'!$B$3:$B$250,"*"&amp;$D187&amp;"*",'2024 AC'!I$3:I$250)</f>
        <v>5496</v>
      </c>
      <c r="V187" s="53">
        <f>SUMIF('2024 AC'!$B$3:$B$250,"*"&amp;$D187&amp;"*",'2024 AC'!J$3:J$250)</f>
        <v>5292</v>
      </c>
      <c r="W187" s="53">
        <f>SUMIF('2024 AC'!$B$3:$B$250,"*"&amp;$D187&amp;"*",'2024 AC'!K$3:K$250)</f>
        <v>4146</v>
      </c>
      <c r="X187" s="53">
        <f>SUMIF('2024 AC'!$B$3:$B$250,"*"&amp;$D187&amp;"*",'2024 AC'!L$3:L$250)</f>
        <v>0</v>
      </c>
      <c r="Y187" s="53">
        <f>SUMIF('2024 AC'!$B$3:$B$250,"*"&amp;$D187&amp;"*",'2024 AC'!M$3:M$250)</f>
        <v>1500</v>
      </c>
      <c r="Z187" s="93">
        <f>SUMIF('2024 AC'!$B$3:$B$250,"*"&amp;$D187&amp;"*",'2024 AC'!N$3:N$250)</f>
        <v>3996</v>
      </c>
      <c r="AA187" s="92">
        <f t="shared" si="156"/>
        <v>42767</v>
      </c>
      <c r="AB187" s="93">
        <f t="shared" si="157"/>
        <v>3100</v>
      </c>
      <c r="AC187" s="93">
        <f t="shared" si="158"/>
        <v>19237</v>
      </c>
      <c r="AD187" s="93">
        <f t="shared" si="159"/>
        <v>14934</v>
      </c>
      <c r="AE187" s="93">
        <f t="shared" si="160"/>
        <v>5496</v>
      </c>
      <c r="AF187" s="92">
        <f t="shared" si="161"/>
        <v>42767</v>
      </c>
      <c r="AH187" s="63">
        <f>SUMIF('2025 AC'!$B$3:$B$250,"*"&amp;$D187&amp;"*",'2025 AC'!C$3:C$250)</f>
        <v>0</v>
      </c>
      <c r="AI187" s="53">
        <f>SUMIF('2025 AC'!$B$3:$B$250,"*"&amp;$D187&amp;"*",'2025 AC'!D$3:D$250)</f>
        <v>146.69999999999999</v>
      </c>
      <c r="AJ187" s="53">
        <f>SUMIF('2025 AC'!$B$3:$B$250,"*"&amp;$D187&amp;"*",'2025 AC'!E$3:E$250)</f>
        <v>0</v>
      </c>
      <c r="AK187" s="53">
        <f>SUMIF('2025 AC'!$B$3:$B$250,"*"&amp;$D187&amp;"*",'2025 AC'!F$3:F$250)</f>
        <v>0</v>
      </c>
      <c r="AL187" s="53">
        <f>SUMIF('2025 AC'!$B$3:$B$250,"*"&amp;$D187&amp;"*",'2025 AC'!G$3:G$250)</f>
        <v>0</v>
      </c>
      <c r="AM187" s="53">
        <f>SUMIF('2025 AC'!$B$3:$B$250,"*"&amp;$D187&amp;"*",'2025 AC'!H$3:H$250)</f>
        <v>0</v>
      </c>
      <c r="AN187" s="53">
        <f>SUMIF('2025 AC'!$B$3:$B$250,"*"&amp;$D187&amp;"*",'2025 AC'!I$3:I$250)</f>
        <v>0</v>
      </c>
      <c r="AO187" s="53">
        <f>SUMIF('2025 AC'!$B$3:$B$250,"*"&amp;$D187&amp;"*",'2025 AC'!J$3:J$250)</f>
        <v>0</v>
      </c>
      <c r="AP187" s="53">
        <f>SUMIF('2025 AC'!$B$3:$B$250,"*"&amp;$D187&amp;"*",'2025 AC'!K$3:K$250)</f>
        <v>0</v>
      </c>
      <c r="AQ187" s="53">
        <f>SUMIF('2025 AC'!$B$3:$B$250,"*"&amp;$D187&amp;"*",'2025 AC'!L$3:L$250)</f>
        <v>0</v>
      </c>
      <c r="AR187" s="53">
        <f>SUMIF('2025 AC'!$B$3:$B$250,"*"&amp;$D187&amp;"*",'2025 AC'!M$3:M$250)</f>
        <v>0</v>
      </c>
      <c r="AS187" s="53">
        <f>SUMIF('2025 AC'!$B$3:$B$250,"*"&amp;$D187&amp;"*",'2025 AC'!N$3:N$250)</f>
        <v>0</v>
      </c>
      <c r="AT187" s="94">
        <f t="shared" si="206"/>
        <v>146.69999999999999</v>
      </c>
      <c r="AU187" s="93">
        <f t="shared" si="162"/>
        <v>146.69999999999999</v>
      </c>
      <c r="AV187" s="93">
        <f t="shared" si="163"/>
        <v>0</v>
      </c>
      <c r="AW187" s="93">
        <f t="shared" si="164"/>
        <v>0</v>
      </c>
      <c r="AX187" s="93">
        <f t="shared" si="165"/>
        <v>0</v>
      </c>
      <c r="AY187" s="92">
        <f t="shared" si="166"/>
        <v>146.69999999999999</v>
      </c>
      <c r="BA187" s="63">
        <f>SUMIF('2026 AC'!$B$3:$B$254,"*"&amp;$D187&amp;"*",'2026 AC'!C$3:C$254)</f>
        <v>0</v>
      </c>
      <c r="BB187" s="53">
        <f>SUMIF('2026 AC'!$B$3:$B$254,"*"&amp;$D187&amp;"*",'2026 AC'!D$3:D$254)</f>
        <v>0</v>
      </c>
      <c r="BC187" s="53">
        <f>SUMIF('2026 AC'!$B$3:$B$254,"*"&amp;$D187&amp;"*",'2026 AC'!E$3:E$254)</f>
        <v>6432</v>
      </c>
      <c r="BD187" s="53">
        <f>SUMIF('2026 AC'!$B$3:$B$254,"*"&amp;$D187&amp;"*",'2026 AC'!F$3:F$254)</f>
        <v>3132</v>
      </c>
      <c r="BE187" s="53">
        <f>SUMIF('2026 AC'!$B$3:$B$254,"*"&amp;$D187&amp;"*",'2026 AC'!G$3:G$254)</f>
        <v>1980</v>
      </c>
      <c r="BF187" s="53">
        <f>SUMIF('2026 AC'!$B$3:$B$254,"*"&amp;$D187&amp;"*",'2026 AC'!H$3:H$254)</f>
        <v>0</v>
      </c>
      <c r="BG187" s="53">
        <f>SUMIF('2026 AC'!$B$3:$B$254,"*"&amp;$D187&amp;"*",'2026 AC'!I$3:I$254)</f>
        <v>0</v>
      </c>
      <c r="BH187" s="53">
        <f>SUMIF('2026 AC'!$B$3:$B$254,"*"&amp;$D187&amp;"*",'2026 AC'!J$3:J$254)</f>
        <v>0</v>
      </c>
      <c r="BI187" s="53">
        <f>SUMIF('2026 AC'!$B$3:$B$254,"*"&amp;$D187&amp;"*",'2026 AC'!K$3:K$254)</f>
        <v>0</v>
      </c>
      <c r="BJ187" s="53">
        <f>SUMIF('2026 AC'!$B$3:$B$254,"*"&amp;$D187&amp;"*",'2026 AC'!L$3:L$254)</f>
        <v>0</v>
      </c>
      <c r="BK187" s="53">
        <f>SUMIF('2026 AC'!$B$3:$B$254,"*"&amp;$D187&amp;"*",'2026 AC'!M$3:M$254)</f>
        <v>0</v>
      </c>
      <c r="BL187" s="93">
        <f>SUMIF('2026 AC'!$B$3:$B$254,"*"&amp;$D187&amp;"*",'2026 AC'!N$3:N$254)</f>
        <v>0</v>
      </c>
      <c r="BM187" s="92">
        <f t="shared" si="207"/>
        <v>11544</v>
      </c>
      <c r="BN187" s="93">
        <f t="shared" si="167"/>
        <v>6432</v>
      </c>
      <c r="BO187" s="93">
        <f t="shared" si="168"/>
        <v>5112</v>
      </c>
      <c r="BP187" s="93">
        <f t="shared" si="169"/>
        <v>0</v>
      </c>
      <c r="BQ187" s="93">
        <f t="shared" si="170"/>
        <v>0</v>
      </c>
      <c r="BR187" s="92">
        <f t="shared" si="171"/>
        <v>11544</v>
      </c>
    </row>
    <row r="188" ht="15" customHeight="1" outlineLevel="1">
      <c r="A188" t="s">
        <v>473</v>
      </c>
      <c r="B188" t="s">
        <v>474</v>
      </c>
      <c r="C188" s="34" t="s">
        <v>475</v>
      </c>
      <c r="D188" s="35" t="s">
        <v>428</v>
      </c>
      <c r="E188" s="151">
        <f t="shared" si="182"/>
        <v>0</v>
      </c>
      <c r="F188" s="152">
        <f t="shared" si="183"/>
        <v>0</v>
      </c>
      <c r="G188" s="54" t="e">
        <f t="shared" si="211"/>
        <v>#DIV/0!</v>
      </c>
      <c r="H188" s="153">
        <f t="shared" si="185"/>
        <v>0</v>
      </c>
      <c r="I188" s="153">
        <f t="shared" si="186"/>
        <v>0</v>
      </c>
      <c r="J188" s="54" t="e">
        <f t="shared" si="209"/>
        <v>#DIV/0!</v>
      </c>
      <c r="K188" s="153">
        <f t="shared" si="187"/>
        <v>72720</v>
      </c>
      <c r="L188" s="153">
        <f t="shared" si="188"/>
        <v>15550.4</v>
      </c>
      <c r="M188" s="55">
        <f t="shared" si="210"/>
        <v>3.6764070377610865</v>
      </c>
      <c r="O188" s="63">
        <f>SUMIF('2024 AC'!$B$3:$B$250,"*"&amp;$D188&amp;"*",'2024 AC'!C$3:C$250)</f>
        <v>120</v>
      </c>
      <c r="P188" s="53">
        <f>SUMIF('2024 AC'!$B$3:$B$250,"*"&amp;$D188&amp;"*",'2024 AC'!D$3:D$250)</f>
        <v>6850</v>
      </c>
      <c r="Q188" s="53">
        <f>SUMIF('2024 AC'!$B$3:$B$250,"*"&amp;$D188&amp;"*",'2024 AC'!E$3:E$250)</f>
        <v>7850</v>
      </c>
      <c r="R188" s="53">
        <f>SUMIF('2024 AC'!$B$3:$B$250,"*"&amp;$D188&amp;"*",'2024 AC'!F$3:F$250)</f>
        <v>5400</v>
      </c>
      <c r="S188" s="53">
        <f>SUMIF('2024 AC'!$B$3:$B$250,"*"&amp;$D188&amp;"*",'2024 AC'!G$3:G$250)</f>
        <v>300</v>
      </c>
      <c r="T188" s="53">
        <f>SUMIF('2024 AC'!$B$3:$B$250,"*"&amp;$D188&amp;"*",'2024 AC'!H$3:H$250)</f>
        <v>300</v>
      </c>
      <c r="U188" s="53">
        <f>SUMIF('2024 AC'!$B$3:$B$250,"*"&amp;$D188&amp;"*",'2024 AC'!I$3:I$250)</f>
        <v>50162</v>
      </c>
      <c r="V188" s="53">
        <f>SUMIF('2024 AC'!$B$3:$B$250,"*"&amp;$D188&amp;"*",'2024 AC'!J$3:J$250)</f>
        <v>0</v>
      </c>
      <c r="W188" s="53">
        <f>SUMIF('2024 AC'!$B$3:$B$250,"*"&amp;$D188&amp;"*",'2024 AC'!K$3:K$250)</f>
        <v>3035.9899999999998</v>
      </c>
      <c r="X188" s="53">
        <f>SUMIF('2024 AC'!$B$3:$B$250,"*"&amp;$D188&amp;"*",'2024 AC'!L$3:L$250)</f>
        <v>0</v>
      </c>
      <c r="Y188" s="53">
        <f>SUMIF('2024 AC'!$B$3:$B$250,"*"&amp;$D188&amp;"*",'2024 AC'!M$3:M$250)</f>
        <v>1130</v>
      </c>
      <c r="Z188" s="93">
        <f>SUMIF('2024 AC'!$B$3:$B$250,"*"&amp;$D188&amp;"*",'2024 AC'!N$3:N$250)</f>
        <v>0</v>
      </c>
      <c r="AA188" s="92">
        <f t="shared" si="156"/>
        <v>75147.990000000005</v>
      </c>
      <c r="AB188" s="93">
        <f t="shared" si="157"/>
        <v>14820</v>
      </c>
      <c r="AC188" s="93">
        <f t="shared" si="158"/>
        <v>6000</v>
      </c>
      <c r="AD188" s="93">
        <f t="shared" si="159"/>
        <v>53197.989999999998</v>
      </c>
      <c r="AE188" s="93">
        <f t="shared" si="160"/>
        <v>1130</v>
      </c>
      <c r="AF188" s="92">
        <f t="shared" si="161"/>
        <v>75147.989999999991</v>
      </c>
      <c r="AH188" s="63">
        <f>SUMIF('2025 AC'!$B$3:$B$250,"*"&amp;$D188&amp;"*",'2025 AC'!C$3:C$250)</f>
        <v>0</v>
      </c>
      <c r="AI188" s="53">
        <f>SUMIF('2025 AC'!$B$3:$B$250,"*"&amp;$D188&amp;"*",'2025 AC'!D$3:D$250)</f>
        <v>9808</v>
      </c>
      <c r="AJ188" s="53">
        <f>SUMIF('2025 AC'!$B$3:$B$250,"*"&amp;$D188&amp;"*",'2025 AC'!E$3:E$250)</f>
        <v>5742.3999999999996</v>
      </c>
      <c r="AK188" s="53">
        <f>SUMIF('2025 AC'!$B$3:$B$250,"*"&amp;$D188&amp;"*",'2025 AC'!F$3:F$250)</f>
        <v>0</v>
      </c>
      <c r="AL188" s="53">
        <f>SUMIF('2025 AC'!$B$3:$B$250,"*"&amp;$D188&amp;"*",'2025 AC'!G$3:G$250)</f>
        <v>0</v>
      </c>
      <c r="AM188" s="53">
        <f>SUMIF('2025 AC'!$B$3:$B$250,"*"&amp;$D188&amp;"*",'2025 AC'!H$3:H$250)</f>
        <v>0</v>
      </c>
      <c r="AN188" s="53">
        <f>SUMIF('2025 AC'!$B$3:$B$250,"*"&amp;$D188&amp;"*",'2025 AC'!I$3:I$250)</f>
        <v>0</v>
      </c>
      <c r="AO188" s="53">
        <f>SUMIF('2025 AC'!$B$3:$B$250,"*"&amp;$D188&amp;"*",'2025 AC'!J$3:J$250)</f>
        <v>0</v>
      </c>
      <c r="AP188" s="53">
        <f>SUMIF('2025 AC'!$B$3:$B$250,"*"&amp;$D188&amp;"*",'2025 AC'!K$3:K$250)</f>
        <v>5100</v>
      </c>
      <c r="AQ188" s="53">
        <f>SUMIF('2025 AC'!$B$3:$B$250,"*"&amp;$D188&amp;"*",'2025 AC'!L$3:L$250)</f>
        <v>0</v>
      </c>
      <c r="AR188" s="53">
        <f>SUMIF('2025 AC'!$B$3:$B$250,"*"&amp;$D188&amp;"*",'2025 AC'!M$3:M$250)</f>
        <v>4600</v>
      </c>
      <c r="AS188" s="53">
        <f>SUMIF('2025 AC'!$B$3:$B$250,"*"&amp;$D188&amp;"*",'2025 AC'!N$3:N$250)</f>
        <v>2650</v>
      </c>
      <c r="AT188" s="94">
        <f t="shared" si="206"/>
        <v>27900.400000000001</v>
      </c>
      <c r="AU188" s="93">
        <f t="shared" si="162"/>
        <v>15550.4</v>
      </c>
      <c r="AV188" s="93">
        <f t="shared" si="163"/>
        <v>0</v>
      </c>
      <c r="AW188" s="93">
        <f t="shared" si="164"/>
        <v>5100</v>
      </c>
      <c r="AX188" s="93">
        <f t="shared" si="165"/>
        <v>7250</v>
      </c>
      <c r="AY188" s="92">
        <f t="shared" si="166"/>
        <v>27900.400000000001</v>
      </c>
      <c r="BA188" s="63">
        <f>SUMIF('2026 AC'!$B$3:$B$254,"*"&amp;$D188&amp;"*",'2026 AC'!C$3:C$254)</f>
        <v>400</v>
      </c>
      <c r="BB188" s="53">
        <f>SUMIF('2026 AC'!$B$3:$B$254,"*"&amp;$D188&amp;"*",'2026 AC'!D$3:D$254)</f>
        <v>16120</v>
      </c>
      <c r="BC188" s="53">
        <f>SUMIF('2026 AC'!$B$3:$B$254,"*"&amp;$D188&amp;"*",'2026 AC'!E$3:E$254)</f>
        <v>56200</v>
      </c>
      <c r="BD188" s="53">
        <f>SUMIF('2026 AC'!$B$3:$B$254,"*"&amp;$D188&amp;"*",'2026 AC'!F$3:F$254)</f>
        <v>0</v>
      </c>
      <c r="BE188" s="53">
        <f>SUMIF('2026 AC'!$B$3:$B$254,"*"&amp;$D188&amp;"*",'2026 AC'!G$3:G$254)</f>
        <v>0</v>
      </c>
      <c r="BF188" s="53">
        <f>SUMIF('2026 AC'!$B$3:$B$254,"*"&amp;$D188&amp;"*",'2026 AC'!H$3:H$254)</f>
        <v>0</v>
      </c>
      <c r="BG188" s="53">
        <f>SUMIF('2026 AC'!$B$3:$B$254,"*"&amp;$D188&amp;"*",'2026 AC'!I$3:I$254)</f>
        <v>0</v>
      </c>
      <c r="BH188" s="53">
        <f>SUMIF('2026 AC'!$B$3:$B$254,"*"&amp;$D188&amp;"*",'2026 AC'!J$3:J$254)</f>
        <v>0</v>
      </c>
      <c r="BI188" s="53">
        <f>SUMIF('2026 AC'!$B$3:$B$254,"*"&amp;$D188&amp;"*",'2026 AC'!K$3:K$254)</f>
        <v>0</v>
      </c>
      <c r="BJ188" s="53">
        <f>SUMIF('2026 AC'!$B$3:$B$254,"*"&amp;$D188&amp;"*",'2026 AC'!L$3:L$254)</f>
        <v>0</v>
      </c>
      <c r="BK188" s="53">
        <f>SUMIF('2026 AC'!$B$3:$B$254,"*"&amp;$D188&amp;"*",'2026 AC'!M$3:M$254)</f>
        <v>0</v>
      </c>
      <c r="BL188" s="93">
        <f>SUMIF('2026 AC'!$B$3:$B$254,"*"&amp;$D188&amp;"*",'2026 AC'!N$3:N$254)</f>
        <v>0</v>
      </c>
      <c r="BM188" s="92">
        <f t="shared" si="207"/>
        <v>72720</v>
      </c>
      <c r="BN188" s="93">
        <f t="shared" si="167"/>
        <v>72720</v>
      </c>
      <c r="BO188" s="93">
        <f t="shared" si="168"/>
        <v>0</v>
      </c>
      <c r="BP188" s="93">
        <f t="shared" si="169"/>
        <v>0</v>
      </c>
      <c r="BQ188" s="93">
        <f t="shared" si="170"/>
        <v>0</v>
      </c>
      <c r="BR188" s="92">
        <f t="shared" si="171"/>
        <v>72720</v>
      </c>
    </row>
    <row r="189" ht="15" customHeight="1" outlineLevel="1">
      <c r="A189" t="s">
        <v>476</v>
      </c>
      <c r="B189" t="s">
        <v>477</v>
      </c>
      <c r="C189" s="34" t="s">
        <v>478</v>
      </c>
      <c r="D189" s="35" t="s">
        <v>431</v>
      </c>
      <c r="E189" s="188">
        <f t="shared" si="182"/>
        <v>1300</v>
      </c>
      <c r="F189" s="152">
        <f t="shared" si="183"/>
        <v>3088</v>
      </c>
      <c r="G189" s="54">
        <f t="shared" si="211"/>
        <v>-0.57901554404145072</v>
      </c>
      <c r="H189" s="153">
        <f t="shared" si="185"/>
        <v>6160</v>
      </c>
      <c r="I189" s="153">
        <f t="shared" si="186"/>
        <v>3988</v>
      </c>
      <c r="J189" s="54">
        <f t="shared" si="209"/>
        <v>0.54463390170511539</v>
      </c>
      <c r="K189" s="153">
        <f t="shared" si="187"/>
        <v>7510</v>
      </c>
      <c r="L189" s="153">
        <f t="shared" si="188"/>
        <v>5688</v>
      </c>
      <c r="M189" s="55">
        <f t="shared" si="210"/>
        <v>0.32032348804500704</v>
      </c>
      <c r="O189" s="63">
        <f>SUMIF('2024 AC'!$B$3:$B$250,"*"&amp;$D189&amp;"*",'2024 AC'!C$3:C$250)</f>
        <v>0</v>
      </c>
      <c r="P189" s="53">
        <f>SUMIF('2024 AC'!$B$3:$B$250,"*"&amp;$D189&amp;"*",'2024 AC'!D$3:D$250)</f>
        <v>0</v>
      </c>
      <c r="Q189" s="53">
        <f>SUMIF('2024 AC'!$B$3:$B$250,"*"&amp;$D189&amp;"*",'2024 AC'!E$3:E$250)</f>
        <v>0</v>
      </c>
      <c r="R189" s="53">
        <f>SUMIF('2024 AC'!$B$3:$B$250,"*"&amp;$D189&amp;"*",'2024 AC'!F$3:F$250)</f>
        <v>4900</v>
      </c>
      <c r="S189" s="53">
        <f>SUMIF('2024 AC'!$B$3:$B$250,"*"&amp;$D189&amp;"*",'2024 AC'!G$3:G$250)</f>
        <v>0</v>
      </c>
      <c r="T189" s="53">
        <f>SUMIF('2024 AC'!$B$3:$B$250,"*"&amp;$D189&amp;"*",'2024 AC'!H$3:H$250)</f>
        <v>0</v>
      </c>
      <c r="U189" s="53">
        <f>SUMIF('2024 AC'!$B$3:$B$250,"*"&amp;$D189&amp;"*",'2024 AC'!I$3:I$250)</f>
        <v>20700</v>
      </c>
      <c r="V189" s="53">
        <f>SUMIF('2024 AC'!$B$3:$B$250,"*"&amp;$D189&amp;"*",'2024 AC'!J$3:J$250)</f>
        <v>0</v>
      </c>
      <c r="W189" s="53">
        <f>SUMIF('2024 AC'!$B$3:$B$250,"*"&amp;$D189&amp;"*",'2024 AC'!K$3:K$250)</f>
        <v>9360</v>
      </c>
      <c r="X189" s="53">
        <f>SUMIF('2024 AC'!$B$3:$B$250,"*"&amp;$D189&amp;"*",'2024 AC'!L$3:L$250)</f>
        <v>900</v>
      </c>
      <c r="Y189" s="53">
        <f>SUMIF('2024 AC'!$B$3:$B$250,"*"&amp;$D189&amp;"*",'2024 AC'!M$3:M$250)</f>
        <v>1180</v>
      </c>
      <c r="Z189" s="93">
        <f>SUMIF('2024 AC'!$B$3:$B$250,"*"&amp;$D189&amp;"*",'2024 AC'!N$3:N$250)</f>
        <v>1122</v>
      </c>
      <c r="AA189" s="92">
        <f t="shared" si="156"/>
        <v>38162</v>
      </c>
      <c r="AB189" s="93">
        <f t="shared" si="157"/>
        <v>0</v>
      </c>
      <c r="AC189" s="93">
        <f t="shared" si="158"/>
        <v>4900</v>
      </c>
      <c r="AD189" s="93">
        <f t="shared" si="159"/>
        <v>30060</v>
      </c>
      <c r="AE189" s="93">
        <f t="shared" si="160"/>
        <v>3202</v>
      </c>
      <c r="AF189" s="92">
        <f t="shared" si="161"/>
        <v>38162</v>
      </c>
      <c r="AH189" s="63">
        <f>SUMIF('2025 AC'!$B$3:$B$250,"*"&amp;$D189&amp;"*",'2025 AC'!C$3:C$250)</f>
        <v>0</v>
      </c>
      <c r="AI189" s="53">
        <f>SUMIF('2025 AC'!$B$3:$B$250,"*"&amp;$D189&amp;"*",'2025 AC'!D$3:D$250)</f>
        <v>1250</v>
      </c>
      <c r="AJ189" s="53">
        <f>SUMIF('2025 AC'!$B$3:$B$250,"*"&amp;$D189&amp;"*",'2025 AC'!E$3:E$250)</f>
        <v>450</v>
      </c>
      <c r="AK189" s="53">
        <f>SUMIF('2025 AC'!$B$3:$B$250,"*"&amp;$D189&amp;"*",'2025 AC'!F$3:F$250)</f>
        <v>0</v>
      </c>
      <c r="AL189" s="53">
        <f>SUMIF('2025 AC'!$B$3:$B$250,"*"&amp;$D189&amp;"*",'2025 AC'!G$3:G$250)</f>
        <v>900</v>
      </c>
      <c r="AM189" s="53">
        <f>SUMIF('2025 AC'!$B$3:$B$250,"*"&amp;$D189&amp;"*",'2025 AC'!H$3:H$250)</f>
        <v>3088</v>
      </c>
      <c r="AN189" s="53">
        <f>SUMIF('2025 AC'!$B$3:$B$250,"*"&amp;$D189&amp;"*",'2025 AC'!I$3:I$250)</f>
        <v>1587.5</v>
      </c>
      <c r="AO189" s="53">
        <f>SUMIF('2025 AC'!$B$3:$B$250,"*"&amp;$D189&amp;"*",'2025 AC'!J$3:J$250)</f>
        <v>0</v>
      </c>
      <c r="AP189" s="53">
        <f>SUMIF('2025 AC'!$B$3:$B$250,"*"&amp;$D189&amp;"*",'2025 AC'!K$3:K$250)</f>
        <v>1500</v>
      </c>
      <c r="AQ189" s="53">
        <f>SUMIF('2025 AC'!$B$3:$B$250,"*"&amp;$D189&amp;"*",'2025 AC'!L$3:L$250)</f>
        <v>450</v>
      </c>
      <c r="AR189" s="53">
        <f>SUMIF('2025 AC'!$B$3:$B$250,"*"&amp;$D189&amp;"*",'2025 AC'!M$3:M$250)</f>
        <v>450</v>
      </c>
      <c r="AS189" s="53">
        <f>SUMIF('2025 AC'!$B$3:$B$250,"*"&amp;$D189&amp;"*",'2025 AC'!N$3:N$250)</f>
        <v>1100</v>
      </c>
      <c r="AT189" s="94">
        <f t="shared" si="206"/>
        <v>10775.5</v>
      </c>
      <c r="AU189" s="93">
        <f t="shared" si="162"/>
        <v>1700</v>
      </c>
      <c r="AV189" s="93">
        <f t="shared" si="163"/>
        <v>3988</v>
      </c>
      <c r="AW189" s="93">
        <f t="shared" si="164"/>
        <v>3087.5</v>
      </c>
      <c r="AX189" s="93">
        <f t="shared" si="165"/>
        <v>2000</v>
      </c>
      <c r="AY189" s="92">
        <f t="shared" si="166"/>
        <v>10775.5</v>
      </c>
      <c r="BA189" s="63">
        <f>SUMIF('2026 AC'!$B$3:$B$254,"*"&amp;$D189&amp;"*",'2026 AC'!C$3:C$254)</f>
        <v>0</v>
      </c>
      <c r="BB189" s="53">
        <f>SUMIF('2026 AC'!$B$3:$B$254,"*"&amp;$D189&amp;"*",'2026 AC'!D$3:D$254)</f>
        <v>0</v>
      </c>
      <c r="BC189" s="53">
        <f>SUMIF('2026 AC'!$B$3:$B$254,"*"&amp;$D189&amp;"*",'2026 AC'!E$3:E$254)</f>
        <v>1350</v>
      </c>
      <c r="BD189" s="53">
        <f>SUMIF('2026 AC'!$B$3:$B$254,"*"&amp;$D189&amp;"*",'2026 AC'!F$3:F$254)</f>
        <v>0</v>
      </c>
      <c r="BE189" s="53">
        <f>SUMIF('2026 AC'!$B$3:$B$254,"*"&amp;$D189&amp;"*",'2026 AC'!G$3:G$254)</f>
        <v>4860</v>
      </c>
      <c r="BF189" s="53">
        <f>SUMIF('2026 AC'!$B$3:$B$254,"*"&amp;$D189&amp;"*",'2026 AC'!H$3:H$254)</f>
        <v>1300</v>
      </c>
      <c r="BG189" s="53">
        <f>SUMIF('2026 AC'!$B$3:$B$254,"*"&amp;$D189&amp;"*",'2026 AC'!I$3:I$254)</f>
        <v>0</v>
      </c>
      <c r="BH189" s="53">
        <f>SUMIF('2026 AC'!$B$3:$B$254,"*"&amp;$D189&amp;"*",'2026 AC'!J$3:J$254)</f>
        <v>0</v>
      </c>
      <c r="BI189" s="53">
        <f>SUMIF('2026 AC'!$B$3:$B$254,"*"&amp;$D189&amp;"*",'2026 AC'!K$3:K$254)</f>
        <v>0</v>
      </c>
      <c r="BJ189" s="53">
        <f>SUMIF('2026 AC'!$B$3:$B$254,"*"&amp;$D189&amp;"*",'2026 AC'!L$3:L$254)</f>
        <v>0</v>
      </c>
      <c r="BK189" s="53">
        <f>SUMIF('2026 AC'!$B$3:$B$254,"*"&amp;$D189&amp;"*",'2026 AC'!M$3:M$254)</f>
        <v>0</v>
      </c>
      <c r="BL189" s="93">
        <f>SUMIF('2026 AC'!$B$3:$B$254,"*"&amp;$D189&amp;"*",'2026 AC'!N$3:N$254)</f>
        <v>0</v>
      </c>
      <c r="BM189" s="92">
        <f t="shared" si="207"/>
        <v>7510</v>
      </c>
      <c r="BN189" s="93">
        <f t="shared" si="167"/>
        <v>1350</v>
      </c>
      <c r="BO189" s="93">
        <f t="shared" si="168"/>
        <v>6160</v>
      </c>
      <c r="BP189" s="93">
        <f t="shared" si="169"/>
        <v>0</v>
      </c>
      <c r="BQ189" s="93">
        <f t="shared" si="170"/>
        <v>0</v>
      </c>
      <c r="BR189" s="92">
        <f t="shared" si="171"/>
        <v>7510</v>
      </c>
    </row>
    <row r="190" ht="15" customHeight="1" outlineLevel="1">
      <c r="A190" t="s">
        <v>479</v>
      </c>
      <c r="B190" t="s">
        <v>480</v>
      </c>
      <c r="C190" s="34" t="s">
        <v>481</v>
      </c>
      <c r="D190" s="35" t="s">
        <v>434</v>
      </c>
      <c r="E190" s="188">
        <f t="shared" si="182"/>
        <v>7071.3999999999996</v>
      </c>
      <c r="F190" s="152">
        <f t="shared" si="183"/>
        <v>2573.5700000000002</v>
      </c>
      <c r="G190" s="54">
        <f t="shared" si="211"/>
        <v>1.7477006648352287</v>
      </c>
      <c r="H190" s="153">
        <f t="shared" si="185"/>
        <v>8840.6499999999996</v>
      </c>
      <c r="I190" s="153">
        <f t="shared" si="186"/>
        <v>5984.6700000000001</v>
      </c>
      <c r="J190" s="54">
        <f t="shared" si="209"/>
        <v>0.47721595342767431</v>
      </c>
      <c r="K190" s="153">
        <f t="shared" si="187"/>
        <v>14424.85</v>
      </c>
      <c r="L190" s="153">
        <f t="shared" si="188"/>
        <v>10389.57</v>
      </c>
      <c r="M190" s="55">
        <f t="shared" si="210"/>
        <v>0.38839720989415355</v>
      </c>
      <c r="O190" s="63">
        <f>SUMIF('2024 AC'!$B$3:$B$250,"*"&amp;$D190&amp;"*",'2024 AC'!C$3:C$250)</f>
        <v>1960</v>
      </c>
      <c r="P190" s="53">
        <f>SUMIF('2024 AC'!$B$3:$B$250,"*"&amp;$D190&amp;"*",'2024 AC'!D$3:D$250)</f>
        <v>0</v>
      </c>
      <c r="Q190" s="53">
        <f>SUMIF('2024 AC'!$B$3:$B$250,"*"&amp;$D190&amp;"*",'2024 AC'!E$3:E$250)</f>
        <v>680.5</v>
      </c>
      <c r="R190" s="53">
        <f>SUMIF('2024 AC'!$B$3:$B$250,"*"&amp;$D190&amp;"*",'2024 AC'!F$3:F$250)</f>
        <v>665.39999999999998</v>
      </c>
      <c r="S190" s="53">
        <f>SUMIF('2024 AC'!$B$3:$B$250,"*"&amp;$D190&amp;"*",'2024 AC'!G$3:G$250)</f>
        <v>4666.3999999999996</v>
      </c>
      <c r="T190" s="53">
        <f>SUMIF('2024 AC'!$B$3:$B$250,"*"&amp;$D190&amp;"*",'2024 AC'!H$3:H$250)</f>
        <v>9104.2999999999993</v>
      </c>
      <c r="U190" s="53">
        <f>SUMIF('2024 AC'!$B$3:$B$250,"*"&amp;$D190&amp;"*",'2024 AC'!I$3:I$250)</f>
        <v>4466.6000000000004</v>
      </c>
      <c r="V190" s="53">
        <f>SUMIF('2024 AC'!$B$3:$B$250,"*"&amp;$D190&amp;"*",'2024 AC'!J$3:J$250)</f>
        <v>6958.0500000000002</v>
      </c>
      <c r="W190" s="53">
        <f>SUMIF('2024 AC'!$B$3:$B$250,"*"&amp;$D190&amp;"*",'2024 AC'!K$3:K$250)</f>
        <v>4748.9499999999998</v>
      </c>
      <c r="X190" s="53">
        <f>SUMIF('2024 AC'!$B$3:$B$250,"*"&amp;$D190&amp;"*",'2024 AC'!L$3:L$250)</f>
        <v>8073.6999999999998</v>
      </c>
      <c r="Y190" s="53">
        <f>SUMIF('2024 AC'!$B$3:$B$250,"*"&amp;$D190&amp;"*",'2024 AC'!M$3:M$250)</f>
        <v>792.89999999999998</v>
      </c>
      <c r="Z190" s="93">
        <f>SUMIF('2024 AC'!$B$3:$B$250,"*"&amp;$D190&amp;"*",'2024 AC'!N$3:N$250)</f>
        <v>2856</v>
      </c>
      <c r="AA190" s="92">
        <f t="shared" si="156"/>
        <v>44972.799999999996</v>
      </c>
      <c r="AB190" s="93">
        <f t="shared" si="157"/>
        <v>2640.5</v>
      </c>
      <c r="AC190" s="93">
        <f t="shared" si="158"/>
        <v>14436.099999999999</v>
      </c>
      <c r="AD190" s="93">
        <f t="shared" si="159"/>
        <v>16173.600000000002</v>
      </c>
      <c r="AE190" s="93">
        <f t="shared" si="160"/>
        <v>11722.6</v>
      </c>
      <c r="AF190" s="92">
        <f t="shared" si="161"/>
        <v>44972.799999999996</v>
      </c>
      <c r="AH190" s="63">
        <f>SUMIF('2025 AC'!$B$3:$B$250,"*"&amp;$D190&amp;"*",'2025 AC'!C$3:C$250)</f>
        <v>4302.3999999999996</v>
      </c>
      <c r="AI190" s="53">
        <f>SUMIF('2025 AC'!$B$3:$B$250,"*"&amp;$D190&amp;"*",'2025 AC'!D$3:D$250)</f>
        <v>210</v>
      </c>
      <c r="AJ190" s="53">
        <f>SUMIF('2025 AC'!$B$3:$B$250,"*"&amp;$D190&amp;"*",'2025 AC'!E$3:E$250)</f>
        <v>-107.5</v>
      </c>
      <c r="AK190" s="53">
        <f>SUMIF('2025 AC'!$B$3:$B$250,"*"&amp;$D190&amp;"*",'2025 AC'!F$3:F$250)</f>
        <v>511</v>
      </c>
      <c r="AL190" s="53">
        <f>SUMIF('2025 AC'!$B$3:$B$250,"*"&amp;$D190&amp;"*",'2025 AC'!G$3:G$250)</f>
        <v>2900.0999999999999</v>
      </c>
      <c r="AM190" s="53">
        <f>SUMIF('2025 AC'!$B$3:$B$250,"*"&amp;$D190&amp;"*",'2025 AC'!H$3:H$250)</f>
        <v>2573.5700000000002</v>
      </c>
      <c r="AN190" s="53">
        <f>SUMIF('2025 AC'!$B$3:$B$250,"*"&amp;$D190&amp;"*",'2025 AC'!I$3:I$250)</f>
        <v>1224.0999999999999</v>
      </c>
      <c r="AO190" s="53">
        <f>SUMIF('2025 AC'!$B$3:$B$250,"*"&amp;$D190&amp;"*",'2025 AC'!J$3:J$250)</f>
        <v>1626.3900000000001</v>
      </c>
      <c r="AP190" s="53">
        <f>SUMIF('2025 AC'!$B$3:$B$250,"*"&amp;$D190&amp;"*",'2025 AC'!K$3:K$250)</f>
        <v>1938.8</v>
      </c>
      <c r="AQ190" s="53">
        <f>SUMIF('2025 AC'!$B$3:$B$250,"*"&amp;$D190&amp;"*",'2025 AC'!L$3:L$250)</f>
        <v>5372.8000000000002</v>
      </c>
      <c r="AR190" s="53">
        <f>SUMIF('2025 AC'!$B$3:$B$250,"*"&amp;$D190&amp;"*",'2025 AC'!M$3:M$250)</f>
        <v>5808.6000000000004</v>
      </c>
      <c r="AS190" s="53">
        <f>SUMIF('2025 AC'!$B$3:$B$250,"*"&amp;$D190&amp;"*",'2025 AC'!N$3:N$250)</f>
        <v>1207.45</v>
      </c>
      <c r="AT190" s="94">
        <f t="shared" si="206"/>
        <v>27567.710000000003</v>
      </c>
      <c r="AU190" s="93">
        <f t="shared" si="162"/>
        <v>4404.8999999999996</v>
      </c>
      <c r="AV190" s="93">
        <f t="shared" si="163"/>
        <v>5984.6700000000001</v>
      </c>
      <c r="AW190" s="93">
        <f t="shared" si="164"/>
        <v>4789.29</v>
      </c>
      <c r="AX190" s="93">
        <f t="shared" si="165"/>
        <v>12388.850000000002</v>
      </c>
      <c r="AY190" s="92">
        <f t="shared" si="166"/>
        <v>27567.710000000003</v>
      </c>
      <c r="BA190" s="63">
        <f>SUMIF('2026 AC'!$B$3:$B$254,"*"&amp;$D190&amp;"*",'2026 AC'!C$3:C$254)</f>
        <v>2139.9000000000001</v>
      </c>
      <c r="BB190" s="53">
        <f>SUMIF('2026 AC'!$B$3:$B$254,"*"&amp;$D190&amp;"*",'2026 AC'!D$3:D$254)</f>
        <v>87.5</v>
      </c>
      <c r="BC190" s="53">
        <f>SUMIF('2026 AC'!$B$3:$B$254,"*"&amp;$D190&amp;"*",'2026 AC'!E$3:E$254)</f>
        <v>3356.8000000000002</v>
      </c>
      <c r="BD190" s="53">
        <f>SUMIF('2026 AC'!$B$3:$B$254,"*"&amp;$D190&amp;"*",'2026 AC'!F$3:F$254)</f>
        <v>40.5</v>
      </c>
      <c r="BE190" s="53">
        <f>SUMIF('2026 AC'!$B$3:$B$254,"*"&amp;$D190&amp;"*",'2026 AC'!G$3:G$254)</f>
        <v>1728.75</v>
      </c>
      <c r="BF190" s="53">
        <f>SUMIF('2026 AC'!$B$3:$B$254,"*"&amp;$D190&amp;"*",'2026 AC'!H$3:H$254)</f>
        <v>7071.3999999999996</v>
      </c>
      <c r="BG190" s="53">
        <f>SUMIF('2026 AC'!$B$3:$B$254,"*"&amp;$D190&amp;"*",'2026 AC'!I$3:I$254)</f>
        <v>0</v>
      </c>
      <c r="BH190" s="53">
        <f>SUMIF('2026 AC'!$B$3:$B$254,"*"&amp;$D190&amp;"*",'2026 AC'!J$3:J$254)</f>
        <v>0</v>
      </c>
      <c r="BI190" s="53">
        <f>SUMIF('2026 AC'!$B$3:$B$254,"*"&amp;$D190&amp;"*",'2026 AC'!K$3:K$254)</f>
        <v>0</v>
      </c>
      <c r="BJ190" s="53">
        <f>SUMIF('2026 AC'!$B$3:$B$254,"*"&amp;$D190&amp;"*",'2026 AC'!L$3:L$254)</f>
        <v>0</v>
      </c>
      <c r="BK190" s="53">
        <f>SUMIF('2026 AC'!$B$3:$B$254,"*"&amp;$D190&amp;"*",'2026 AC'!M$3:M$254)</f>
        <v>0</v>
      </c>
      <c r="BL190" s="93">
        <f>SUMIF('2026 AC'!$B$3:$B$254,"*"&amp;$D190&amp;"*",'2026 AC'!N$3:N$254)</f>
        <v>0</v>
      </c>
      <c r="BM190" s="92">
        <f t="shared" si="207"/>
        <v>14424.85</v>
      </c>
      <c r="BN190" s="93">
        <f t="shared" si="167"/>
        <v>5584.2000000000007</v>
      </c>
      <c r="BO190" s="93">
        <f t="shared" si="168"/>
        <v>8840.6499999999996</v>
      </c>
      <c r="BP190" s="93">
        <f t="shared" si="169"/>
        <v>0</v>
      </c>
      <c r="BQ190" s="93">
        <f t="shared" si="170"/>
        <v>0</v>
      </c>
      <c r="BR190" s="92">
        <f t="shared" si="171"/>
        <v>14424.85</v>
      </c>
    </row>
    <row r="191" ht="15" customHeight="1" outlineLevel="1">
      <c r="A191" t="s">
        <v>482</v>
      </c>
      <c r="B191" t="s">
        <v>483</v>
      </c>
      <c r="C191" s="34" t="s">
        <v>484</v>
      </c>
      <c r="D191" s="35" t="s">
        <v>437</v>
      </c>
      <c r="E191" s="151">
        <f t="shared" si="182"/>
        <v>310</v>
      </c>
      <c r="F191" s="152">
        <f t="shared" si="183"/>
        <v>750</v>
      </c>
      <c r="G191" s="154">
        <f>IFERROR((E191-F191)/F191,1)</f>
        <v>-0.58666666666666667</v>
      </c>
      <c r="H191" s="153">
        <f t="shared" si="185"/>
        <v>1440</v>
      </c>
      <c r="I191" s="153">
        <f t="shared" si="186"/>
        <v>1875</v>
      </c>
      <c r="J191" s="154">
        <f>IFERROR((H191-I191)/I191,1)</f>
        <v>-0.23200000000000001</v>
      </c>
      <c r="K191" s="153">
        <f t="shared" si="187"/>
        <v>8770.7999999999993</v>
      </c>
      <c r="L191" s="153">
        <f t="shared" si="188"/>
        <v>1875</v>
      </c>
      <c r="M191" s="155">
        <f>IFERROR((K191-L191)/L191,1)</f>
        <v>3.6777599999999997</v>
      </c>
      <c r="O191" s="63">
        <f>SUMIF('2024 AC'!$B$3:$B$250,"*"&amp;$D191&amp;"*",'2024 AC'!C$3:C$250)</f>
        <v>0</v>
      </c>
      <c r="P191" s="53">
        <f>SUMIF('2024 AC'!$B$3:$B$250,"*"&amp;$D191&amp;"*",'2024 AC'!D$3:D$250)</f>
        <v>2300</v>
      </c>
      <c r="Q191" s="53">
        <f>SUMIF('2024 AC'!$B$3:$B$250,"*"&amp;$D191&amp;"*",'2024 AC'!E$3:E$250)</f>
        <v>0</v>
      </c>
      <c r="R191" s="53">
        <f>SUMIF('2024 AC'!$B$3:$B$250,"*"&amp;$D191&amp;"*",'2024 AC'!F$3:F$250)</f>
        <v>0</v>
      </c>
      <c r="S191" s="53">
        <f>SUMIF('2024 AC'!$B$3:$B$250,"*"&amp;$D191&amp;"*",'2024 AC'!G$3:G$250)</f>
        <v>2148</v>
      </c>
      <c r="T191" s="53">
        <f>SUMIF('2024 AC'!$B$3:$B$250,"*"&amp;$D191&amp;"*",'2024 AC'!H$3:H$250)</f>
        <v>0</v>
      </c>
      <c r="U191" s="53">
        <f>SUMIF('2024 AC'!$B$3:$B$250,"*"&amp;$D191&amp;"*",'2024 AC'!I$3:I$250)</f>
        <v>3250</v>
      </c>
      <c r="V191" s="53">
        <f>SUMIF('2024 AC'!$B$3:$B$250,"*"&amp;$D191&amp;"*",'2024 AC'!J$3:J$250)</f>
        <v>0</v>
      </c>
      <c r="W191" s="53">
        <f>SUMIF('2024 AC'!$B$3:$B$250,"*"&amp;$D191&amp;"*",'2024 AC'!K$3:K$250)</f>
        <v>2000</v>
      </c>
      <c r="X191" s="53">
        <f>SUMIF('2024 AC'!$B$3:$B$250,"*"&amp;$D191&amp;"*",'2024 AC'!L$3:L$250)</f>
        <v>0</v>
      </c>
      <c r="Y191" s="53">
        <f>SUMIF('2024 AC'!$B$3:$B$250,"*"&amp;$D191&amp;"*",'2024 AC'!M$3:M$250)</f>
        <v>0</v>
      </c>
      <c r="Z191" s="93">
        <f>SUMIF('2024 AC'!$B$3:$B$250,"*"&amp;$D191&amp;"*",'2024 AC'!N$3:N$250)</f>
        <v>930</v>
      </c>
      <c r="AA191" s="92">
        <f t="shared" si="156"/>
        <v>10628</v>
      </c>
      <c r="AB191" s="93">
        <f t="shared" si="157"/>
        <v>2300</v>
      </c>
      <c r="AC191" s="93">
        <f t="shared" si="158"/>
        <v>2148</v>
      </c>
      <c r="AD191" s="93">
        <f t="shared" si="159"/>
        <v>5250</v>
      </c>
      <c r="AE191" s="93">
        <f t="shared" si="160"/>
        <v>930</v>
      </c>
      <c r="AF191" s="92">
        <f t="shared" si="161"/>
        <v>10628</v>
      </c>
      <c r="AH191" s="63">
        <f>SUMIF('2025 AC'!$B$3:$B$250,"*"&amp;$D191&amp;"*",'2025 AC'!C$3:C$250)</f>
        <v>0</v>
      </c>
      <c r="AI191" s="53">
        <f>SUMIF('2025 AC'!$B$3:$B$250,"*"&amp;$D191&amp;"*",'2025 AC'!D$3:D$250)</f>
        <v>0</v>
      </c>
      <c r="AJ191" s="53">
        <f>SUMIF('2025 AC'!$B$3:$B$250,"*"&amp;$D191&amp;"*",'2025 AC'!E$3:E$250)</f>
        <v>0</v>
      </c>
      <c r="AK191" s="53">
        <f>SUMIF('2025 AC'!$B$3:$B$250,"*"&amp;$D191&amp;"*",'2025 AC'!F$3:F$250)</f>
        <v>0</v>
      </c>
      <c r="AL191" s="53">
        <f>SUMIF('2025 AC'!$B$3:$B$250,"*"&amp;$D191&amp;"*",'2025 AC'!G$3:G$250)</f>
        <v>1125</v>
      </c>
      <c r="AM191" s="53">
        <f>SUMIF('2025 AC'!$B$3:$B$250,"*"&amp;$D191&amp;"*",'2025 AC'!H$3:H$250)</f>
        <v>750</v>
      </c>
      <c r="AN191" s="53">
        <f>SUMIF('2025 AC'!$B$3:$B$250,"*"&amp;$D191&amp;"*",'2025 AC'!I$3:I$250)</f>
        <v>1924.8</v>
      </c>
      <c r="AO191" s="53">
        <f>SUMIF('2025 AC'!$B$3:$B$250,"*"&amp;$D191&amp;"*",'2025 AC'!J$3:J$250)</f>
        <v>0</v>
      </c>
      <c r="AP191" s="53">
        <f>SUMIF('2025 AC'!$B$3:$B$250,"*"&amp;$D191&amp;"*",'2025 AC'!K$3:K$250)</f>
        <v>800</v>
      </c>
      <c r="AQ191" s="53">
        <f>SUMIF('2025 AC'!$B$3:$B$250,"*"&amp;$D191&amp;"*",'2025 AC'!L$3:L$250)</f>
        <v>400</v>
      </c>
      <c r="AR191" s="53">
        <f>SUMIF('2025 AC'!$B$3:$B$250,"*"&amp;$D191&amp;"*",'2025 AC'!M$3:M$250)</f>
        <v>800</v>
      </c>
      <c r="AS191" s="53">
        <f>SUMIF('2025 AC'!$B$3:$B$250,"*"&amp;$D191&amp;"*",'2025 AC'!N$3:N$250)</f>
        <v>3450</v>
      </c>
      <c r="AT191" s="94">
        <f t="shared" si="206"/>
        <v>9249.7999999999993</v>
      </c>
      <c r="AU191" s="93">
        <f t="shared" si="162"/>
        <v>0</v>
      </c>
      <c r="AV191" s="93">
        <f t="shared" si="163"/>
        <v>1875</v>
      </c>
      <c r="AW191" s="93">
        <f t="shared" si="164"/>
        <v>2724.8000000000002</v>
      </c>
      <c r="AX191" s="93">
        <f t="shared" si="165"/>
        <v>4650</v>
      </c>
      <c r="AY191" s="92">
        <f t="shared" si="166"/>
        <v>9249.7999999999993</v>
      </c>
      <c r="BA191" s="63">
        <f>SUMIF('2026 AC'!$B$3:$B$254,"*"&amp;$D191&amp;"*",'2026 AC'!C$3:C$254)</f>
        <v>5500</v>
      </c>
      <c r="BB191" s="53">
        <f>SUMIF('2026 AC'!$B$3:$B$254,"*"&amp;$D191&amp;"*",'2026 AC'!D$3:D$254)</f>
        <v>300</v>
      </c>
      <c r="BC191" s="53">
        <f>SUMIF('2026 AC'!$B$3:$B$254,"*"&amp;$D191&amp;"*",'2026 AC'!E$3:E$254)</f>
        <v>1530.8</v>
      </c>
      <c r="BD191" s="53">
        <f>SUMIF('2026 AC'!$B$3:$B$254,"*"&amp;$D191&amp;"*",'2026 AC'!F$3:F$254)</f>
        <v>0</v>
      </c>
      <c r="BE191" s="53">
        <f>SUMIF('2026 AC'!$B$3:$B$254,"*"&amp;$D191&amp;"*",'2026 AC'!G$3:G$254)</f>
        <v>1130</v>
      </c>
      <c r="BF191" s="53">
        <f>SUMIF('2026 AC'!$B$3:$B$254,"*"&amp;$D191&amp;"*",'2026 AC'!H$3:H$254)</f>
        <v>310</v>
      </c>
      <c r="BG191" s="53">
        <f>SUMIF('2026 AC'!$B$3:$B$254,"*"&amp;$D191&amp;"*",'2026 AC'!I$3:I$254)</f>
        <v>0</v>
      </c>
      <c r="BH191" s="53">
        <f>SUMIF('2026 AC'!$B$3:$B$254,"*"&amp;$D191&amp;"*",'2026 AC'!J$3:J$254)</f>
        <v>0</v>
      </c>
      <c r="BI191" s="53">
        <f>SUMIF('2026 AC'!$B$3:$B$254,"*"&amp;$D191&amp;"*",'2026 AC'!K$3:K$254)</f>
        <v>0</v>
      </c>
      <c r="BJ191" s="53">
        <f>SUMIF('2026 AC'!$B$3:$B$254,"*"&amp;$D191&amp;"*",'2026 AC'!L$3:L$254)</f>
        <v>0</v>
      </c>
      <c r="BK191" s="53">
        <f>SUMIF('2026 AC'!$B$3:$B$254,"*"&amp;$D191&amp;"*",'2026 AC'!M$3:M$254)</f>
        <v>0</v>
      </c>
      <c r="BL191" s="93">
        <f>SUMIF('2026 AC'!$B$3:$B$254,"*"&amp;$D191&amp;"*",'2026 AC'!N$3:N$254)</f>
        <v>0</v>
      </c>
      <c r="BM191" s="92">
        <f t="shared" si="207"/>
        <v>8770.7999999999993</v>
      </c>
      <c r="BN191" s="93">
        <f t="shared" si="167"/>
        <v>7330.8000000000002</v>
      </c>
      <c r="BO191" s="93">
        <f t="shared" si="168"/>
        <v>1440</v>
      </c>
      <c r="BP191" s="93">
        <f t="shared" si="169"/>
        <v>0</v>
      </c>
      <c r="BQ191" s="93">
        <f t="shared" si="170"/>
        <v>0</v>
      </c>
      <c r="BR191" s="92">
        <f t="shared" si="171"/>
        <v>8770.7999999999993</v>
      </c>
    </row>
    <row r="192" ht="15" customHeight="1" outlineLevel="1">
      <c r="A192" t="s">
        <v>485</v>
      </c>
      <c r="B192" t="s">
        <v>486</v>
      </c>
      <c r="C192" s="34" t="s">
        <v>487</v>
      </c>
      <c r="D192" s="35" t="s">
        <v>488</v>
      </c>
      <c r="E192" s="151">
        <f t="shared" si="182"/>
        <v>2231</v>
      </c>
      <c r="F192" s="152">
        <f t="shared" si="183"/>
        <v>2231</v>
      </c>
      <c r="G192" s="54">
        <f t="shared" ref="G192:G193" si="212">(E192-F192)/F192</f>
        <v>0</v>
      </c>
      <c r="H192" s="153">
        <f t="shared" si="185"/>
        <v>6693</v>
      </c>
      <c r="I192" s="153">
        <f t="shared" si="186"/>
        <v>7443</v>
      </c>
      <c r="J192" s="54">
        <f t="shared" ref="J192:J193" si="213">(H192-I192)/I192</f>
        <v>-0.1007658202337767</v>
      </c>
      <c r="K192" s="153">
        <f t="shared" si="187"/>
        <v>14234</v>
      </c>
      <c r="L192" s="153">
        <f t="shared" si="188"/>
        <v>15132.560000000001</v>
      </c>
      <c r="M192" s="55">
        <f t="shared" ref="M192:M193" si="214">(K192-L192)/L192</f>
        <v>-5.9379245811680324e-02</v>
      </c>
      <c r="O192" s="63">
        <f>SUMIF('2024 AC'!$B$3:$B$250,"*"&amp;$D192&amp;"*",'2024 AC'!C$3:C$250)</f>
        <v>331</v>
      </c>
      <c r="P192" s="53">
        <f>SUMIF('2024 AC'!$B$3:$B$250,"*"&amp;$D192&amp;"*",'2024 AC'!D$3:D$250)</f>
        <v>331</v>
      </c>
      <c r="Q192" s="53">
        <f>SUMIF('2024 AC'!$B$3:$B$250,"*"&amp;$D192&amp;"*",'2024 AC'!E$3:E$250)</f>
        <v>0</v>
      </c>
      <c r="R192" s="53">
        <f>SUMIF('2024 AC'!$B$3:$B$250,"*"&amp;$D192&amp;"*",'2024 AC'!F$3:F$250)</f>
        <v>662</v>
      </c>
      <c r="S192" s="53">
        <f>SUMIF('2024 AC'!$B$3:$B$250,"*"&amp;$D192&amp;"*",'2024 AC'!G$3:G$250)</f>
        <v>331</v>
      </c>
      <c r="T192" s="53">
        <f>SUMIF('2024 AC'!$B$3:$B$250,"*"&amp;$D192&amp;"*",'2024 AC'!H$3:H$250)</f>
        <v>331</v>
      </c>
      <c r="U192" s="53">
        <f>SUMIF('2024 AC'!$B$3:$B$250,"*"&amp;$D192&amp;"*",'2024 AC'!I$3:I$250)</f>
        <v>15331</v>
      </c>
      <c r="V192" s="53">
        <f>SUMIF('2024 AC'!$B$3:$B$250,"*"&amp;$D192&amp;"*",'2024 AC'!J$3:J$250)</f>
        <v>7931</v>
      </c>
      <c r="W192" s="53">
        <f>SUMIF('2024 AC'!$B$3:$B$250,"*"&amp;$D192&amp;"*",'2024 AC'!K$3:K$250)</f>
        <v>331</v>
      </c>
      <c r="X192" s="53">
        <f>SUMIF('2024 AC'!$B$3:$B$250,"*"&amp;$D192&amp;"*",'2024 AC'!L$3:L$250)</f>
        <v>331</v>
      </c>
      <c r="Y192" s="53">
        <f>SUMIF('2024 AC'!$B$3:$B$250,"*"&amp;$D192&amp;"*",'2024 AC'!M$3:M$250)</f>
        <v>6381</v>
      </c>
      <c r="Z192" s="93">
        <f>SUMIF('2024 AC'!$B$3:$B$250,"*"&amp;$D192&amp;"*",'2024 AC'!N$3:N$250)</f>
        <v>331</v>
      </c>
      <c r="AA192" s="92">
        <f t="shared" si="156"/>
        <v>32622</v>
      </c>
      <c r="AB192" s="93">
        <f t="shared" si="157"/>
        <v>662</v>
      </c>
      <c r="AC192" s="93">
        <f t="shared" si="158"/>
        <v>1324</v>
      </c>
      <c r="AD192" s="93">
        <f t="shared" si="159"/>
        <v>23593</v>
      </c>
      <c r="AE192" s="93">
        <f t="shared" si="160"/>
        <v>7043</v>
      </c>
      <c r="AF192" s="92">
        <f t="shared" si="161"/>
        <v>32622</v>
      </c>
      <c r="AH192" s="63">
        <f>SUMIF('2025 AC'!$B$3:$B$250,"*"&amp;$D192&amp;"*",'2025 AC'!C$3:C$250)</f>
        <v>4796.5600000000004</v>
      </c>
      <c r="AI192" s="53">
        <f>SUMIF('2025 AC'!$B$3:$B$250,"*"&amp;$D192&amp;"*",'2025 AC'!D$3:D$250)</f>
        <v>2562</v>
      </c>
      <c r="AJ192" s="53">
        <f>SUMIF('2025 AC'!$B$3:$B$250,"*"&amp;$D192&amp;"*",'2025 AC'!E$3:E$250)</f>
        <v>331</v>
      </c>
      <c r="AK192" s="53">
        <f>SUMIF('2025 AC'!$B$3:$B$250,"*"&amp;$D192&amp;"*",'2025 AC'!F$3:F$250)</f>
        <v>2231</v>
      </c>
      <c r="AL192" s="53">
        <f>SUMIF('2025 AC'!$B$3:$B$250,"*"&amp;$D192&amp;"*",'2025 AC'!G$3:G$250)</f>
        <v>2981</v>
      </c>
      <c r="AM192" s="53">
        <f>SUMIF('2025 AC'!$B$3:$B$250,"*"&amp;$D192&amp;"*",'2025 AC'!H$3:H$250)</f>
        <v>2231</v>
      </c>
      <c r="AN192" s="53">
        <f>SUMIF('2025 AC'!$B$3:$B$250,"*"&amp;$D192&amp;"*",'2025 AC'!I$3:I$250)</f>
        <v>2231</v>
      </c>
      <c r="AO192" s="53">
        <f>SUMIF('2025 AC'!$B$3:$B$250,"*"&amp;$D192&amp;"*",'2025 AC'!J$3:J$250)</f>
        <v>2831</v>
      </c>
      <c r="AP192" s="53">
        <f>SUMIF('2025 AC'!$B$3:$B$250,"*"&amp;$D192&amp;"*",'2025 AC'!K$3:K$250)</f>
        <v>1900</v>
      </c>
      <c r="AQ192" s="53">
        <f>SUMIF('2025 AC'!$B$3:$B$250,"*"&amp;$D192&amp;"*",'2025 AC'!L$3:L$250)</f>
        <v>2562</v>
      </c>
      <c r="AR192" s="53">
        <f>SUMIF('2025 AC'!$B$3:$B$250,"*"&amp;$D192&amp;"*",'2025 AC'!M$3:M$250)</f>
        <v>2231</v>
      </c>
      <c r="AS192" s="53">
        <f>SUMIF('2025 AC'!$B$3:$B$250,"*"&amp;$D192&amp;"*",'2025 AC'!N$3:N$250)</f>
        <v>2231</v>
      </c>
      <c r="AT192" s="94">
        <f t="shared" si="206"/>
        <v>29118.560000000001</v>
      </c>
      <c r="AU192" s="93">
        <f t="shared" si="162"/>
        <v>7689.5600000000004</v>
      </c>
      <c r="AV192" s="93">
        <f t="shared" si="163"/>
        <v>7443</v>
      </c>
      <c r="AW192" s="93">
        <f t="shared" si="164"/>
        <v>6962</v>
      </c>
      <c r="AX192" s="93">
        <f t="shared" si="165"/>
        <v>7024</v>
      </c>
      <c r="AY192" s="92">
        <f t="shared" si="166"/>
        <v>29118.560000000001</v>
      </c>
      <c r="BA192" s="63">
        <f>SUMIF('2026 AC'!$B$3:$B$254,"*"&amp;$D192&amp;"*",'2026 AC'!C$3:C$254)</f>
        <v>2231</v>
      </c>
      <c r="BB192" s="53">
        <f>SUMIF('2026 AC'!$B$3:$B$254,"*"&amp;$D192&amp;"*",'2026 AC'!D$3:D$254)</f>
        <v>1900</v>
      </c>
      <c r="BC192" s="53">
        <f>SUMIF('2026 AC'!$B$3:$B$254,"*"&amp;$D192&amp;"*",'2026 AC'!E$3:E$254)</f>
        <v>3410</v>
      </c>
      <c r="BD192" s="53">
        <f>SUMIF('2026 AC'!$B$3:$B$254,"*"&amp;$D192&amp;"*",'2026 AC'!F$3:F$254)</f>
        <v>2231</v>
      </c>
      <c r="BE192" s="53">
        <f>SUMIF('2026 AC'!$B$3:$B$254,"*"&amp;$D192&amp;"*",'2026 AC'!G$3:G$254)</f>
        <v>2231</v>
      </c>
      <c r="BF192" s="53">
        <f>SUMIF('2026 AC'!$B$3:$B$254,"*"&amp;$D192&amp;"*",'2026 AC'!H$3:H$254)</f>
        <v>2231</v>
      </c>
      <c r="BG192" s="53">
        <f>SUMIF('2026 AC'!$B$3:$B$254,"*"&amp;$D192&amp;"*",'2026 AC'!I$3:I$254)</f>
        <v>0</v>
      </c>
      <c r="BH192" s="53">
        <f>SUMIF('2026 AC'!$B$3:$B$254,"*"&amp;$D192&amp;"*",'2026 AC'!J$3:J$254)</f>
        <v>0</v>
      </c>
      <c r="BI192" s="53">
        <f>SUMIF('2026 AC'!$B$3:$B$254,"*"&amp;$D192&amp;"*",'2026 AC'!K$3:K$254)</f>
        <v>0</v>
      </c>
      <c r="BJ192" s="53">
        <f>SUMIF('2026 AC'!$B$3:$B$254,"*"&amp;$D192&amp;"*",'2026 AC'!L$3:L$254)</f>
        <v>0</v>
      </c>
      <c r="BK192" s="53">
        <f>SUMIF('2026 AC'!$B$3:$B$254,"*"&amp;$D192&amp;"*",'2026 AC'!M$3:M$254)</f>
        <v>0</v>
      </c>
      <c r="BL192" s="93">
        <f>SUMIF('2026 AC'!$B$3:$B$254,"*"&amp;$D192&amp;"*",'2026 AC'!N$3:N$254)</f>
        <v>0</v>
      </c>
      <c r="BM192" s="92">
        <f t="shared" si="207"/>
        <v>14234</v>
      </c>
      <c r="BN192" s="93">
        <f t="shared" si="167"/>
        <v>7541</v>
      </c>
      <c r="BO192" s="93">
        <f t="shared" si="168"/>
        <v>6693</v>
      </c>
      <c r="BP192" s="93">
        <f t="shared" si="169"/>
        <v>0</v>
      </c>
      <c r="BQ192" s="93">
        <f t="shared" si="170"/>
        <v>0</v>
      </c>
      <c r="BR192" s="92">
        <f t="shared" si="171"/>
        <v>14234</v>
      </c>
    </row>
    <row r="193" ht="15" customHeight="1" outlineLevel="1">
      <c r="A193" t="s">
        <v>489</v>
      </c>
      <c r="B193" t="s">
        <v>490</v>
      </c>
      <c r="C193" s="34" t="s">
        <v>491</v>
      </c>
      <c r="D193" s="35" t="s">
        <v>440</v>
      </c>
      <c r="E193" s="153">
        <f t="shared" si="182"/>
        <v>0</v>
      </c>
      <c r="F193" s="152">
        <f t="shared" si="183"/>
        <v>0</v>
      </c>
      <c r="G193" s="54" t="e">
        <f t="shared" si="212"/>
        <v>#DIV/0!</v>
      </c>
      <c r="H193" s="153">
        <f t="shared" si="185"/>
        <v>0</v>
      </c>
      <c r="I193" s="153">
        <f t="shared" si="186"/>
        <v>6021</v>
      </c>
      <c r="J193" s="54">
        <f t="shared" si="213"/>
        <v>-1</v>
      </c>
      <c r="K193" s="153">
        <f t="shared" si="187"/>
        <v>0</v>
      </c>
      <c r="L193" s="153">
        <f t="shared" si="188"/>
        <v>7746</v>
      </c>
      <c r="M193" s="55">
        <f t="shared" si="214"/>
        <v>-1</v>
      </c>
      <c r="O193" s="63">
        <f>SUMIF('2024 AC'!$B$3:$B$250,"*"&amp;$D193&amp;"*",'2024 AC'!C$3:C$250)</f>
        <v>1475</v>
      </c>
      <c r="P193" s="53">
        <f>SUMIF('2024 AC'!$B$3:$B$250,"*"&amp;$D193&amp;"*",'2024 AC'!D$3:D$250)</f>
        <v>0</v>
      </c>
      <c r="Q193" s="53">
        <f>SUMIF('2024 AC'!$B$3:$B$250,"*"&amp;$D193&amp;"*",'2024 AC'!E$3:E$250)</f>
        <v>280</v>
      </c>
      <c r="R193" s="53">
        <f>SUMIF('2024 AC'!$B$3:$B$250,"*"&amp;$D193&amp;"*",'2024 AC'!F$3:F$250)</f>
        <v>1455</v>
      </c>
      <c r="S193" s="53">
        <f>SUMIF('2024 AC'!$B$3:$B$250,"*"&amp;$D193&amp;"*",'2024 AC'!G$3:G$250)</f>
        <v>0</v>
      </c>
      <c r="T193" s="53">
        <f>SUMIF('2024 AC'!$B$3:$B$250,"*"&amp;$D193&amp;"*",'2024 AC'!H$3:H$250)</f>
        <v>3600</v>
      </c>
      <c r="U193" s="53">
        <f>SUMIF('2024 AC'!$B$3:$B$250,"*"&amp;$D193&amp;"*",'2024 AC'!I$3:I$250)</f>
        <v>0</v>
      </c>
      <c r="V193" s="53">
        <f>SUMIF('2024 AC'!$B$3:$B$250,"*"&amp;$D193&amp;"*",'2024 AC'!J$3:J$250)</f>
        <v>5350</v>
      </c>
      <c r="W193" s="53">
        <f>SUMIF('2024 AC'!$B$3:$B$250,"*"&amp;$D193&amp;"*",'2024 AC'!K$3:K$250)</f>
        <v>750</v>
      </c>
      <c r="X193" s="53">
        <f>SUMIF('2024 AC'!$B$3:$B$250,"*"&amp;$D193&amp;"*",'2024 AC'!L$3:L$250)</f>
        <v>1300</v>
      </c>
      <c r="Y193" s="53">
        <f>SUMIF('2024 AC'!$B$3:$B$250,"*"&amp;$D193&amp;"*",'2024 AC'!M$3:M$250)</f>
        <v>1125</v>
      </c>
      <c r="Z193" s="93">
        <f>SUMIF('2024 AC'!$B$3:$B$250,"*"&amp;$D193&amp;"*",'2024 AC'!N$3:N$250)</f>
        <v>0</v>
      </c>
      <c r="AA193" s="92">
        <f t="shared" si="156"/>
        <v>15335</v>
      </c>
      <c r="AB193" s="93">
        <f t="shared" si="157"/>
        <v>1755</v>
      </c>
      <c r="AC193" s="93">
        <f t="shared" si="158"/>
        <v>5055</v>
      </c>
      <c r="AD193" s="93">
        <f t="shared" si="159"/>
        <v>6100</v>
      </c>
      <c r="AE193" s="93">
        <f t="shared" si="160"/>
        <v>2425</v>
      </c>
      <c r="AF193" s="92">
        <f t="shared" si="161"/>
        <v>15335</v>
      </c>
      <c r="AH193" s="63">
        <f>SUMIF('2025 AC'!$B$3:$B$250,"*"&amp;$D193&amp;"*",'2025 AC'!C$3:C$250)</f>
        <v>0</v>
      </c>
      <c r="AI193" s="53">
        <f>SUMIF('2025 AC'!$B$3:$B$250,"*"&amp;$D193&amp;"*",'2025 AC'!D$3:D$250)</f>
        <v>0</v>
      </c>
      <c r="AJ193" s="53">
        <f>SUMIF('2025 AC'!$B$3:$B$250,"*"&amp;$D193&amp;"*",'2025 AC'!E$3:E$250)</f>
        <v>1725</v>
      </c>
      <c r="AK193" s="53">
        <f>SUMIF('2025 AC'!$B$3:$B$250,"*"&amp;$D193&amp;"*",'2025 AC'!F$3:F$250)</f>
        <v>5824</v>
      </c>
      <c r="AL193" s="53">
        <f>SUMIF('2025 AC'!$B$3:$B$250,"*"&amp;$D193&amp;"*",'2025 AC'!G$3:G$250)</f>
        <v>197</v>
      </c>
      <c r="AM193" s="53">
        <f>SUMIF('2025 AC'!$B$3:$B$250,"*"&amp;$D193&amp;"*",'2025 AC'!H$3:H$250)</f>
        <v>0</v>
      </c>
      <c r="AN193" s="53">
        <f>SUMIF('2025 AC'!$B$3:$B$250,"*"&amp;$D193&amp;"*",'2025 AC'!I$3:I$250)</f>
        <v>0</v>
      </c>
      <c r="AO193" s="53">
        <f>SUMIF('2025 AC'!$B$3:$B$250,"*"&amp;$D193&amp;"*",'2025 AC'!J$3:J$250)</f>
        <v>0</v>
      </c>
      <c r="AP193" s="53">
        <f>SUMIF('2025 AC'!$B$3:$B$250,"*"&amp;$D193&amp;"*",'2025 AC'!K$3:K$250)</f>
        <v>0</v>
      </c>
      <c r="AQ193" s="53">
        <f>SUMIF('2025 AC'!$B$3:$B$250,"*"&amp;$D193&amp;"*",'2025 AC'!L$3:L$250)</f>
        <v>0</v>
      </c>
      <c r="AR193" s="53">
        <f>SUMIF('2025 AC'!$B$3:$B$250,"*"&amp;$D193&amp;"*",'2025 AC'!M$3:M$250)</f>
        <v>180</v>
      </c>
      <c r="AS193" s="53">
        <f>SUMIF('2025 AC'!$B$3:$B$250,"*"&amp;$D193&amp;"*",'2025 AC'!N$3:N$250)</f>
        <v>0</v>
      </c>
      <c r="AT193" s="94">
        <f t="shared" si="206"/>
        <v>7926</v>
      </c>
      <c r="AU193" s="93">
        <f t="shared" si="162"/>
        <v>1725</v>
      </c>
      <c r="AV193" s="93">
        <f t="shared" si="163"/>
        <v>6021</v>
      </c>
      <c r="AW193" s="93">
        <f t="shared" si="164"/>
        <v>0</v>
      </c>
      <c r="AX193" s="93">
        <f t="shared" si="165"/>
        <v>180</v>
      </c>
      <c r="AY193" s="92">
        <f t="shared" si="166"/>
        <v>7926</v>
      </c>
      <c r="BA193" s="63">
        <f>SUMIF('2026 AC'!$B$3:$B$254,"*"&amp;$D193&amp;"*",'2026 AC'!C$3:C$254)</f>
        <v>0</v>
      </c>
      <c r="BB193" s="53">
        <f>SUMIF('2026 AC'!$B$3:$B$254,"*"&amp;$D193&amp;"*",'2026 AC'!D$3:D$254)</f>
        <v>0</v>
      </c>
      <c r="BC193" s="53">
        <f>SUMIF('2026 AC'!$B$3:$B$254,"*"&amp;$D193&amp;"*",'2026 AC'!E$3:E$254)</f>
        <v>0</v>
      </c>
      <c r="BD193" s="53">
        <f>SUMIF('2026 AC'!$B$3:$B$254,"*"&amp;$D193&amp;"*",'2026 AC'!F$3:F$254)</f>
        <v>0</v>
      </c>
      <c r="BE193" s="53">
        <f>SUMIF('2026 AC'!$B$3:$B$254,"*"&amp;$D193&amp;"*",'2026 AC'!G$3:G$254)</f>
        <v>0</v>
      </c>
      <c r="BF193" s="53">
        <f>SUMIF('2026 AC'!$B$3:$B$254,"*"&amp;$D193&amp;"*",'2026 AC'!H$3:H$254)</f>
        <v>0</v>
      </c>
      <c r="BG193" s="53">
        <f>SUMIF('2026 AC'!$B$3:$B$254,"*"&amp;$D193&amp;"*",'2026 AC'!I$3:I$254)</f>
        <v>0</v>
      </c>
      <c r="BH193" s="53">
        <f>SUMIF('2026 AC'!$B$3:$B$254,"*"&amp;$D193&amp;"*",'2026 AC'!J$3:J$254)</f>
        <v>0</v>
      </c>
      <c r="BI193" s="53">
        <f>SUMIF('2026 AC'!$B$3:$B$254,"*"&amp;$D193&amp;"*",'2026 AC'!K$3:K$254)</f>
        <v>0</v>
      </c>
      <c r="BJ193" s="53">
        <f>SUMIF('2026 AC'!$B$3:$B$254,"*"&amp;$D193&amp;"*",'2026 AC'!L$3:L$254)</f>
        <v>0</v>
      </c>
      <c r="BK193" s="53">
        <f>SUMIF('2026 AC'!$B$3:$B$254,"*"&amp;$D193&amp;"*",'2026 AC'!M$3:M$254)</f>
        <v>0</v>
      </c>
      <c r="BL193" s="93">
        <f>SUMIF('2026 AC'!$B$3:$B$254,"*"&amp;$D193&amp;"*",'2026 AC'!N$3:N$254)</f>
        <v>0</v>
      </c>
      <c r="BM193" s="92">
        <f t="shared" si="207"/>
        <v>0</v>
      </c>
      <c r="BN193" s="93">
        <f t="shared" si="167"/>
        <v>0</v>
      </c>
      <c r="BO193" s="93">
        <f t="shared" si="168"/>
        <v>0</v>
      </c>
      <c r="BP193" s="93">
        <f t="shared" si="169"/>
        <v>0</v>
      </c>
      <c r="BQ193" s="93">
        <f t="shared" si="170"/>
        <v>0</v>
      </c>
      <c r="BR193" s="92">
        <f t="shared" si="171"/>
        <v>0</v>
      </c>
    </row>
    <row r="194" ht="15" customHeight="1" outlineLevel="1">
      <c r="A194" t="s">
        <v>492</v>
      </c>
      <c r="B194" t="s">
        <v>493</v>
      </c>
      <c r="C194" s="34" t="s">
        <v>494</v>
      </c>
      <c r="D194" s="35" t="s">
        <v>444</v>
      </c>
      <c r="E194" s="153">
        <f t="shared" si="182"/>
        <v>4550</v>
      </c>
      <c r="F194" s="152">
        <f t="shared" si="183"/>
        <v>210</v>
      </c>
      <c r="G194" s="154">
        <f t="shared" ref="G194:G197" si="215">IFERROR((E194-F194)/F194,0)</f>
        <v>20.666666666666668</v>
      </c>
      <c r="H194" s="153">
        <f t="shared" si="185"/>
        <v>4550</v>
      </c>
      <c r="I194" s="153">
        <f t="shared" si="186"/>
        <v>24552</v>
      </c>
      <c r="J194" s="154">
        <f t="shared" ref="J194:J195" si="216">IFERROR((H194-I194)/I194,0)</f>
        <v>-0.81467904855001627</v>
      </c>
      <c r="K194" s="153">
        <f t="shared" si="187"/>
        <v>4550</v>
      </c>
      <c r="L194" s="153">
        <f t="shared" si="188"/>
        <v>25802</v>
      </c>
      <c r="M194" s="155">
        <f t="shared" ref="M194:M195" si="217">IFERROR((K194-L194)/L194,0)</f>
        <v>-0.82365708084644607</v>
      </c>
      <c r="O194" s="63">
        <f>SUMIF('2024 AC'!$B$3:$B$250,"*"&amp;$D194&amp;"*",'2024 AC'!C$3:C$250)</f>
        <v>330</v>
      </c>
      <c r="P194" s="53">
        <f>SUMIF('2024 AC'!$B$3:$B$250,"*"&amp;$D194&amp;"*",'2024 AC'!D$3:D$250)</f>
        <v>0</v>
      </c>
      <c r="Q194" s="53">
        <f>SUMIF('2024 AC'!$B$3:$B$250,"*"&amp;$D194&amp;"*",'2024 AC'!E$3:E$250)</f>
        <v>1552</v>
      </c>
      <c r="R194" s="53">
        <f>SUMIF('2024 AC'!$B$3:$B$250,"*"&amp;$D194&amp;"*",'2024 AC'!F$3:F$250)</f>
        <v>647</v>
      </c>
      <c r="S194" s="53">
        <f>SUMIF('2024 AC'!$B$3:$B$250,"*"&amp;$D194&amp;"*",'2024 AC'!G$3:G$250)</f>
        <v>0</v>
      </c>
      <c r="T194" s="53">
        <f>SUMIF('2024 AC'!$B$3:$B$250,"*"&amp;$D194&amp;"*",'2024 AC'!H$3:H$250)</f>
        <v>0</v>
      </c>
      <c r="U194" s="53">
        <f>SUMIF('2024 AC'!$B$3:$B$250,"*"&amp;$D194&amp;"*",'2024 AC'!I$3:I$250)</f>
        <v>88</v>
      </c>
      <c r="V194" s="53">
        <f>SUMIF('2024 AC'!$B$3:$B$250,"*"&amp;$D194&amp;"*",'2024 AC'!J$3:J$250)</f>
        <v>220</v>
      </c>
      <c r="W194" s="53">
        <f>SUMIF('2024 AC'!$B$3:$B$250,"*"&amp;$D194&amp;"*",'2024 AC'!K$3:K$250)</f>
        <v>75</v>
      </c>
      <c r="X194" s="53">
        <f>SUMIF('2024 AC'!$B$3:$B$250,"*"&amp;$D194&amp;"*",'2024 AC'!L$3:L$250)</f>
        <v>0</v>
      </c>
      <c r="Y194" s="53">
        <f>SUMIF('2024 AC'!$B$3:$B$250,"*"&amp;$D194&amp;"*",'2024 AC'!M$3:M$250)</f>
        <v>0</v>
      </c>
      <c r="Z194" s="93">
        <f>SUMIF('2024 AC'!$B$3:$B$250,"*"&amp;$D194&amp;"*",'2024 AC'!N$3:N$250)</f>
        <v>0</v>
      </c>
      <c r="AA194" s="92">
        <f t="shared" si="156"/>
        <v>2912</v>
      </c>
      <c r="AB194" s="93">
        <f t="shared" si="157"/>
        <v>1882</v>
      </c>
      <c r="AC194" s="93">
        <f t="shared" si="158"/>
        <v>647</v>
      </c>
      <c r="AD194" s="93">
        <f t="shared" si="159"/>
        <v>383</v>
      </c>
      <c r="AE194" s="93">
        <f t="shared" si="160"/>
        <v>0</v>
      </c>
      <c r="AF194" s="92">
        <f t="shared" si="161"/>
        <v>2912</v>
      </c>
      <c r="AH194" s="63">
        <f>SUMIF('2025 AC'!$B$3:$B$250,"*"&amp;$D194&amp;"*",'2025 AC'!C$3:C$250)</f>
        <v>0</v>
      </c>
      <c r="AI194" s="53">
        <f>SUMIF('2025 AC'!$B$3:$B$250,"*"&amp;$D194&amp;"*",'2025 AC'!D$3:D$250)</f>
        <v>1250</v>
      </c>
      <c r="AJ194" s="53">
        <f>SUMIF('2025 AC'!$B$3:$B$250,"*"&amp;$D194&amp;"*",'2025 AC'!E$3:E$250)</f>
        <v>0</v>
      </c>
      <c r="AK194" s="53">
        <f>SUMIF('2025 AC'!$B$3:$B$250,"*"&amp;$D194&amp;"*",'2025 AC'!F$3:F$250)</f>
        <v>18420</v>
      </c>
      <c r="AL194" s="53">
        <f>SUMIF('2025 AC'!$B$3:$B$250,"*"&amp;$D194&amp;"*",'2025 AC'!G$3:G$250)</f>
        <v>5922</v>
      </c>
      <c r="AM194" s="53">
        <f>SUMIF('2025 AC'!$B$3:$B$250,"*"&amp;$D194&amp;"*",'2025 AC'!H$3:H$250)</f>
        <v>210</v>
      </c>
      <c r="AN194" s="53">
        <f>SUMIF('2025 AC'!$B$3:$B$250,"*"&amp;$D194&amp;"*",'2025 AC'!I$3:I$250)</f>
        <v>440</v>
      </c>
      <c r="AO194" s="53">
        <f>SUMIF('2025 AC'!$B$3:$B$250,"*"&amp;$D194&amp;"*",'2025 AC'!J$3:J$250)</f>
        <v>0</v>
      </c>
      <c r="AP194" s="53">
        <f>SUMIF('2025 AC'!$B$3:$B$250,"*"&amp;$D194&amp;"*",'2025 AC'!K$3:K$250)</f>
        <v>0</v>
      </c>
      <c r="AQ194" s="53">
        <f>SUMIF('2025 AC'!$B$3:$B$250,"*"&amp;$D194&amp;"*",'2025 AC'!L$3:L$250)</f>
        <v>0</v>
      </c>
      <c r="AR194" s="53">
        <f>SUMIF('2025 AC'!$B$3:$B$250,"*"&amp;$D194&amp;"*",'2025 AC'!M$3:M$250)</f>
        <v>2390</v>
      </c>
      <c r="AS194" s="53">
        <f>SUMIF('2025 AC'!$B$3:$B$250,"*"&amp;$D194&amp;"*",'2025 AC'!N$3:N$250)</f>
        <v>0</v>
      </c>
      <c r="AT194" s="94">
        <f t="shared" si="206"/>
        <v>28632</v>
      </c>
      <c r="AU194" s="93">
        <f t="shared" si="162"/>
        <v>1250</v>
      </c>
      <c r="AV194" s="93">
        <f t="shared" si="163"/>
        <v>24552</v>
      </c>
      <c r="AW194" s="93">
        <f t="shared" si="164"/>
        <v>440</v>
      </c>
      <c r="AX194" s="93">
        <f t="shared" si="165"/>
        <v>2390</v>
      </c>
      <c r="AY194" s="92">
        <f t="shared" si="166"/>
        <v>28632</v>
      </c>
      <c r="BA194" s="63">
        <f>SUMIF('2026 AC'!$B$3:$B$254,"*"&amp;$D194&amp;"*",'2026 AC'!C$3:C$254)</f>
        <v>0</v>
      </c>
      <c r="BB194" s="53">
        <f>SUMIF('2026 AC'!$B$3:$B$254,"*"&amp;$D194&amp;"*",'2026 AC'!D$3:D$254)</f>
        <v>0</v>
      </c>
      <c r="BC194" s="53">
        <f>SUMIF('2026 AC'!$B$3:$B$254,"*"&amp;$D194&amp;"*",'2026 AC'!E$3:E$254)</f>
        <v>0</v>
      </c>
      <c r="BD194" s="53">
        <f>SUMIF('2026 AC'!$B$3:$B$254,"*"&amp;$D194&amp;"*",'2026 AC'!F$3:F$254)</f>
        <v>0</v>
      </c>
      <c r="BE194" s="53">
        <f>SUMIF('2026 AC'!$B$3:$B$254,"*"&amp;$D194&amp;"*",'2026 AC'!G$3:G$254)</f>
        <v>0</v>
      </c>
      <c r="BF194" s="53">
        <f>SUMIF('2026 AC'!$B$3:$B$254,"*"&amp;$D194&amp;"*",'2026 AC'!H$3:H$254)</f>
        <v>4550</v>
      </c>
      <c r="BG194" s="53">
        <f>SUMIF('2026 AC'!$B$3:$B$254,"*"&amp;$D194&amp;"*",'2026 AC'!I$3:I$254)</f>
        <v>0</v>
      </c>
      <c r="BH194" s="53">
        <f>SUMIF('2026 AC'!$B$3:$B$254,"*"&amp;$D194&amp;"*",'2026 AC'!J$3:J$254)</f>
        <v>0</v>
      </c>
      <c r="BI194" s="53">
        <f>SUMIF('2026 AC'!$B$3:$B$254,"*"&amp;$D194&amp;"*",'2026 AC'!K$3:K$254)</f>
        <v>0</v>
      </c>
      <c r="BJ194" s="53">
        <f>SUMIF('2026 AC'!$B$3:$B$254,"*"&amp;$D194&amp;"*",'2026 AC'!L$3:L$254)</f>
        <v>0</v>
      </c>
      <c r="BK194" s="53">
        <f>SUMIF('2026 AC'!$B$3:$B$254,"*"&amp;$D194&amp;"*",'2026 AC'!M$3:M$254)</f>
        <v>0</v>
      </c>
      <c r="BL194" s="93">
        <f>SUMIF('2026 AC'!$B$3:$B$254,"*"&amp;$D194&amp;"*",'2026 AC'!N$3:N$254)</f>
        <v>0</v>
      </c>
      <c r="BM194" s="92">
        <f t="shared" si="207"/>
        <v>4550</v>
      </c>
      <c r="BN194" s="93">
        <f t="shared" si="167"/>
        <v>0</v>
      </c>
      <c r="BO194" s="93">
        <f t="shared" si="168"/>
        <v>4550</v>
      </c>
      <c r="BP194" s="93">
        <f t="shared" si="169"/>
        <v>0</v>
      </c>
      <c r="BQ194" s="93">
        <f t="shared" si="170"/>
        <v>0</v>
      </c>
      <c r="BR194" s="92">
        <f t="shared" si="171"/>
        <v>4550</v>
      </c>
    </row>
    <row r="195" ht="15" customHeight="1" outlineLevel="1">
      <c r="A195" t="s">
        <v>495</v>
      </c>
      <c r="B195" t="s">
        <v>496</v>
      </c>
      <c r="C195" s="34" t="s">
        <v>497</v>
      </c>
      <c r="D195" s="35" t="s">
        <v>447</v>
      </c>
      <c r="E195" s="153">
        <f t="shared" si="182"/>
        <v>0</v>
      </c>
      <c r="F195" s="152">
        <f t="shared" si="183"/>
        <v>0</v>
      </c>
      <c r="G195" s="154">
        <f t="shared" si="215"/>
        <v>0</v>
      </c>
      <c r="H195" s="153">
        <f t="shared" si="185"/>
        <v>0</v>
      </c>
      <c r="I195" s="153">
        <f t="shared" si="186"/>
        <v>0</v>
      </c>
      <c r="J195" s="154">
        <f t="shared" si="216"/>
        <v>0</v>
      </c>
      <c r="K195" s="153">
        <f t="shared" si="187"/>
        <v>0</v>
      </c>
      <c r="L195" s="153">
        <f t="shared" si="188"/>
        <v>0</v>
      </c>
      <c r="M195" s="155">
        <f t="shared" si="217"/>
        <v>0</v>
      </c>
      <c r="O195" s="63">
        <f>SUMIF('2024 AC'!$B$3:$B$250,"*"&amp;$D195&amp;"*",'2024 AC'!C$3:C$250)</f>
        <v>3120</v>
      </c>
      <c r="P195" s="53">
        <f>SUMIF('2024 AC'!$B$3:$B$250,"*"&amp;$D195&amp;"*",'2024 AC'!D$3:D$250)</f>
        <v>0</v>
      </c>
      <c r="Q195" s="53">
        <f>SUMIF('2024 AC'!$B$3:$B$250,"*"&amp;$D195&amp;"*",'2024 AC'!E$3:E$250)</f>
        <v>1720</v>
      </c>
      <c r="R195" s="53">
        <f>SUMIF('2024 AC'!$B$3:$B$250,"*"&amp;$D195&amp;"*",'2024 AC'!F$3:F$250)</f>
        <v>1740</v>
      </c>
      <c r="S195" s="53">
        <f>SUMIF('2024 AC'!$B$3:$B$250,"*"&amp;$D195&amp;"*",'2024 AC'!G$3:G$250)</f>
        <v>1500</v>
      </c>
      <c r="T195" s="53">
        <f>SUMIF('2024 AC'!$B$3:$B$250,"*"&amp;$D195&amp;"*",'2024 AC'!H$3:H$250)</f>
        <v>0</v>
      </c>
      <c r="U195" s="53">
        <f>SUMIF('2024 AC'!$B$3:$B$250,"*"&amp;$D195&amp;"*",'2024 AC'!I$3:I$250)</f>
        <v>300</v>
      </c>
      <c r="V195" s="53">
        <f>SUMIF('2024 AC'!$B$3:$B$250,"*"&amp;$D195&amp;"*",'2024 AC'!J$3:J$250)</f>
        <v>1480</v>
      </c>
      <c r="W195" s="53">
        <f>SUMIF('2024 AC'!$B$3:$B$250,"*"&amp;$D195&amp;"*",'2024 AC'!K$3:K$250)</f>
        <v>1500</v>
      </c>
      <c r="X195" s="53">
        <f>SUMIF('2024 AC'!$B$3:$B$250,"*"&amp;$D195&amp;"*",'2024 AC'!L$3:L$250)</f>
        <v>18610</v>
      </c>
      <c r="Y195" s="53">
        <f>SUMIF('2024 AC'!$B$3:$B$250,"*"&amp;$D195&amp;"*",'2024 AC'!M$3:M$250)</f>
        <v>2270</v>
      </c>
      <c r="Z195" s="93">
        <f>SUMIF('2024 AC'!$B$3:$B$250,"*"&amp;$D195&amp;"*",'2024 AC'!N$3:N$250)</f>
        <v>0</v>
      </c>
      <c r="AA195" s="92">
        <f t="shared" si="156"/>
        <v>32240</v>
      </c>
      <c r="AB195" s="93">
        <f t="shared" si="157"/>
        <v>4840</v>
      </c>
      <c r="AC195" s="93">
        <f t="shared" si="158"/>
        <v>3240</v>
      </c>
      <c r="AD195" s="93">
        <f t="shared" si="159"/>
        <v>3280</v>
      </c>
      <c r="AE195" s="93">
        <f t="shared" si="160"/>
        <v>20880</v>
      </c>
      <c r="AF195" s="92">
        <f t="shared" si="161"/>
        <v>32240</v>
      </c>
      <c r="AH195" s="63">
        <f>SUMIF('2025 AC'!$B$3:$B$250,"*"&amp;$D195&amp;"*",'2025 AC'!C$3:C$250)</f>
        <v>0</v>
      </c>
      <c r="AI195" s="53">
        <f>SUMIF('2025 AC'!$B$3:$B$250,"*"&amp;$D195&amp;"*",'2025 AC'!D$3:D$250)</f>
        <v>0</v>
      </c>
      <c r="AJ195" s="53">
        <f>SUMIF('2025 AC'!$B$3:$B$250,"*"&amp;$D195&amp;"*",'2025 AC'!E$3:E$250)</f>
        <v>0</v>
      </c>
      <c r="AK195" s="53">
        <f>SUMIF('2025 AC'!$B$3:$B$250,"*"&amp;$D195&amp;"*",'2025 AC'!F$3:F$250)</f>
        <v>0</v>
      </c>
      <c r="AL195" s="53">
        <f>SUMIF('2025 AC'!$B$3:$B$250,"*"&amp;$D195&amp;"*",'2025 AC'!G$3:G$250)</f>
        <v>0</v>
      </c>
      <c r="AM195" s="53">
        <f>SUMIF('2025 AC'!$B$3:$B$250,"*"&amp;$D195&amp;"*",'2025 AC'!H$3:H$250)</f>
        <v>0</v>
      </c>
      <c r="AN195" s="53">
        <f>SUMIF('2025 AC'!$B$3:$B$250,"*"&amp;$D195&amp;"*",'2025 AC'!I$3:I$250)</f>
        <v>0</v>
      </c>
      <c r="AO195" s="53">
        <f>SUMIF('2025 AC'!$B$3:$B$250,"*"&amp;$D195&amp;"*",'2025 AC'!J$3:J$250)</f>
        <v>0</v>
      </c>
      <c r="AP195" s="53">
        <f>SUMIF('2025 AC'!$B$3:$B$250,"*"&amp;$D195&amp;"*",'2025 AC'!K$3:K$250)</f>
        <v>0</v>
      </c>
      <c r="AQ195" s="53">
        <f>SUMIF('2025 AC'!$B$3:$B$250,"*"&amp;$D195&amp;"*",'2025 AC'!L$3:L$250)</f>
        <v>0</v>
      </c>
      <c r="AR195" s="53">
        <f>SUMIF('2025 AC'!$B$3:$B$250,"*"&amp;$D195&amp;"*",'2025 AC'!M$3:M$250)</f>
        <v>0</v>
      </c>
      <c r="AS195" s="53">
        <f>SUMIF('2025 AC'!$B$3:$B$250,"*"&amp;$D195&amp;"*",'2025 AC'!N$3:N$250)</f>
        <v>0</v>
      </c>
      <c r="AT195" s="94">
        <f t="shared" si="206"/>
        <v>0</v>
      </c>
      <c r="AU195" s="93">
        <f t="shared" si="162"/>
        <v>0</v>
      </c>
      <c r="AV195" s="93">
        <f t="shared" si="163"/>
        <v>0</v>
      </c>
      <c r="AW195" s="93">
        <f t="shared" si="164"/>
        <v>0</v>
      </c>
      <c r="AX195" s="93">
        <f t="shared" si="165"/>
        <v>0</v>
      </c>
      <c r="AY195" s="92">
        <f t="shared" si="166"/>
        <v>0</v>
      </c>
      <c r="BA195" s="63">
        <f>SUMIF('2026 AC'!$B$3:$B$254,"*"&amp;$D195&amp;"*",'2026 AC'!C$3:C$254)</f>
        <v>0</v>
      </c>
      <c r="BB195" s="53">
        <f>SUMIF('2026 AC'!$B$3:$B$254,"*"&amp;$D195&amp;"*",'2026 AC'!D$3:D$254)</f>
        <v>0</v>
      </c>
      <c r="BC195" s="53">
        <f>SUMIF('2026 AC'!$B$3:$B$254,"*"&amp;$D195&amp;"*",'2026 AC'!E$3:E$254)</f>
        <v>0</v>
      </c>
      <c r="BD195" s="53">
        <f>SUMIF('2026 AC'!$B$3:$B$254,"*"&amp;$D195&amp;"*",'2026 AC'!F$3:F$254)</f>
        <v>0</v>
      </c>
      <c r="BE195" s="53">
        <f>SUMIF('2026 AC'!$B$3:$B$254,"*"&amp;$D195&amp;"*",'2026 AC'!G$3:G$254)</f>
        <v>0</v>
      </c>
      <c r="BF195" s="53">
        <f>SUMIF('2026 AC'!$B$3:$B$254,"*"&amp;$D195&amp;"*",'2026 AC'!H$3:H$254)</f>
        <v>0</v>
      </c>
      <c r="BG195" s="53">
        <f>SUMIF('2026 AC'!$B$3:$B$254,"*"&amp;$D195&amp;"*",'2026 AC'!I$3:I$254)</f>
        <v>0</v>
      </c>
      <c r="BH195" s="53">
        <f>SUMIF('2026 AC'!$B$3:$B$254,"*"&amp;$D195&amp;"*",'2026 AC'!J$3:J$254)</f>
        <v>0</v>
      </c>
      <c r="BI195" s="53">
        <f>SUMIF('2026 AC'!$B$3:$B$254,"*"&amp;$D195&amp;"*",'2026 AC'!K$3:K$254)</f>
        <v>0</v>
      </c>
      <c r="BJ195" s="53">
        <f>SUMIF('2026 AC'!$B$3:$B$254,"*"&amp;$D195&amp;"*",'2026 AC'!L$3:L$254)</f>
        <v>0</v>
      </c>
      <c r="BK195" s="53">
        <f>SUMIF('2026 AC'!$B$3:$B$254,"*"&amp;$D195&amp;"*",'2026 AC'!M$3:M$254)</f>
        <v>0</v>
      </c>
      <c r="BL195" s="93">
        <f>SUMIF('2026 AC'!$B$3:$B$254,"*"&amp;$D195&amp;"*",'2026 AC'!N$3:N$254)</f>
        <v>0</v>
      </c>
      <c r="BM195" s="92">
        <f t="shared" si="207"/>
        <v>0</v>
      </c>
      <c r="BN195" s="93">
        <f t="shared" si="167"/>
        <v>0</v>
      </c>
      <c r="BO195" s="93">
        <f t="shared" si="168"/>
        <v>0</v>
      </c>
      <c r="BP195" s="93">
        <f t="shared" si="169"/>
        <v>0</v>
      </c>
      <c r="BQ195" s="93">
        <f t="shared" si="170"/>
        <v>0</v>
      </c>
      <c r="BR195" s="92">
        <f t="shared" si="171"/>
        <v>0</v>
      </c>
    </row>
    <row r="196" ht="15" customHeight="1" outlineLevel="1">
      <c r="A196" t="s">
        <v>498</v>
      </c>
      <c r="B196" t="s">
        <v>499</v>
      </c>
      <c r="C196" s="34" t="s">
        <v>500</v>
      </c>
      <c r="D196" s="35" t="s">
        <v>450</v>
      </c>
      <c r="E196" s="188">
        <f t="shared" si="182"/>
        <v>2070</v>
      </c>
      <c r="F196" s="152">
        <f t="shared" si="183"/>
        <v>0</v>
      </c>
      <c r="G196" s="154">
        <f>IFERROR((E196-F196)/F196,1)</f>
        <v>1</v>
      </c>
      <c r="H196" s="153">
        <f t="shared" si="185"/>
        <v>3240</v>
      </c>
      <c r="I196" s="153">
        <f t="shared" si="186"/>
        <v>1880</v>
      </c>
      <c r="J196" s="154">
        <f t="shared" ref="J196:J197" si="218">IFERROR((H196-I196)/I196,1)</f>
        <v>0.72340425531914898</v>
      </c>
      <c r="K196" s="153">
        <f t="shared" si="187"/>
        <v>6490</v>
      </c>
      <c r="L196" s="153">
        <f t="shared" si="188"/>
        <v>1880</v>
      </c>
      <c r="M196" s="155">
        <f t="shared" ref="M196:M197" si="219">IFERROR((K196-L196)/L196,1)</f>
        <v>2.4521276595744679</v>
      </c>
      <c r="O196" s="63">
        <f>SUMIF('2024 AC'!$B$3:$B$250,"*"&amp;$D196&amp;"*",'2024 AC'!C$3:C$250)</f>
        <v>0</v>
      </c>
      <c r="P196" s="53">
        <f>SUMIF('2024 AC'!$B$3:$B$250,"*"&amp;$D196&amp;"*",'2024 AC'!D$3:D$250)</f>
        <v>0</v>
      </c>
      <c r="Q196" s="53">
        <f>SUMIF('2024 AC'!$B$3:$B$250,"*"&amp;$D196&amp;"*",'2024 AC'!E$3:E$250)</f>
        <v>0</v>
      </c>
      <c r="R196" s="53">
        <f>SUMIF('2024 AC'!$B$3:$B$250,"*"&amp;$D196&amp;"*",'2024 AC'!F$3:F$250)</f>
        <v>0</v>
      </c>
      <c r="S196" s="53">
        <f>SUMIF('2024 AC'!$B$3:$B$250,"*"&amp;$D196&amp;"*",'2024 AC'!G$3:G$250)</f>
        <v>0</v>
      </c>
      <c r="T196" s="53">
        <f>SUMIF('2024 AC'!$B$3:$B$250,"*"&amp;$D196&amp;"*",'2024 AC'!H$3:H$250)</f>
        <v>0</v>
      </c>
      <c r="U196" s="53">
        <f>SUMIF('2024 AC'!$B$3:$B$250,"*"&amp;$D196&amp;"*",'2024 AC'!I$3:I$250)</f>
        <v>0</v>
      </c>
      <c r="V196" s="53">
        <f>SUMIF('2024 AC'!$B$3:$B$250,"*"&amp;$D196&amp;"*",'2024 AC'!J$3:J$250)</f>
        <v>0</v>
      </c>
      <c r="W196" s="53">
        <f>SUMIF('2024 AC'!$B$3:$B$250,"*"&amp;$D196&amp;"*",'2024 AC'!K$3:K$250)</f>
        <v>0</v>
      </c>
      <c r="X196" s="53">
        <f>SUMIF('2024 AC'!$B$3:$B$250,"*"&amp;$D196&amp;"*",'2024 AC'!L$3:L$250)</f>
        <v>190</v>
      </c>
      <c r="Y196" s="53">
        <f>SUMIF('2024 AC'!$B$3:$B$250,"*"&amp;$D196&amp;"*",'2024 AC'!M$3:M$250)</f>
        <v>0</v>
      </c>
      <c r="Z196" s="93">
        <f>SUMIF('2024 AC'!$B$3:$B$250,"*"&amp;$D196&amp;"*",'2024 AC'!N$3:N$250)</f>
        <v>4330</v>
      </c>
      <c r="AA196" s="92">
        <f t="shared" si="156"/>
        <v>4520</v>
      </c>
      <c r="AB196" s="93">
        <f t="shared" si="157"/>
        <v>0</v>
      </c>
      <c r="AC196" s="93">
        <f t="shared" si="158"/>
        <v>0</v>
      </c>
      <c r="AD196" s="93">
        <f t="shared" si="159"/>
        <v>0</v>
      </c>
      <c r="AE196" s="93">
        <f t="shared" si="160"/>
        <v>4520</v>
      </c>
      <c r="AF196" s="92">
        <f t="shared" si="161"/>
        <v>4520</v>
      </c>
      <c r="AH196" s="63">
        <f>SUMIF('2025 AC'!$B$3:$B$250,"*"&amp;$D196&amp;"*",'2025 AC'!C$3:C$250)</f>
        <v>0</v>
      </c>
      <c r="AI196" s="53">
        <f>SUMIF('2025 AC'!$B$3:$B$250,"*"&amp;$D196&amp;"*",'2025 AC'!D$3:D$250)</f>
        <v>0</v>
      </c>
      <c r="AJ196" s="53">
        <f>SUMIF('2025 AC'!$B$3:$B$250,"*"&amp;$D196&amp;"*",'2025 AC'!E$3:E$250)</f>
        <v>0</v>
      </c>
      <c r="AK196" s="53">
        <f>SUMIF('2025 AC'!$B$3:$B$250,"*"&amp;$D196&amp;"*",'2025 AC'!F$3:F$250)</f>
        <v>0</v>
      </c>
      <c r="AL196" s="53">
        <f>SUMIF('2025 AC'!$B$3:$B$250,"*"&amp;$D196&amp;"*",'2025 AC'!G$3:G$250)</f>
        <v>1880</v>
      </c>
      <c r="AM196" s="53">
        <f>SUMIF('2025 AC'!$B$3:$B$250,"*"&amp;$D196&amp;"*",'2025 AC'!H$3:H$250)</f>
        <v>0</v>
      </c>
      <c r="AN196" s="53">
        <f>SUMIF('2025 AC'!$B$3:$B$250,"*"&amp;$D196&amp;"*",'2025 AC'!I$3:I$250)</f>
        <v>0</v>
      </c>
      <c r="AO196" s="53">
        <f>SUMIF('2025 AC'!$B$3:$B$250,"*"&amp;$D196&amp;"*",'2025 AC'!J$3:J$250)</f>
        <v>2000</v>
      </c>
      <c r="AP196" s="53">
        <f>SUMIF('2025 AC'!$B$3:$B$250,"*"&amp;$D196&amp;"*",'2025 AC'!K$3:K$250)</f>
        <v>0</v>
      </c>
      <c r="AQ196" s="53">
        <f>SUMIF('2025 AC'!$B$3:$B$250,"*"&amp;$D196&amp;"*",'2025 AC'!L$3:L$250)</f>
        <v>1230</v>
      </c>
      <c r="AR196" s="53">
        <f>SUMIF('2025 AC'!$B$3:$B$250,"*"&amp;$D196&amp;"*",'2025 AC'!M$3:M$250)</f>
        <v>2830</v>
      </c>
      <c r="AS196" s="53">
        <f>SUMIF('2025 AC'!$B$3:$B$250,"*"&amp;$D196&amp;"*",'2025 AC'!N$3:N$250)</f>
        <v>3220</v>
      </c>
      <c r="AT196" s="94">
        <f t="shared" si="206"/>
        <v>11160</v>
      </c>
      <c r="AU196" s="93">
        <f t="shared" si="162"/>
        <v>0</v>
      </c>
      <c r="AV196" s="93">
        <f t="shared" si="163"/>
        <v>1880</v>
      </c>
      <c r="AW196" s="93">
        <f t="shared" si="164"/>
        <v>2000</v>
      </c>
      <c r="AX196" s="93">
        <f t="shared" si="165"/>
        <v>7280</v>
      </c>
      <c r="AY196" s="92">
        <f t="shared" si="166"/>
        <v>11160</v>
      </c>
      <c r="BA196" s="63">
        <f>SUMIF('2026 AC'!$B$3:$B$254,"*"&amp;$D196&amp;"*",'2026 AC'!C$3:C$254)</f>
        <v>730</v>
      </c>
      <c r="BB196" s="53">
        <f>SUMIF('2026 AC'!$B$3:$B$254,"*"&amp;$D196&amp;"*",'2026 AC'!D$3:D$254)</f>
        <v>2050</v>
      </c>
      <c r="BC196" s="53">
        <f>SUMIF('2026 AC'!$B$3:$B$254,"*"&amp;$D196&amp;"*",'2026 AC'!E$3:E$254)</f>
        <v>470</v>
      </c>
      <c r="BD196" s="53">
        <f>SUMIF('2026 AC'!$B$3:$B$254,"*"&amp;$D196&amp;"*",'2026 AC'!F$3:F$254)</f>
        <v>0</v>
      </c>
      <c r="BE196" s="53">
        <f>SUMIF('2026 AC'!$B$3:$B$254,"*"&amp;$D196&amp;"*",'2026 AC'!G$3:G$254)</f>
        <v>1170</v>
      </c>
      <c r="BF196" s="53">
        <f>SUMIF('2026 AC'!$B$3:$B$254,"*"&amp;$D196&amp;"*",'2026 AC'!H$3:H$254)</f>
        <v>2070</v>
      </c>
      <c r="BG196" s="53">
        <f>SUMIF('2026 AC'!$B$3:$B$254,"*"&amp;$D196&amp;"*",'2026 AC'!I$3:I$254)</f>
        <v>0</v>
      </c>
      <c r="BH196" s="53">
        <f>SUMIF('2026 AC'!$B$3:$B$254,"*"&amp;$D196&amp;"*",'2026 AC'!J$3:J$254)</f>
        <v>0</v>
      </c>
      <c r="BI196" s="53">
        <f>SUMIF('2026 AC'!$B$3:$B$254,"*"&amp;$D196&amp;"*",'2026 AC'!K$3:K$254)</f>
        <v>0</v>
      </c>
      <c r="BJ196" s="53">
        <f>SUMIF('2026 AC'!$B$3:$B$254,"*"&amp;$D196&amp;"*",'2026 AC'!L$3:L$254)</f>
        <v>0</v>
      </c>
      <c r="BK196" s="53">
        <f>SUMIF('2026 AC'!$B$3:$B$254,"*"&amp;$D196&amp;"*",'2026 AC'!M$3:M$254)</f>
        <v>0</v>
      </c>
      <c r="BL196" s="93">
        <f>SUMIF('2026 AC'!$B$3:$B$254,"*"&amp;$D196&amp;"*",'2026 AC'!N$3:N$254)</f>
        <v>0</v>
      </c>
      <c r="BM196" s="92">
        <f t="shared" si="207"/>
        <v>6490</v>
      </c>
      <c r="BN196" s="93">
        <f t="shared" si="167"/>
        <v>3250</v>
      </c>
      <c r="BO196" s="93">
        <f t="shared" si="168"/>
        <v>3240</v>
      </c>
      <c r="BP196" s="93">
        <f t="shared" si="169"/>
        <v>0</v>
      </c>
      <c r="BQ196" s="93">
        <f t="shared" si="170"/>
        <v>0</v>
      </c>
      <c r="BR196" s="92">
        <f t="shared" si="171"/>
        <v>6490</v>
      </c>
    </row>
    <row r="197" ht="15" customHeight="1" outlineLevel="1">
      <c r="A197" t="s">
        <v>501</v>
      </c>
      <c r="B197" t="s">
        <v>502</v>
      </c>
      <c r="C197" s="34" t="s">
        <v>503</v>
      </c>
      <c r="D197" s="35" t="s">
        <v>456</v>
      </c>
      <c r="E197" s="188">
        <f t="shared" si="182"/>
        <v>0</v>
      </c>
      <c r="F197" s="152">
        <f t="shared" si="183"/>
        <v>0</v>
      </c>
      <c r="G197" s="154">
        <f t="shared" si="215"/>
        <v>0</v>
      </c>
      <c r="H197" s="153">
        <f t="shared" si="185"/>
        <v>0</v>
      </c>
      <c r="I197" s="153">
        <f t="shared" si="186"/>
        <v>0</v>
      </c>
      <c r="J197" s="154">
        <f t="shared" si="218"/>
        <v>1</v>
      </c>
      <c r="K197" s="153">
        <f t="shared" si="187"/>
        <v>2380</v>
      </c>
      <c r="L197" s="153">
        <f t="shared" si="188"/>
        <v>0</v>
      </c>
      <c r="M197" s="155">
        <f t="shared" si="219"/>
        <v>1</v>
      </c>
      <c r="O197" s="63">
        <f>SUMIF('2024 AC'!$B$3:$B$250,"*"&amp;$D197&amp;"*",'2024 AC'!C$3:C$250)</f>
        <v>0</v>
      </c>
      <c r="P197" s="53">
        <f>SUMIF('2024 AC'!$B$3:$B$250,"*"&amp;$D197&amp;"*",'2024 AC'!D$3:D$250)</f>
        <v>0</v>
      </c>
      <c r="Q197" s="53">
        <f>SUMIF('2024 AC'!$B$3:$B$250,"*"&amp;$D197&amp;"*",'2024 AC'!E$3:E$250)</f>
        <v>0</v>
      </c>
      <c r="R197" s="53">
        <f>SUMIF('2024 AC'!$B$3:$B$250,"*"&amp;$D197&amp;"*",'2024 AC'!F$3:F$250)</f>
        <v>0</v>
      </c>
      <c r="S197" s="53">
        <f>SUMIF('2024 AC'!$B$3:$B$250,"*"&amp;$D197&amp;"*",'2024 AC'!G$3:G$250)</f>
        <v>0</v>
      </c>
      <c r="T197" s="53">
        <f>SUMIF('2024 AC'!$B$3:$B$250,"*"&amp;$D197&amp;"*",'2024 AC'!H$3:H$250)</f>
        <v>0</v>
      </c>
      <c r="U197" s="53">
        <f>SUMIF('2024 AC'!$B$3:$B$250,"*"&amp;$D197&amp;"*",'2024 AC'!I$3:I$250)</f>
        <v>0</v>
      </c>
      <c r="V197" s="53">
        <f>SUMIF('2024 AC'!$B$3:$B$250,"*"&amp;$D197&amp;"*",'2024 AC'!J$3:J$250)</f>
        <v>0</v>
      </c>
      <c r="W197" s="53">
        <f>SUMIF('2024 AC'!$B$3:$B$250,"*"&amp;$D197&amp;"*",'2024 AC'!K$3:K$250)</f>
        <v>0</v>
      </c>
      <c r="X197" s="53">
        <f>SUMIF('2024 AC'!$B$3:$B$250,"*"&amp;$D197&amp;"*",'2024 AC'!L$3:L$250)</f>
        <v>0</v>
      </c>
      <c r="Y197" s="53">
        <f>SUMIF('2024 AC'!$B$3:$B$250,"*"&amp;$D197&amp;"*",'2024 AC'!M$3:M$250)</f>
        <v>2380</v>
      </c>
      <c r="Z197" s="93">
        <f>SUMIF('2024 AC'!$B$3:$B$250,"*"&amp;$D197&amp;"*",'2024 AC'!N$3:N$250)</f>
        <v>0</v>
      </c>
      <c r="AA197" s="92">
        <f t="shared" si="156"/>
        <v>2380</v>
      </c>
      <c r="AB197" s="93">
        <f t="shared" si="157"/>
        <v>0</v>
      </c>
      <c r="AC197" s="93">
        <f t="shared" si="158"/>
        <v>0</v>
      </c>
      <c r="AD197" s="93">
        <f t="shared" si="159"/>
        <v>0</v>
      </c>
      <c r="AE197" s="93">
        <f t="shared" si="160"/>
        <v>2380</v>
      </c>
      <c r="AF197" s="92">
        <f t="shared" si="161"/>
        <v>2380</v>
      </c>
      <c r="AH197" s="63">
        <f>SUMIF('2025 AC'!$B$3:$B$250,"*"&amp;$D197&amp;"*",'2025 AC'!C$3:C$250)</f>
        <v>0</v>
      </c>
      <c r="AI197" s="53">
        <f>SUMIF('2025 AC'!$B$3:$B$250,"*"&amp;$D197&amp;"*",'2025 AC'!D$3:D$250)</f>
        <v>0</v>
      </c>
      <c r="AJ197" s="53">
        <f>SUMIF('2025 AC'!$B$3:$B$250,"*"&amp;$D197&amp;"*",'2025 AC'!E$3:E$250)</f>
        <v>0</v>
      </c>
      <c r="AK197" s="53">
        <f>SUMIF('2025 AC'!$B$3:$B$250,"*"&amp;$D197&amp;"*",'2025 AC'!F$3:F$250)</f>
        <v>0</v>
      </c>
      <c r="AL197" s="53">
        <f>SUMIF('2025 AC'!$B$3:$B$250,"*"&amp;$D197&amp;"*",'2025 AC'!G$3:G$250)</f>
        <v>0</v>
      </c>
      <c r="AM197" s="53">
        <f>SUMIF('2025 AC'!$B$3:$B$250,"*"&amp;$D197&amp;"*",'2025 AC'!H$3:H$250)</f>
        <v>0</v>
      </c>
      <c r="AN197" s="53">
        <f>SUMIF('2025 AC'!$B$3:$B$250,"*"&amp;$D197&amp;"*",'2025 AC'!I$3:I$250)</f>
        <v>0</v>
      </c>
      <c r="AO197" s="53">
        <f>SUMIF('2025 AC'!$B$3:$B$250,"*"&amp;$D197&amp;"*",'2025 AC'!J$3:J$250)</f>
        <v>0</v>
      </c>
      <c r="AP197" s="53">
        <f>SUMIF('2025 AC'!$B$3:$B$250,"*"&amp;$D197&amp;"*",'2025 AC'!K$3:K$250)</f>
        <v>0</v>
      </c>
      <c r="AQ197" s="53">
        <f>SUMIF('2025 AC'!$B$3:$B$250,"*"&amp;$D197&amp;"*",'2025 AC'!L$3:L$250)</f>
        <v>0</v>
      </c>
      <c r="AR197" s="53">
        <f>SUMIF('2025 AC'!$B$3:$B$250,"*"&amp;$D197&amp;"*",'2025 AC'!M$3:M$250)</f>
        <v>0</v>
      </c>
      <c r="AS197" s="53">
        <f>SUMIF('2025 AC'!$B$3:$B$250,"*"&amp;$D197&amp;"*",'2025 AC'!N$3:N$250)</f>
        <v>0</v>
      </c>
      <c r="AT197" s="94">
        <f t="shared" si="206"/>
        <v>0</v>
      </c>
      <c r="AU197" s="93">
        <f t="shared" si="162"/>
        <v>0</v>
      </c>
      <c r="AV197" s="93">
        <f t="shared" si="163"/>
        <v>0</v>
      </c>
      <c r="AW197" s="93">
        <f t="shared" si="164"/>
        <v>0</v>
      </c>
      <c r="AX197" s="93">
        <f t="shared" si="165"/>
        <v>0</v>
      </c>
      <c r="AY197" s="92">
        <f t="shared" si="166"/>
        <v>0</v>
      </c>
      <c r="BA197" s="63">
        <f>SUMIF('2026 AC'!$B$3:$B$254,"*"&amp;$D197&amp;"*",'2026 AC'!C$3:C$254)</f>
        <v>2380</v>
      </c>
      <c r="BB197" s="53">
        <f>SUMIF('2026 AC'!$B$3:$B$254,"*"&amp;$D197&amp;"*",'2026 AC'!D$3:D$254)</f>
        <v>0</v>
      </c>
      <c r="BC197" s="53">
        <f>SUMIF('2026 AC'!$B$3:$B$254,"*"&amp;$D197&amp;"*",'2026 AC'!E$3:E$254)</f>
        <v>0</v>
      </c>
      <c r="BD197" s="53">
        <f>SUMIF('2026 AC'!$B$3:$B$254,"*"&amp;$D197&amp;"*",'2026 AC'!F$3:F$254)</f>
        <v>0</v>
      </c>
      <c r="BE197" s="53">
        <f>SUMIF('2026 AC'!$B$3:$B$254,"*"&amp;$D197&amp;"*",'2026 AC'!G$3:G$254)</f>
        <v>0</v>
      </c>
      <c r="BF197" s="53">
        <f>SUMIF('2026 AC'!$B$3:$B$254,"*"&amp;$D197&amp;"*",'2026 AC'!H$3:H$254)</f>
        <v>0</v>
      </c>
      <c r="BG197" s="53">
        <f>SUMIF('2026 AC'!$B$3:$B$254,"*"&amp;$D197&amp;"*",'2026 AC'!I$3:I$254)</f>
        <v>0</v>
      </c>
      <c r="BH197" s="53">
        <f>SUMIF('2026 AC'!$B$3:$B$254,"*"&amp;$D197&amp;"*",'2026 AC'!J$3:J$254)</f>
        <v>0</v>
      </c>
      <c r="BI197" s="53">
        <f>SUMIF('2026 AC'!$B$3:$B$254,"*"&amp;$D197&amp;"*",'2026 AC'!K$3:K$254)</f>
        <v>0</v>
      </c>
      <c r="BJ197" s="53">
        <f>SUMIF('2026 AC'!$B$3:$B$254,"*"&amp;$D197&amp;"*",'2026 AC'!L$3:L$254)</f>
        <v>0</v>
      </c>
      <c r="BK197" s="53">
        <f>SUMIF('2026 AC'!$B$3:$B$254,"*"&amp;$D197&amp;"*",'2026 AC'!M$3:M$254)</f>
        <v>0</v>
      </c>
      <c r="BL197" s="93">
        <f>SUMIF('2026 AC'!$B$3:$B$254,"*"&amp;$D197&amp;"*",'2026 AC'!N$3:N$254)</f>
        <v>0</v>
      </c>
      <c r="BM197" s="92">
        <f t="shared" si="207"/>
        <v>2380</v>
      </c>
      <c r="BN197" s="93">
        <f t="shared" si="167"/>
        <v>2380</v>
      </c>
      <c r="BO197" s="93">
        <f t="shared" si="168"/>
        <v>0</v>
      </c>
      <c r="BP197" s="93">
        <f t="shared" si="169"/>
        <v>0</v>
      </c>
      <c r="BQ197" s="93">
        <f t="shared" si="170"/>
        <v>0</v>
      </c>
      <c r="BR197" s="92">
        <f t="shared" si="171"/>
        <v>2380</v>
      </c>
    </row>
    <row r="198" ht="15" customHeight="1" outlineLevel="1">
      <c r="A198" t="s">
        <v>504</v>
      </c>
      <c r="B198" t="s">
        <v>505</v>
      </c>
      <c r="C198" s="34" t="s">
        <v>506</v>
      </c>
      <c r="D198" s="35" t="s">
        <v>459</v>
      </c>
      <c r="E198" s="188">
        <f t="shared" si="182"/>
        <v>18499.099999999999</v>
      </c>
      <c r="F198" s="152">
        <f t="shared" si="183"/>
        <v>13996.799999999999</v>
      </c>
      <c r="G198" s="54">
        <f t="shared" ref="G198:G206" si="220">(E198-F198)/F198</f>
        <v>0.32166638088705984</v>
      </c>
      <c r="H198" s="153">
        <f t="shared" si="185"/>
        <v>51023</v>
      </c>
      <c r="I198" s="153">
        <f t="shared" si="186"/>
        <v>42456.959999999999</v>
      </c>
      <c r="J198" s="54">
        <f t="shared" ref="J198:J206" si="221">(H198-I198)/I198</f>
        <v>0.20175820407301892</v>
      </c>
      <c r="K198" s="153">
        <f t="shared" si="187"/>
        <v>93013.399999999994</v>
      </c>
      <c r="L198" s="153">
        <f t="shared" si="188"/>
        <v>84447.360000000001</v>
      </c>
      <c r="M198" s="55">
        <f t="shared" ref="M198:M206" si="222">(K198-L198)/L198</f>
        <v>0.10143644514168346</v>
      </c>
      <c r="O198" s="63">
        <f>SUMIF('2024 AC'!$B$3:$B$250,"*"&amp;$D198&amp;"*",'2024 AC'!C$3:C$250)</f>
        <v>24842.16</v>
      </c>
      <c r="P198" s="53">
        <f>SUMIF('2024 AC'!$B$3:$B$250,"*"&amp;$D198&amp;"*",'2024 AC'!D$3:D$250)</f>
        <v>23239.439999999999</v>
      </c>
      <c r="Q198" s="53">
        <f>SUMIF('2024 AC'!$B$3:$B$250,"*"&amp;$D198&amp;"*",'2024 AC'!E$3:E$250)</f>
        <v>25310.880000000001</v>
      </c>
      <c r="R198" s="53">
        <f>SUMIF('2024 AC'!$B$3:$B$250,"*"&amp;$D198&amp;"*",'2024 AC'!F$3:F$250)</f>
        <v>24494.400000000001</v>
      </c>
      <c r="S198" s="53">
        <f>SUMIF('2024 AC'!$B$3:$B$250,"*"&amp;$D198&amp;"*",'2024 AC'!G$3:G$250)</f>
        <v>25310.880000000001</v>
      </c>
      <c r="T198" s="53">
        <f>SUMIF('2024 AC'!$B$3:$B$250,"*"&amp;$D198&amp;"*",'2024 AC'!H$3:H$250)</f>
        <v>24494.400000000001</v>
      </c>
      <c r="U198" s="53">
        <f>SUMIF('2024 AC'!$B$3:$B$250,"*"&amp;$D198&amp;"*",'2024 AC'!I$3:I$250)</f>
        <v>24494.400000000001</v>
      </c>
      <c r="V198" s="53">
        <f>SUMIF('2024 AC'!$B$3:$B$250,"*"&amp;$D198&amp;"*",'2024 AC'!J$3:J$250)</f>
        <v>25310.880000000001</v>
      </c>
      <c r="W198" s="53">
        <f>SUMIF('2024 AC'!$B$3:$B$250,"*"&amp;$D198&amp;"*",'2024 AC'!K$3:K$250)</f>
        <v>24494.400000000001</v>
      </c>
      <c r="X198" s="53">
        <f>SUMIF('2024 AC'!$B$3:$B$250,"*"&amp;$D198&amp;"*",'2024 AC'!L$3:L$250)</f>
        <v>25310.880000000001</v>
      </c>
      <c r="Y198" s="53">
        <f>SUMIF('2024 AC'!$B$3:$B$250,"*"&amp;$D198&amp;"*",'2024 AC'!M$3:M$250)</f>
        <v>24494.400000000001</v>
      </c>
      <c r="Z198" s="93">
        <f>SUMIF('2024 AC'!$B$3:$B$250,"*"&amp;$D198&amp;"*",'2024 AC'!N$3:N$250)</f>
        <v>24377.759999999998</v>
      </c>
      <c r="AA198" s="92">
        <f t="shared" si="156"/>
        <v>296174.88</v>
      </c>
      <c r="AB198" s="93">
        <f t="shared" si="157"/>
        <v>73392.479999999996</v>
      </c>
      <c r="AC198" s="93">
        <f t="shared" si="158"/>
        <v>74299.679999999993</v>
      </c>
      <c r="AD198" s="93">
        <f t="shared" si="159"/>
        <v>74299.679999999993</v>
      </c>
      <c r="AE198" s="93">
        <f t="shared" si="160"/>
        <v>74183.039999999994</v>
      </c>
      <c r="AF198" s="92">
        <f t="shared" si="161"/>
        <v>296174.87999999995</v>
      </c>
      <c r="AH198" s="63">
        <f>SUMIF('2025 AC'!$B$3:$B$250,"*"&amp;$D198&amp;"*",'2025 AC'!C$3:C$250)</f>
        <v>14463.360000000001</v>
      </c>
      <c r="AI198" s="53">
        <f>SUMIF('2025 AC'!$B$3:$B$250,"*"&amp;$D198&amp;"*",'2025 AC'!D$3:D$250)</f>
        <v>13063.68</v>
      </c>
      <c r="AJ198" s="53">
        <f>SUMIF('2025 AC'!$B$3:$B$250,"*"&amp;$D198&amp;"*",'2025 AC'!E$3:E$250)</f>
        <v>14463.360000000001</v>
      </c>
      <c r="AK198" s="53">
        <f>SUMIF('2025 AC'!$B$3:$B$250,"*"&amp;$D198&amp;"*",'2025 AC'!F$3:F$250)</f>
        <v>13996.799999999999</v>
      </c>
      <c r="AL198" s="53">
        <f>SUMIF('2025 AC'!$B$3:$B$250,"*"&amp;$D198&amp;"*",'2025 AC'!G$3:G$250)</f>
        <v>14463.360000000001</v>
      </c>
      <c r="AM198" s="53">
        <f>SUMIF('2025 AC'!$B$3:$B$250,"*"&amp;$D198&amp;"*",'2025 AC'!H$3:H$250)</f>
        <v>13996.799999999999</v>
      </c>
      <c r="AN198" s="53">
        <f>SUMIF('2025 AC'!$B$3:$B$250,"*"&amp;$D198&amp;"*",'2025 AC'!I$3:I$250)</f>
        <v>14463.360000000001</v>
      </c>
      <c r="AO198" s="53">
        <f>SUMIF('2025 AC'!$B$3:$B$250,"*"&amp;$D198&amp;"*",'2025 AC'!J$3:J$250)</f>
        <v>14463.360000000001</v>
      </c>
      <c r="AP198" s="53">
        <f>SUMIF('2025 AC'!$B$3:$B$250,"*"&amp;$D198&amp;"*",'2025 AC'!K$3:K$250)</f>
        <v>13996.799999999999</v>
      </c>
      <c r="AQ198" s="53">
        <f>SUMIF('2025 AC'!$B$3:$B$250,"*"&amp;$D198&amp;"*",'2025 AC'!L$3:L$250)</f>
        <v>14463.360000000001</v>
      </c>
      <c r="AR198" s="53">
        <f>SUMIF('2025 AC'!$B$3:$B$250,"*"&amp;$D198&amp;"*",'2025 AC'!M$3:M$250)</f>
        <v>13996.799999999999</v>
      </c>
      <c r="AS198" s="53">
        <f>SUMIF('2025 AC'!$B$3:$B$250,"*"&amp;$D198&amp;"*",'2025 AC'!N$3:N$250)</f>
        <v>14463.360000000001</v>
      </c>
      <c r="AT198" s="94">
        <f t="shared" si="206"/>
        <v>170294.39999999997</v>
      </c>
      <c r="AU198" s="93">
        <f t="shared" si="162"/>
        <v>41990.400000000001</v>
      </c>
      <c r="AV198" s="93">
        <f t="shared" si="163"/>
        <v>42456.959999999999</v>
      </c>
      <c r="AW198" s="93">
        <f t="shared" si="164"/>
        <v>42923.520000000004</v>
      </c>
      <c r="AX198" s="93">
        <f t="shared" si="165"/>
        <v>42923.520000000004</v>
      </c>
      <c r="AY198" s="92">
        <f t="shared" si="166"/>
        <v>170294.40000000002</v>
      </c>
      <c r="BA198" s="63">
        <f>SUMIF('2026 AC'!$B$3:$B$254,"*"&amp;$D198&amp;"*",'2026 AC'!C$3:C$254)</f>
        <v>14463.360000000001</v>
      </c>
      <c r="BB198" s="53">
        <f>SUMIF('2026 AC'!$B$3:$B$254,"*"&amp;$D198&amp;"*",'2026 AC'!D$3:D$254)</f>
        <v>13063.68</v>
      </c>
      <c r="BC198" s="53">
        <f>SUMIF('2026 AC'!$B$3:$B$254,"*"&amp;$D198&amp;"*",'2026 AC'!E$3:E$254)</f>
        <v>14463.360000000001</v>
      </c>
      <c r="BD198" s="53">
        <f>SUMIF('2026 AC'!$B$3:$B$254,"*"&amp;$D198&amp;"*",'2026 AC'!F$3:F$254)</f>
        <v>13996.799999999999</v>
      </c>
      <c r="BE198" s="53">
        <f>SUMIF('2026 AC'!$B$3:$B$254,"*"&amp;$D198&amp;"*",'2026 AC'!G$3:G$254)</f>
        <v>18527.099999999999</v>
      </c>
      <c r="BF198" s="53">
        <f>SUMIF('2026 AC'!$B$3:$B$254,"*"&amp;$D198&amp;"*",'2026 AC'!H$3:H$254)</f>
        <v>18499.099999999999</v>
      </c>
      <c r="BG198" s="53">
        <f>SUMIF('2026 AC'!$B$3:$B$254,"*"&amp;$D198&amp;"*",'2026 AC'!I$3:I$254)</f>
        <v>0</v>
      </c>
      <c r="BH198" s="53">
        <f>SUMIF('2026 AC'!$B$3:$B$254,"*"&amp;$D198&amp;"*",'2026 AC'!J$3:J$254)</f>
        <v>0</v>
      </c>
      <c r="BI198" s="53">
        <f>SUMIF('2026 AC'!$B$3:$B$254,"*"&amp;$D198&amp;"*",'2026 AC'!K$3:K$254)</f>
        <v>0</v>
      </c>
      <c r="BJ198" s="53">
        <f>SUMIF('2026 AC'!$B$3:$B$254,"*"&amp;$D198&amp;"*",'2026 AC'!L$3:L$254)</f>
        <v>0</v>
      </c>
      <c r="BK198" s="53">
        <f>SUMIF('2026 AC'!$B$3:$B$254,"*"&amp;$D198&amp;"*",'2026 AC'!M$3:M$254)</f>
        <v>0</v>
      </c>
      <c r="BL198" s="93">
        <f>SUMIF('2026 AC'!$B$3:$B$254,"*"&amp;$D198&amp;"*",'2026 AC'!N$3:N$254)</f>
        <v>0</v>
      </c>
      <c r="BM198" s="92">
        <f t="shared" si="207"/>
        <v>93013.399999999994</v>
      </c>
      <c r="BN198" s="93">
        <f t="shared" si="167"/>
        <v>41990.400000000001</v>
      </c>
      <c r="BO198" s="93">
        <f t="shared" si="168"/>
        <v>51023</v>
      </c>
      <c r="BP198" s="93">
        <f t="shared" si="169"/>
        <v>0</v>
      </c>
      <c r="BQ198" s="93">
        <f t="shared" si="170"/>
        <v>0</v>
      </c>
      <c r="BR198" s="92">
        <f t="shared" si="171"/>
        <v>93013.399999999994</v>
      </c>
    </row>
    <row r="199" ht="15" customHeight="1" outlineLevel="1">
      <c r="A199" t="s">
        <v>507</v>
      </c>
      <c r="B199" t="s">
        <v>508</v>
      </c>
      <c r="C199" s="34" t="s">
        <v>509</v>
      </c>
      <c r="D199" s="35" t="s">
        <v>463</v>
      </c>
      <c r="E199" s="188">
        <f t="shared" si="182"/>
        <v>1.24</v>
      </c>
      <c r="F199" s="152">
        <f t="shared" si="183"/>
        <v>0</v>
      </c>
      <c r="G199" s="154">
        <f>IFERROR((E199-F199)/F199,1)</f>
        <v>1</v>
      </c>
      <c r="H199" s="153">
        <f t="shared" si="185"/>
        <v>4.7400000000000002</v>
      </c>
      <c r="I199" s="153">
        <f t="shared" si="186"/>
        <v>200</v>
      </c>
      <c r="J199" s="54">
        <f t="shared" si="221"/>
        <v>-0.97629999999999995</v>
      </c>
      <c r="K199" s="153">
        <f t="shared" si="187"/>
        <v>28.069999999999997</v>
      </c>
      <c r="L199" s="153">
        <f t="shared" si="188"/>
        <v>200</v>
      </c>
      <c r="M199" s="55">
        <f t="shared" si="222"/>
        <v>-0.85965000000000003</v>
      </c>
      <c r="O199" s="63">
        <f>SUMIF('2024 AC'!$B$3:$B$250,"*"&amp;$D199&amp;"*",'2024 AC'!C$3:C$250)</f>
        <v>0</v>
      </c>
      <c r="P199" s="53">
        <f>SUMIF('2024 AC'!$B$3:$B$250,"*"&amp;$D199&amp;"*",'2024 AC'!D$3:D$250)</f>
        <v>0</v>
      </c>
      <c r="Q199" s="53">
        <f>SUMIF('2024 AC'!$B$3:$B$250,"*"&amp;$D199&amp;"*",'2024 AC'!E$3:E$250)</f>
        <v>0</v>
      </c>
      <c r="R199" s="53">
        <f>SUMIF('2024 AC'!$B$3:$B$250,"*"&amp;$D199&amp;"*",'2024 AC'!F$3:F$250)</f>
        <v>0</v>
      </c>
      <c r="S199" s="53">
        <f>SUMIF('2024 AC'!$B$3:$B$250,"*"&amp;$D199&amp;"*",'2024 AC'!G$3:G$250)</f>
        <v>0</v>
      </c>
      <c r="T199" s="53">
        <f>SUMIF('2024 AC'!$B$3:$B$250,"*"&amp;$D199&amp;"*",'2024 AC'!H$3:H$250)</f>
        <v>0</v>
      </c>
      <c r="U199" s="53">
        <f>SUMIF('2024 AC'!$B$3:$B$250,"*"&amp;$D199&amp;"*",'2024 AC'!I$3:I$250)</f>
        <v>0</v>
      </c>
      <c r="V199" s="53">
        <f>SUMIF('2024 AC'!$B$3:$B$250,"*"&amp;$D199&amp;"*",'2024 AC'!J$3:J$250)</f>
        <v>30</v>
      </c>
      <c r="W199" s="53">
        <f>SUMIF('2024 AC'!$B$3:$B$250,"*"&amp;$D199&amp;"*",'2024 AC'!K$3:K$250)</f>
        <v>0</v>
      </c>
      <c r="X199" s="53">
        <f>SUMIF('2024 AC'!$B$3:$B$250,"*"&amp;$D199&amp;"*",'2024 AC'!L$3:L$250)</f>
        <v>17</v>
      </c>
      <c r="Y199" s="53">
        <f>SUMIF('2024 AC'!$B$3:$B$250,"*"&amp;$D199&amp;"*",'2024 AC'!M$3:M$250)</f>
        <v>100</v>
      </c>
      <c r="Z199" s="93">
        <f>SUMIF('2024 AC'!$B$3:$B$250,"*"&amp;$D199&amp;"*",'2024 AC'!N$3:N$250)</f>
        <v>0</v>
      </c>
      <c r="AA199" s="92">
        <f t="shared" si="156"/>
        <v>147</v>
      </c>
      <c r="AB199" s="93">
        <f t="shared" si="157"/>
        <v>0</v>
      </c>
      <c r="AC199" s="93">
        <f t="shared" si="158"/>
        <v>0</v>
      </c>
      <c r="AD199" s="93">
        <f t="shared" si="159"/>
        <v>30</v>
      </c>
      <c r="AE199" s="93">
        <f t="shared" si="160"/>
        <v>117</v>
      </c>
      <c r="AF199" s="92">
        <f t="shared" si="161"/>
        <v>147</v>
      </c>
      <c r="AH199" s="63">
        <f>SUMIF('2025 AC'!$B$3:$B$250,"*"&amp;$D199&amp;"*",'2025 AC'!C$3:C$250)</f>
        <v>0</v>
      </c>
      <c r="AI199" s="53">
        <f>SUMIF('2025 AC'!$B$3:$B$250,"*"&amp;$D199&amp;"*",'2025 AC'!D$3:D$250)</f>
        <v>0</v>
      </c>
      <c r="AJ199" s="53">
        <f>SUMIF('2025 AC'!$B$3:$B$250,"*"&amp;$D199&amp;"*",'2025 AC'!E$3:E$250)</f>
        <v>0</v>
      </c>
      <c r="AK199" s="53">
        <f>SUMIF('2025 AC'!$B$3:$B$250,"*"&amp;$D199&amp;"*",'2025 AC'!F$3:F$250)</f>
        <v>0</v>
      </c>
      <c r="AL199" s="53">
        <f>SUMIF('2025 AC'!$B$3:$B$250,"*"&amp;$D199&amp;"*",'2025 AC'!G$3:G$250)</f>
        <v>200</v>
      </c>
      <c r="AM199" s="53">
        <f>SUMIF('2025 AC'!$B$3:$B$250,"*"&amp;$D199&amp;"*",'2025 AC'!H$3:H$250)</f>
        <v>0</v>
      </c>
      <c r="AN199" s="53">
        <f>SUMIF('2025 AC'!$B$3:$B$250,"*"&amp;$D199&amp;"*",'2025 AC'!I$3:I$250)</f>
        <v>0</v>
      </c>
      <c r="AO199" s="53">
        <f>SUMIF('2025 AC'!$B$3:$B$250,"*"&amp;$D199&amp;"*",'2025 AC'!J$3:J$250)</f>
        <v>0</v>
      </c>
      <c r="AP199" s="53">
        <f>SUMIF('2025 AC'!$B$3:$B$250,"*"&amp;$D199&amp;"*",'2025 AC'!K$3:K$250)</f>
        <v>0</v>
      </c>
      <c r="AQ199" s="53">
        <f>SUMIF('2025 AC'!$B$3:$B$250,"*"&amp;$D199&amp;"*",'2025 AC'!L$3:L$250)</f>
        <v>0</v>
      </c>
      <c r="AR199" s="53">
        <f>SUMIF('2025 AC'!$B$3:$B$250,"*"&amp;$D199&amp;"*",'2025 AC'!M$3:M$250)</f>
        <v>0</v>
      </c>
      <c r="AS199" s="53">
        <f>SUMIF('2025 AC'!$B$3:$B$250,"*"&amp;$D199&amp;"*",'2025 AC'!N$3:N$250)</f>
        <v>250</v>
      </c>
      <c r="AT199" s="94">
        <f t="shared" si="206"/>
        <v>450</v>
      </c>
      <c r="AU199" s="93">
        <f t="shared" si="162"/>
        <v>0</v>
      </c>
      <c r="AV199" s="93">
        <f t="shared" si="163"/>
        <v>200</v>
      </c>
      <c r="AW199" s="93">
        <f t="shared" si="164"/>
        <v>0</v>
      </c>
      <c r="AX199" s="93">
        <f t="shared" si="165"/>
        <v>250</v>
      </c>
      <c r="AY199" s="92">
        <f t="shared" si="166"/>
        <v>450</v>
      </c>
      <c r="BA199" s="63">
        <f>SUMIF('2026 AC'!$B$3:$B$254,"*"&amp;$D199&amp;"*",'2026 AC'!C$3:C$254)</f>
        <v>2.71</v>
      </c>
      <c r="BB199" s="53">
        <f>SUMIF('2026 AC'!$B$3:$B$254,"*"&amp;$D199&amp;"*",'2026 AC'!D$3:D$254)</f>
        <v>6.1200000000000001</v>
      </c>
      <c r="BC199" s="53">
        <f>SUMIF('2026 AC'!$B$3:$B$254,"*"&amp;$D199&amp;"*",'2026 AC'!E$3:E$254)</f>
        <v>14.5</v>
      </c>
      <c r="BD199" s="53">
        <f>SUMIF('2026 AC'!$B$3:$B$254,"*"&amp;$D199&amp;"*",'2026 AC'!F$3:F$254)</f>
        <v>1.74</v>
      </c>
      <c r="BE199" s="53">
        <f>SUMIF('2026 AC'!$B$3:$B$254,"*"&amp;$D199&amp;"*",'2026 AC'!G$3:G$254)</f>
        <v>1.76</v>
      </c>
      <c r="BF199" s="53">
        <f>SUMIF('2026 AC'!$B$3:$B$254,"*"&amp;$D199&amp;"*",'2026 AC'!H$3:H$254)</f>
        <v>1.24</v>
      </c>
      <c r="BG199" s="53">
        <f>SUMIF('2026 AC'!$B$3:$B$254,"*"&amp;$D199&amp;"*",'2026 AC'!I$3:I$254)</f>
        <v>0</v>
      </c>
      <c r="BH199" s="53">
        <f>SUMIF('2026 AC'!$B$3:$B$254,"*"&amp;$D199&amp;"*",'2026 AC'!J$3:J$254)</f>
        <v>0</v>
      </c>
      <c r="BI199" s="53">
        <f>SUMIF('2026 AC'!$B$3:$B$254,"*"&amp;$D199&amp;"*",'2026 AC'!K$3:K$254)</f>
        <v>0</v>
      </c>
      <c r="BJ199" s="53">
        <f>SUMIF('2026 AC'!$B$3:$B$254,"*"&amp;$D199&amp;"*",'2026 AC'!L$3:L$254)</f>
        <v>0</v>
      </c>
      <c r="BK199" s="53">
        <f>SUMIF('2026 AC'!$B$3:$B$254,"*"&amp;$D199&amp;"*",'2026 AC'!M$3:M$254)</f>
        <v>0</v>
      </c>
      <c r="BL199" s="93">
        <f>SUMIF('2026 AC'!$B$3:$B$254,"*"&amp;$D199&amp;"*",'2026 AC'!N$3:N$254)</f>
        <v>0</v>
      </c>
      <c r="BM199" s="92">
        <f t="shared" si="207"/>
        <v>28.069999999999997</v>
      </c>
      <c r="BN199" s="93">
        <f t="shared" si="167"/>
        <v>23.329999999999998</v>
      </c>
      <c r="BO199" s="93">
        <f t="shared" si="168"/>
        <v>4.7400000000000002</v>
      </c>
      <c r="BP199" s="93">
        <f t="shared" si="169"/>
        <v>0</v>
      </c>
      <c r="BQ199" s="93">
        <f t="shared" si="170"/>
        <v>0</v>
      </c>
      <c r="BR199" s="92">
        <f t="shared" si="171"/>
        <v>28.07</v>
      </c>
    </row>
    <row r="200" outlineLevel="1">
      <c r="A200" t="s">
        <v>510</v>
      </c>
      <c r="B200" t="s">
        <v>511</v>
      </c>
      <c r="C200" s="34" t="s">
        <v>512</v>
      </c>
      <c r="D200" s="35" t="s">
        <v>467</v>
      </c>
      <c r="E200" s="153">
        <f t="shared" si="182"/>
        <v>0</v>
      </c>
      <c r="F200" s="152">
        <f t="shared" si="183"/>
        <v>0</v>
      </c>
      <c r="G200" s="154">
        <f>IFERROR((E200-F200)/F200,0)</f>
        <v>0</v>
      </c>
      <c r="H200" s="153">
        <f t="shared" si="185"/>
        <v>0</v>
      </c>
      <c r="I200" s="153">
        <f t="shared" si="186"/>
        <v>0</v>
      </c>
      <c r="J200" s="154">
        <f>IFERROR((H200-I200)/I200,0)</f>
        <v>0</v>
      </c>
      <c r="K200" s="153">
        <f t="shared" si="187"/>
        <v>0</v>
      </c>
      <c r="L200" s="153">
        <f t="shared" si="188"/>
        <v>0</v>
      </c>
      <c r="M200" s="155">
        <f>IFERROR((K200-L200)/L200,0)</f>
        <v>0</v>
      </c>
      <c r="O200" s="63">
        <f>SUMIF('2024 AC'!$B$3:$B$250,"*"&amp;$D200&amp;"*",'2024 AC'!C$3:C$250)</f>
        <v>0</v>
      </c>
      <c r="P200" s="53">
        <f>SUMIF('2024 AC'!$B$3:$B$250,"*"&amp;$D200&amp;"*",'2024 AC'!D$3:D$250)</f>
        <v>0</v>
      </c>
      <c r="Q200" s="53">
        <f>SUMIF('2024 AC'!$B$3:$B$250,"*"&amp;$D200&amp;"*",'2024 AC'!E$3:E$250)</f>
        <v>0</v>
      </c>
      <c r="R200" s="53">
        <f>SUMIF('2024 AC'!$B$3:$B$250,"*"&amp;$D200&amp;"*",'2024 AC'!F$3:F$250)</f>
        <v>0</v>
      </c>
      <c r="S200" s="53">
        <f>SUMIF('2024 AC'!$B$3:$B$250,"*"&amp;$D200&amp;"*",'2024 AC'!G$3:G$250)</f>
        <v>0</v>
      </c>
      <c r="T200" s="53">
        <f>SUMIF('2024 AC'!$B$3:$B$250,"*"&amp;$D200&amp;"*",'2024 AC'!H$3:H$250)</f>
        <v>0</v>
      </c>
      <c r="U200" s="53">
        <f>SUMIF('2024 AC'!$B$3:$B$250,"*"&amp;$D200&amp;"*",'2024 AC'!I$3:I$250)</f>
        <v>0</v>
      </c>
      <c r="V200" s="53">
        <f>SUMIF('2024 AC'!$B$3:$B$250,"*"&amp;$D200&amp;"*",'2024 AC'!J$3:J$250)</f>
        <v>0</v>
      </c>
      <c r="W200" s="53">
        <f>SUMIF('2024 AC'!$B$3:$B$250,"*"&amp;$D200&amp;"*",'2024 AC'!K$3:K$250)</f>
        <v>0</v>
      </c>
      <c r="X200" s="53">
        <f>SUMIF('2024 AC'!$B$3:$B$250,"*"&amp;$D200&amp;"*",'2024 AC'!L$3:L$250)</f>
        <v>0</v>
      </c>
      <c r="Y200" s="53">
        <f>SUMIF('2024 AC'!$B$3:$B$250,"*"&amp;$D200&amp;"*",'2024 AC'!M$3:M$250)</f>
        <v>0</v>
      </c>
      <c r="Z200" s="93">
        <f>SUMIF('2024 AC'!$B$3:$B$250,"*"&amp;$D200&amp;"*",'2024 AC'!N$3:N$250)</f>
        <v>0</v>
      </c>
      <c r="AA200" s="92">
        <f t="shared" si="156"/>
        <v>0</v>
      </c>
      <c r="AB200" s="93">
        <f t="shared" si="157"/>
        <v>0</v>
      </c>
      <c r="AC200" s="93">
        <f t="shared" si="158"/>
        <v>0</v>
      </c>
      <c r="AD200" s="93">
        <f t="shared" si="159"/>
        <v>0</v>
      </c>
      <c r="AE200" s="93">
        <f t="shared" si="160"/>
        <v>0</v>
      </c>
      <c r="AF200" s="92">
        <f t="shared" si="161"/>
        <v>0</v>
      </c>
      <c r="AH200" s="63">
        <f>SUMIF('2025 AC'!$B$3:$B$250,"*"&amp;$D200&amp;"*",'2025 AC'!C$3:C$250)</f>
        <v>0</v>
      </c>
      <c r="AI200" s="53">
        <f>SUMIF('2025 AC'!$B$3:$B$250,"*"&amp;$D200&amp;"*",'2025 AC'!D$3:D$250)</f>
        <v>0</v>
      </c>
      <c r="AJ200" s="53">
        <f>SUMIF('2025 AC'!$B$3:$B$250,"*"&amp;$D200&amp;"*",'2025 AC'!E$3:E$250)</f>
        <v>0</v>
      </c>
      <c r="AK200" s="53">
        <f>SUMIF('2025 AC'!$B$3:$B$250,"*"&amp;$D200&amp;"*",'2025 AC'!F$3:F$250)</f>
        <v>0</v>
      </c>
      <c r="AL200" s="53">
        <f>SUMIF('2025 AC'!$B$3:$B$250,"*"&amp;$D200&amp;"*",'2025 AC'!G$3:G$250)</f>
        <v>0</v>
      </c>
      <c r="AM200" s="53">
        <f>SUMIF('2025 AC'!$B$3:$B$250,"*"&amp;$D200&amp;"*",'2025 AC'!H$3:H$250)</f>
        <v>0</v>
      </c>
      <c r="AN200" s="53">
        <f>SUMIF('2025 AC'!$B$3:$B$250,"*"&amp;$D200&amp;"*",'2025 AC'!I$3:I$250)</f>
        <v>0</v>
      </c>
      <c r="AO200" s="53">
        <f>SUMIF('2025 AC'!$B$3:$B$250,"*"&amp;$D200&amp;"*",'2025 AC'!J$3:J$250)</f>
        <v>0</v>
      </c>
      <c r="AP200" s="53">
        <f>SUMIF('2025 AC'!$B$3:$B$250,"*"&amp;$D200&amp;"*",'2025 AC'!K$3:K$250)</f>
        <v>0</v>
      </c>
      <c r="AQ200" s="53">
        <f>SUMIF('2025 AC'!$B$3:$B$250,"*"&amp;$D200&amp;"*",'2025 AC'!L$3:L$250)</f>
        <v>0</v>
      </c>
      <c r="AR200" s="53">
        <f>SUMIF('2025 AC'!$B$3:$B$250,"*"&amp;$D200&amp;"*",'2025 AC'!M$3:M$250)</f>
        <v>0</v>
      </c>
      <c r="AS200" s="53">
        <f>SUMIF('2025 AC'!$B$3:$B$250,"*"&amp;$D200&amp;"*",'2025 AC'!N$3:N$250)</f>
        <v>40</v>
      </c>
      <c r="AT200" s="94">
        <f t="shared" si="206"/>
        <v>40</v>
      </c>
      <c r="AU200" s="93">
        <f t="shared" si="162"/>
        <v>0</v>
      </c>
      <c r="AV200" s="93">
        <f t="shared" si="163"/>
        <v>0</v>
      </c>
      <c r="AW200" s="93">
        <f t="shared" si="164"/>
        <v>0</v>
      </c>
      <c r="AX200" s="93">
        <f t="shared" si="165"/>
        <v>40</v>
      </c>
      <c r="AY200" s="92">
        <f t="shared" si="166"/>
        <v>40</v>
      </c>
      <c r="BA200" s="63">
        <f>SUMIF('2026 AC'!$B$3:$B$254,"*"&amp;$D200&amp;"*",'2026 AC'!C$3:C$254)</f>
        <v>0</v>
      </c>
      <c r="BB200" s="53">
        <f>SUMIF('2026 AC'!$B$3:$B$254,"*"&amp;$D200&amp;"*",'2026 AC'!D$3:D$254)</f>
        <v>0</v>
      </c>
      <c r="BC200" s="53">
        <f>SUMIF('2026 AC'!$B$3:$B$254,"*"&amp;$D200&amp;"*",'2026 AC'!E$3:E$254)</f>
        <v>0</v>
      </c>
      <c r="BD200" s="53">
        <f>SUMIF('2026 AC'!$B$3:$B$254,"*"&amp;$D200&amp;"*",'2026 AC'!F$3:F$254)</f>
        <v>0</v>
      </c>
      <c r="BE200" s="53">
        <f>SUMIF('2026 AC'!$B$3:$B$254,"*"&amp;$D200&amp;"*",'2026 AC'!G$3:G$254)</f>
        <v>0</v>
      </c>
      <c r="BF200" s="53">
        <f>SUMIF('2026 AC'!$B$3:$B$254,"*"&amp;$D200&amp;"*",'2026 AC'!H$3:H$254)</f>
        <v>0</v>
      </c>
      <c r="BG200" s="53">
        <f>SUMIF('2026 AC'!$B$3:$B$254,"*"&amp;$D200&amp;"*",'2026 AC'!I$3:I$254)</f>
        <v>0</v>
      </c>
      <c r="BH200" s="53">
        <f>SUMIF('2026 AC'!$B$3:$B$254,"*"&amp;$D200&amp;"*",'2026 AC'!J$3:J$254)</f>
        <v>0</v>
      </c>
      <c r="BI200" s="53">
        <f>SUMIF('2026 AC'!$B$3:$B$254,"*"&amp;$D200&amp;"*",'2026 AC'!K$3:K$254)</f>
        <v>0</v>
      </c>
      <c r="BJ200" s="53">
        <f>SUMIF('2026 AC'!$B$3:$B$254,"*"&amp;$D200&amp;"*",'2026 AC'!L$3:L$254)</f>
        <v>0</v>
      </c>
      <c r="BK200" s="53">
        <f>SUMIF('2026 AC'!$B$3:$B$254,"*"&amp;$D200&amp;"*",'2026 AC'!M$3:M$254)</f>
        <v>0</v>
      </c>
      <c r="BL200" s="93">
        <f>SUMIF('2026 AC'!$B$3:$B$254,"*"&amp;$D200&amp;"*",'2026 AC'!N$3:N$254)</f>
        <v>0</v>
      </c>
      <c r="BM200" s="92">
        <f t="shared" si="207"/>
        <v>0</v>
      </c>
      <c r="BN200" s="93">
        <f t="shared" si="167"/>
        <v>0</v>
      </c>
      <c r="BO200" s="93">
        <f t="shared" si="168"/>
        <v>0</v>
      </c>
      <c r="BP200" s="93">
        <f t="shared" si="169"/>
        <v>0</v>
      </c>
      <c r="BQ200" s="93">
        <f t="shared" si="170"/>
        <v>0</v>
      </c>
      <c r="BR200" s="92">
        <f t="shared" si="171"/>
        <v>0</v>
      </c>
    </row>
    <row r="201" ht="15" customHeight="1" outlineLevel="1">
      <c r="A201" t="s">
        <v>513</v>
      </c>
      <c r="B201" t="s">
        <v>514</v>
      </c>
      <c r="C201" s="34" t="s">
        <v>515</v>
      </c>
      <c r="D201" s="35" t="s">
        <v>470</v>
      </c>
      <c r="E201" s="153">
        <f t="shared" si="182"/>
        <v>0</v>
      </c>
      <c r="F201" s="152">
        <f t="shared" si="183"/>
        <v>0</v>
      </c>
      <c r="G201" s="154">
        <f>IFERROR((E201-F201)/F201,1)</f>
        <v>1</v>
      </c>
      <c r="H201" s="153">
        <f t="shared" si="185"/>
        <v>100</v>
      </c>
      <c r="I201" s="153">
        <f t="shared" si="186"/>
        <v>144.5</v>
      </c>
      <c r="J201" s="54">
        <f t="shared" si="221"/>
        <v>-0.30795847750865052</v>
      </c>
      <c r="K201" s="153">
        <f t="shared" si="187"/>
        <v>250</v>
      </c>
      <c r="L201" s="153">
        <f t="shared" si="188"/>
        <v>264.5</v>
      </c>
      <c r="M201" s="55">
        <f t="shared" si="222"/>
        <v>-5.4820415879017016e-02</v>
      </c>
      <c r="O201" s="63">
        <f>SUMIF('2024 AC'!$B$3:$B$250,"*"&amp;$D201&amp;"*",'2024 AC'!C$3:C$250)</f>
        <v>171</v>
      </c>
      <c r="P201" s="53">
        <f>SUMIF('2024 AC'!$B$3:$B$250,"*"&amp;$D201&amp;"*",'2024 AC'!D$3:D$250)</f>
        <v>230.02000000000001</v>
      </c>
      <c r="Q201" s="53">
        <f>SUMIF('2024 AC'!$B$3:$B$250,"*"&amp;$D201&amp;"*",'2024 AC'!E$3:E$250)</f>
        <v>441</v>
      </c>
      <c r="R201" s="53">
        <f>SUMIF('2024 AC'!$B$3:$B$250,"*"&amp;$D201&amp;"*",'2024 AC'!F$3:F$250)</f>
        <v>314.69999999999999</v>
      </c>
      <c r="S201" s="53">
        <f>SUMIF('2024 AC'!$B$3:$B$250,"*"&amp;$D201&amp;"*",'2024 AC'!G$3:G$250)</f>
        <v>384.30000000000001</v>
      </c>
      <c r="T201" s="53">
        <f>SUMIF('2024 AC'!$B$3:$B$250,"*"&amp;$D201&amp;"*",'2024 AC'!H$3:H$250)</f>
        <v>297</v>
      </c>
      <c r="U201" s="53">
        <f>SUMIF('2024 AC'!$B$3:$B$250,"*"&amp;$D201&amp;"*",'2024 AC'!I$3:I$250)</f>
        <v>393.80000000000001</v>
      </c>
      <c r="V201" s="53">
        <f>SUMIF('2024 AC'!$B$3:$B$250,"*"&amp;$D201&amp;"*",'2024 AC'!J$3:J$250)</f>
        <v>200</v>
      </c>
      <c r="W201" s="53">
        <f>SUMIF('2024 AC'!$B$3:$B$250,"*"&amp;$D201&amp;"*",'2024 AC'!K$3:K$250)</f>
        <v>0</v>
      </c>
      <c r="X201" s="53">
        <f>SUMIF('2024 AC'!$B$3:$B$250,"*"&amp;$D201&amp;"*",'2024 AC'!L$3:L$250)</f>
        <v>0</v>
      </c>
      <c r="Y201" s="53">
        <f>SUMIF('2024 AC'!$B$3:$B$250,"*"&amp;$D201&amp;"*",'2024 AC'!M$3:M$250)</f>
        <v>100</v>
      </c>
      <c r="Z201" s="93">
        <f>SUMIF('2024 AC'!$B$3:$B$250,"*"&amp;$D201&amp;"*",'2024 AC'!N$3:N$250)</f>
        <v>0</v>
      </c>
      <c r="AA201" s="92">
        <f t="shared" si="156"/>
        <v>2531.8200000000002</v>
      </c>
      <c r="AB201" s="93">
        <f t="shared" si="157"/>
        <v>842.01999999999998</v>
      </c>
      <c r="AC201" s="93">
        <f t="shared" si="158"/>
        <v>996</v>
      </c>
      <c r="AD201" s="93">
        <f t="shared" si="159"/>
        <v>593.79999999999995</v>
      </c>
      <c r="AE201" s="93">
        <f t="shared" si="160"/>
        <v>100</v>
      </c>
      <c r="AF201" s="92">
        <f t="shared" si="161"/>
        <v>2531.8199999999997</v>
      </c>
      <c r="AH201" s="63">
        <f>SUMIF('2025 AC'!$B$3:$B$250,"*"&amp;$D201&amp;"*",'2025 AC'!C$3:C$250)</f>
        <v>0</v>
      </c>
      <c r="AI201" s="53">
        <f>SUMIF('2025 AC'!$B$3:$B$250,"*"&amp;$D201&amp;"*",'2025 AC'!D$3:D$250)</f>
        <v>120</v>
      </c>
      <c r="AJ201" s="53">
        <f>SUMIF('2025 AC'!$B$3:$B$250,"*"&amp;$D201&amp;"*",'2025 AC'!E$3:E$250)</f>
        <v>0</v>
      </c>
      <c r="AK201" s="53">
        <f>SUMIF('2025 AC'!$B$3:$B$250,"*"&amp;$D201&amp;"*",'2025 AC'!F$3:F$250)</f>
        <v>33.200000000000003</v>
      </c>
      <c r="AL201" s="53">
        <f>SUMIF('2025 AC'!$B$3:$B$250,"*"&amp;$D201&amp;"*",'2025 AC'!G$3:G$250)</f>
        <v>111.3</v>
      </c>
      <c r="AM201" s="53">
        <f>SUMIF('2025 AC'!$B$3:$B$250,"*"&amp;$D201&amp;"*",'2025 AC'!H$3:H$250)</f>
        <v>0</v>
      </c>
      <c r="AN201" s="53">
        <f>SUMIF('2025 AC'!$B$3:$B$250,"*"&amp;$D201&amp;"*",'2025 AC'!I$3:I$250)</f>
        <v>188.5</v>
      </c>
      <c r="AO201" s="53">
        <f>SUMIF('2025 AC'!$B$3:$B$250,"*"&amp;$D201&amp;"*",'2025 AC'!J$3:J$250)</f>
        <v>1259.8</v>
      </c>
      <c r="AP201" s="53">
        <f>SUMIF('2025 AC'!$B$3:$B$250,"*"&amp;$D201&amp;"*",'2025 AC'!K$3:K$250)</f>
        <v>225.00999999999999</v>
      </c>
      <c r="AQ201" s="53">
        <f>SUMIF('2025 AC'!$B$3:$B$250,"*"&amp;$D201&amp;"*",'2025 AC'!L$3:L$250)</f>
        <v>0</v>
      </c>
      <c r="AR201" s="53">
        <f>SUMIF('2025 AC'!$B$3:$B$250,"*"&amp;$D201&amp;"*",'2025 AC'!M$3:M$250)</f>
        <v>180</v>
      </c>
      <c r="AS201" s="53">
        <f>SUMIF('2025 AC'!$B$3:$B$250,"*"&amp;$D201&amp;"*",'2025 AC'!N$3:N$250)</f>
        <v>827.00999999999999</v>
      </c>
      <c r="AT201" s="94">
        <f t="shared" si="206"/>
        <v>2944.8199999999997</v>
      </c>
      <c r="AU201" s="93">
        <f t="shared" si="162"/>
        <v>120</v>
      </c>
      <c r="AV201" s="93">
        <f t="shared" si="163"/>
        <v>144.5</v>
      </c>
      <c r="AW201" s="93">
        <f t="shared" si="164"/>
        <v>1673.3099999999999</v>
      </c>
      <c r="AX201" s="93">
        <f t="shared" si="165"/>
        <v>1007.01</v>
      </c>
      <c r="AY201" s="92">
        <f t="shared" si="166"/>
        <v>2944.8199999999997</v>
      </c>
      <c r="BA201" s="63">
        <f>SUMIF('2026 AC'!$B$3:$B$254,"*"&amp;$D201&amp;"*",'2026 AC'!C$3:C$254)</f>
        <v>0</v>
      </c>
      <c r="BB201" s="53">
        <f>SUMIF('2026 AC'!$B$3:$B$254,"*"&amp;$D201&amp;"*",'2026 AC'!D$3:D$254)</f>
        <v>50</v>
      </c>
      <c r="BC201" s="53">
        <f>SUMIF('2026 AC'!$B$3:$B$254,"*"&amp;$D201&amp;"*",'2026 AC'!E$3:E$254)</f>
        <v>100</v>
      </c>
      <c r="BD201" s="53">
        <f>SUMIF('2026 AC'!$B$3:$B$254,"*"&amp;$D201&amp;"*",'2026 AC'!F$3:F$254)</f>
        <v>0</v>
      </c>
      <c r="BE201" s="53">
        <f>SUMIF('2026 AC'!$B$3:$B$254,"*"&amp;$D201&amp;"*",'2026 AC'!G$3:G$254)</f>
        <v>100</v>
      </c>
      <c r="BF201" s="53">
        <f>SUMIF('2026 AC'!$B$3:$B$254,"*"&amp;$D201&amp;"*",'2026 AC'!H$3:H$254)</f>
        <v>0</v>
      </c>
      <c r="BG201" s="53">
        <f>SUMIF('2026 AC'!$B$3:$B$254,"*"&amp;$D201&amp;"*",'2026 AC'!I$3:I$254)</f>
        <v>0</v>
      </c>
      <c r="BH201" s="53">
        <f>SUMIF('2026 AC'!$B$3:$B$254,"*"&amp;$D201&amp;"*",'2026 AC'!J$3:J$254)</f>
        <v>0</v>
      </c>
      <c r="BI201" s="53">
        <f>SUMIF('2026 AC'!$B$3:$B$254,"*"&amp;$D201&amp;"*",'2026 AC'!K$3:K$254)</f>
        <v>0</v>
      </c>
      <c r="BJ201" s="53">
        <f>SUMIF('2026 AC'!$B$3:$B$254,"*"&amp;$D201&amp;"*",'2026 AC'!L$3:L$254)</f>
        <v>0</v>
      </c>
      <c r="BK201" s="53">
        <f>SUMIF('2026 AC'!$B$3:$B$254,"*"&amp;$D201&amp;"*",'2026 AC'!M$3:M$254)</f>
        <v>0</v>
      </c>
      <c r="BL201" s="93">
        <f>SUMIF('2026 AC'!$B$3:$B$254,"*"&amp;$D201&amp;"*",'2026 AC'!N$3:N$254)</f>
        <v>0</v>
      </c>
      <c r="BM201" s="92">
        <f t="shared" si="207"/>
        <v>250</v>
      </c>
      <c r="BN201" s="93">
        <f t="shared" si="167"/>
        <v>150</v>
      </c>
      <c r="BO201" s="93">
        <f t="shared" si="168"/>
        <v>100</v>
      </c>
      <c r="BP201" s="93">
        <f t="shared" si="169"/>
        <v>0</v>
      </c>
      <c r="BQ201" s="93">
        <f t="shared" si="170"/>
        <v>0</v>
      </c>
      <c r="BR201" s="92">
        <f t="shared" si="171"/>
        <v>250</v>
      </c>
    </row>
    <row r="202" ht="15" customHeight="1" outlineLevel="1">
      <c r="A202" t="s">
        <v>516</v>
      </c>
      <c r="B202" t="s">
        <v>517</v>
      </c>
      <c r="C202" s="34" t="s">
        <v>518</v>
      </c>
      <c r="D202" s="35" t="s">
        <v>477</v>
      </c>
      <c r="E202" s="188">
        <f t="shared" si="182"/>
        <v>63944.209999999999</v>
      </c>
      <c r="F202" s="152">
        <f t="shared" si="183"/>
        <v>66980.600000000006</v>
      </c>
      <c r="G202" s="54">
        <f t="shared" si="220"/>
        <v>-4.533237982341165e-02</v>
      </c>
      <c r="H202" s="153">
        <f t="shared" si="185"/>
        <v>181635.88</v>
      </c>
      <c r="I202" s="153">
        <f t="shared" si="186"/>
        <v>186356.54999999999</v>
      </c>
      <c r="J202" s="54">
        <f t="shared" si="221"/>
        <v>-2.533138760081137e-02</v>
      </c>
      <c r="K202" s="153">
        <f t="shared" si="187"/>
        <v>339272.41000000003</v>
      </c>
      <c r="L202" s="153">
        <f t="shared" si="188"/>
        <v>366733.90000000002</v>
      </c>
      <c r="M202" s="55">
        <f t="shared" si="222"/>
        <v>-7.4881242230401907e-02</v>
      </c>
      <c r="O202" s="63">
        <f>SUMIF('2024 AC'!$B$3:$B$250,"*"&amp;$D202&amp;"*",'2024 AC'!C$3:C$250)</f>
        <v>69025.75</v>
      </c>
      <c r="P202" s="53">
        <f>SUMIF('2024 AC'!$B$3:$B$250,"*"&amp;$D202&amp;"*",'2024 AC'!D$3:D$250)</f>
        <v>60818.900000000001</v>
      </c>
      <c r="Q202" s="53">
        <f>SUMIF('2024 AC'!$B$3:$B$250,"*"&amp;$D202&amp;"*",'2024 AC'!E$3:E$250)</f>
        <v>63440</v>
      </c>
      <c r="R202" s="53">
        <f>SUMIF('2024 AC'!$B$3:$B$250,"*"&amp;$D202&amp;"*",'2024 AC'!F$3:F$250)</f>
        <v>63811.25</v>
      </c>
      <c r="S202" s="53">
        <f>SUMIF('2024 AC'!$B$3:$B$250,"*"&amp;$D202&amp;"*",'2024 AC'!G$3:G$250)</f>
        <v>61278.849999999999</v>
      </c>
      <c r="T202" s="53">
        <f>SUMIF('2024 AC'!$B$3:$B$250,"*"&amp;$D202&amp;"*",'2024 AC'!H$3:H$250)</f>
        <v>69579.899999999994</v>
      </c>
      <c r="U202" s="53">
        <f>SUMIF('2024 AC'!$B$3:$B$250,"*"&amp;$D202&amp;"*",'2024 AC'!I$3:I$250)</f>
        <v>62586.599999999999</v>
      </c>
      <c r="V202" s="53">
        <f>SUMIF('2024 AC'!$B$3:$B$250,"*"&amp;$D202&amp;"*",'2024 AC'!J$3:J$250)</f>
        <v>68917.149999999994</v>
      </c>
      <c r="W202" s="53">
        <f>SUMIF('2024 AC'!$B$3:$B$250,"*"&amp;$D202&amp;"*",'2024 AC'!K$3:K$250)</f>
        <v>68530.800000000003</v>
      </c>
      <c r="X202" s="53">
        <f>SUMIF('2024 AC'!$B$3:$B$250,"*"&amp;$D202&amp;"*",'2024 AC'!L$3:L$250)</f>
        <v>63911</v>
      </c>
      <c r="Y202" s="53">
        <f>SUMIF('2024 AC'!$B$3:$B$250,"*"&amp;$D202&amp;"*",'2024 AC'!M$3:M$250)</f>
        <v>62605.050000000003</v>
      </c>
      <c r="Z202" s="93">
        <f>SUMIF('2024 AC'!$B$3:$B$250,"*"&amp;$D202&amp;"*",'2024 AC'!N$3:N$250)</f>
        <v>64471.449999999997</v>
      </c>
      <c r="AA202" s="92">
        <f t="shared" ref="AA202:AA228" si="223">SUM(O202:Z202)</f>
        <v>778976.70000000007</v>
      </c>
      <c r="AB202" s="93">
        <f t="shared" ref="AB202:AB228" si="224">SUM(O202:Q202)</f>
        <v>193284.64999999999</v>
      </c>
      <c r="AC202" s="93">
        <f t="shared" ref="AC202:AC228" si="225">SUM(R202:T202)</f>
        <v>194670</v>
      </c>
      <c r="AD202" s="93">
        <f t="shared" ref="AD202:AD228" si="226">SUM(U202:W202)</f>
        <v>200034.54999999999</v>
      </c>
      <c r="AE202" s="93">
        <f t="shared" ref="AE202:AE228" si="227">SUM(X202:Z202)</f>
        <v>190987.5</v>
      </c>
      <c r="AF202" s="92">
        <f t="shared" ref="AF202:AF228" si="228">SUM(AB202:AE202)</f>
        <v>778976.69999999995</v>
      </c>
      <c r="AH202" s="63">
        <f>SUMIF('2025 AC'!$B$3:$B$250,"*"&amp;$D202&amp;"*",'2025 AC'!C$3:C$250)</f>
        <v>63538.949999999997</v>
      </c>
      <c r="AI202" s="53">
        <f>SUMIF('2025 AC'!$B$3:$B$250,"*"&amp;$D202&amp;"*",'2025 AC'!D$3:D$250)</f>
        <v>61664</v>
      </c>
      <c r="AJ202" s="53">
        <f>SUMIF('2025 AC'!$B$3:$B$250,"*"&amp;$D202&amp;"*",'2025 AC'!E$3:E$250)</f>
        <v>55174.400000000001</v>
      </c>
      <c r="AK202" s="53">
        <f>SUMIF('2025 AC'!$B$3:$B$250,"*"&amp;$D202&amp;"*",'2025 AC'!F$3:F$250)</f>
        <v>59959.699999999997</v>
      </c>
      <c r="AL202" s="53">
        <f>SUMIF('2025 AC'!$B$3:$B$250,"*"&amp;$D202&amp;"*",'2025 AC'!G$3:G$250)</f>
        <v>59416.25</v>
      </c>
      <c r="AM202" s="53">
        <f>SUMIF('2025 AC'!$B$3:$B$250,"*"&amp;$D202&amp;"*",'2025 AC'!H$3:H$250)</f>
        <v>66980.600000000006</v>
      </c>
      <c r="AN202" s="53">
        <f>SUMIF('2025 AC'!$B$3:$B$250,"*"&amp;$D202&amp;"*",'2025 AC'!I$3:I$250)</f>
        <v>61639.75</v>
      </c>
      <c r="AO202" s="53">
        <f>SUMIF('2025 AC'!$B$3:$B$250,"*"&amp;$D202&amp;"*",'2025 AC'!J$3:J$250)</f>
        <v>55904.150000000001</v>
      </c>
      <c r="AP202" s="53">
        <f>SUMIF('2025 AC'!$B$3:$B$250,"*"&amp;$D202&amp;"*",'2025 AC'!K$3:K$250)</f>
        <v>53604.099999999999</v>
      </c>
      <c r="AQ202" s="53">
        <f>SUMIF('2025 AC'!$B$3:$B$250,"*"&amp;$D202&amp;"*",'2025 AC'!L$3:L$250)</f>
        <v>56110.949999999997</v>
      </c>
      <c r="AR202" s="53">
        <f>SUMIF('2025 AC'!$B$3:$B$250,"*"&amp;$D202&amp;"*",'2025 AC'!M$3:M$250)</f>
        <v>48418.349999999999</v>
      </c>
      <c r="AS202" s="53">
        <f>SUMIF('2025 AC'!$B$3:$B$250,"*"&amp;$D202&amp;"*",'2025 AC'!N$3:N$250)</f>
        <v>39878.769999999997</v>
      </c>
      <c r="AT202" s="94">
        <f t="shared" si="206"/>
        <v>682289.96999999997</v>
      </c>
      <c r="AU202" s="93">
        <f t="shared" ref="AU202:AU228" si="229">SUM(AH202:AJ202)</f>
        <v>180377.35000000001</v>
      </c>
      <c r="AV202" s="93">
        <f t="shared" ref="AV202:AV228" si="230">SUM(AK202:AM202)</f>
        <v>186356.54999999999</v>
      </c>
      <c r="AW202" s="93">
        <f t="shared" ref="AW202:AW228" si="231">SUM(AN202:AP202)</f>
        <v>171148</v>
      </c>
      <c r="AX202" s="93">
        <f t="shared" ref="AX202:AX228" si="232">SUM(AQ202:AS202)</f>
        <v>144408.06999999998</v>
      </c>
      <c r="AY202" s="92">
        <f t="shared" ref="AY202:AY228" si="233">SUM(AU202:AX202)</f>
        <v>682289.96999999997</v>
      </c>
      <c r="BA202" s="63">
        <f>SUMIF('2026 AC'!$B$3:$B$254,"*"&amp;$D202&amp;"*",'2026 AC'!C$3:C$254)</f>
        <v>51115.400000000001</v>
      </c>
      <c r="BB202" s="53">
        <f>SUMIF('2026 AC'!$B$3:$B$254,"*"&amp;$D202&amp;"*",'2026 AC'!D$3:D$254)</f>
        <v>55222.800000000003</v>
      </c>
      <c r="BC202" s="53">
        <f>SUMIF('2026 AC'!$B$3:$B$254,"*"&amp;$D202&amp;"*",'2026 AC'!E$3:E$254)</f>
        <v>51298.330000000002</v>
      </c>
      <c r="BD202" s="53">
        <f>SUMIF('2026 AC'!$B$3:$B$254,"*"&amp;$D202&amp;"*",'2026 AC'!F$3:F$254)</f>
        <v>59813.120000000003</v>
      </c>
      <c r="BE202" s="53">
        <f>SUMIF('2026 AC'!$B$3:$B$254,"*"&amp;$D202&amp;"*",'2026 AC'!G$3:G$254)</f>
        <v>57878.550000000003</v>
      </c>
      <c r="BF202" s="53">
        <f>SUMIF('2026 AC'!$B$3:$B$254,"*"&amp;$D202&amp;"*",'2026 AC'!H$3:H$254)</f>
        <v>63944.209999999999</v>
      </c>
      <c r="BG202" s="53">
        <f>SUMIF('2026 AC'!$B$3:$B$254,"*"&amp;$D202&amp;"*",'2026 AC'!I$3:I$254)</f>
        <v>0</v>
      </c>
      <c r="BH202" s="53">
        <f>SUMIF('2026 AC'!$B$3:$B$254,"*"&amp;$D202&amp;"*",'2026 AC'!J$3:J$254)</f>
        <v>0</v>
      </c>
      <c r="BI202" s="53">
        <f>SUMIF('2026 AC'!$B$3:$B$254,"*"&amp;$D202&amp;"*",'2026 AC'!K$3:K$254)</f>
        <v>0</v>
      </c>
      <c r="BJ202" s="53">
        <f>SUMIF('2026 AC'!$B$3:$B$254,"*"&amp;$D202&amp;"*",'2026 AC'!L$3:L$254)</f>
        <v>0</v>
      </c>
      <c r="BK202" s="53">
        <f>SUMIF('2026 AC'!$B$3:$B$254,"*"&amp;$D202&amp;"*",'2026 AC'!M$3:M$254)</f>
        <v>0</v>
      </c>
      <c r="BL202" s="93">
        <f>SUMIF('2026 AC'!$B$3:$B$254,"*"&amp;$D202&amp;"*",'2026 AC'!N$3:N$254)</f>
        <v>0</v>
      </c>
      <c r="BM202" s="92">
        <f t="shared" si="207"/>
        <v>339272.41000000003</v>
      </c>
      <c r="BN202" s="93">
        <f t="shared" ref="BN202:BN228" si="234">SUM(BA202:BC202)</f>
        <v>157636.53000000003</v>
      </c>
      <c r="BO202" s="93">
        <f t="shared" ref="BO202:BO228" si="235">SUM(BD202:BF202)</f>
        <v>181635.88</v>
      </c>
      <c r="BP202" s="93">
        <f t="shared" ref="BP202:BP228" si="236">SUM(BG202:BI202)</f>
        <v>0</v>
      </c>
      <c r="BQ202" s="93">
        <f t="shared" ref="BQ202:BQ228" si="237">SUM(BJ202:BL202)</f>
        <v>0</v>
      </c>
      <c r="BR202" s="92">
        <f t="shared" ref="BR202:BR228" si="238">SUM(BN202:BQ202)</f>
        <v>339272.41000000003</v>
      </c>
    </row>
    <row r="203" ht="15" customHeight="1" outlineLevel="1">
      <c r="A203" t="s">
        <v>519</v>
      </c>
      <c r="B203" t="s">
        <v>520</v>
      </c>
      <c r="C203" s="34" t="s">
        <v>521</v>
      </c>
      <c r="D203" s="35" t="s">
        <v>480</v>
      </c>
      <c r="E203" s="153">
        <f t="shared" si="182"/>
        <v>13569.049999999999</v>
      </c>
      <c r="F203" s="152">
        <f t="shared" si="183"/>
        <v>8685.8999999999996</v>
      </c>
      <c r="G203" s="54">
        <f t="shared" si="220"/>
        <v>0.56219274916819206</v>
      </c>
      <c r="H203" s="153">
        <f t="shared" si="185"/>
        <v>38330.25</v>
      </c>
      <c r="I203" s="153">
        <f t="shared" si="186"/>
        <v>24578.900000000001</v>
      </c>
      <c r="J203" s="54">
        <f t="shared" si="221"/>
        <v>0.55947784481811624</v>
      </c>
      <c r="K203" s="153">
        <f t="shared" si="187"/>
        <v>71723.5</v>
      </c>
      <c r="L203" s="153">
        <f t="shared" si="188"/>
        <v>43724.849999999999</v>
      </c>
      <c r="M203" s="55">
        <f t="shared" si="222"/>
        <v>0.64033724529643898</v>
      </c>
      <c r="O203" s="63">
        <f>SUMIF('2024 AC'!$B$3:$B$250,"*"&amp;$D203&amp;"*",'2024 AC'!C$3:C$250)</f>
        <v>12954.799999999999</v>
      </c>
      <c r="P203" s="53">
        <f>SUMIF('2024 AC'!$B$3:$B$250,"*"&amp;$D203&amp;"*",'2024 AC'!D$3:D$250)</f>
        <v>13006.549999999999</v>
      </c>
      <c r="Q203" s="53">
        <f>SUMIF('2024 AC'!$B$3:$B$250,"*"&amp;$D203&amp;"*",'2024 AC'!E$3:E$250)</f>
        <v>13763.299999999999</v>
      </c>
      <c r="R203" s="53">
        <f>SUMIF('2024 AC'!$B$3:$B$250,"*"&amp;$D203&amp;"*",'2024 AC'!F$3:F$250)</f>
        <v>13019.450000000001</v>
      </c>
      <c r="S203" s="53">
        <f>SUMIF('2024 AC'!$B$3:$B$250,"*"&amp;$D203&amp;"*",'2024 AC'!G$3:G$250)</f>
        <v>13307.6</v>
      </c>
      <c r="T203" s="53">
        <f>SUMIF('2024 AC'!$B$3:$B$250,"*"&amp;$D203&amp;"*",'2024 AC'!H$3:H$250)</f>
        <v>11893.450000000001</v>
      </c>
      <c r="U203" s="53">
        <f>SUMIF('2024 AC'!$B$3:$B$250,"*"&amp;$D203&amp;"*",'2024 AC'!I$3:I$250)</f>
        <v>8203.7399999999998</v>
      </c>
      <c r="V203" s="53">
        <f>SUMIF('2024 AC'!$B$3:$B$250,"*"&amp;$D203&amp;"*",'2024 AC'!J$3:J$250)</f>
        <v>8635.9099999999999</v>
      </c>
      <c r="W203" s="53">
        <f>SUMIF('2024 AC'!$B$3:$B$250,"*"&amp;$D203&amp;"*",'2024 AC'!K$3:K$250)</f>
        <v>8438.9500000000007</v>
      </c>
      <c r="X203" s="53">
        <f>SUMIF('2024 AC'!$B$3:$B$250,"*"&amp;$D203&amp;"*",'2024 AC'!L$3:L$250)</f>
        <v>7830.3500000000004</v>
      </c>
      <c r="Y203" s="53">
        <f>SUMIF('2024 AC'!$B$3:$B$250,"*"&amp;$D203&amp;"*",'2024 AC'!M$3:M$250)</f>
        <v>6236.8999999999996</v>
      </c>
      <c r="Z203" s="93">
        <f>SUMIF('2024 AC'!$B$3:$B$250,"*"&amp;$D203&amp;"*",'2024 AC'!N$3:N$250)</f>
        <v>8056.75</v>
      </c>
      <c r="AA203" s="92">
        <f t="shared" si="223"/>
        <v>125347.75</v>
      </c>
      <c r="AB203" s="93">
        <f t="shared" si="224"/>
        <v>39724.649999999994</v>
      </c>
      <c r="AC203" s="93">
        <f t="shared" si="225"/>
        <v>38220.5</v>
      </c>
      <c r="AD203" s="93">
        <f t="shared" si="226"/>
        <v>25278.600000000002</v>
      </c>
      <c r="AE203" s="93">
        <f t="shared" si="227"/>
        <v>22124</v>
      </c>
      <c r="AF203" s="92">
        <f t="shared" si="228"/>
        <v>125347.75</v>
      </c>
      <c r="AH203" s="63">
        <f>SUMIF('2025 AC'!$B$3:$B$250,"*"&amp;$D203&amp;"*",'2025 AC'!C$3:C$250)</f>
        <v>5668.9499999999998</v>
      </c>
      <c r="AI203" s="53">
        <f>SUMIF('2025 AC'!$B$3:$B$250,"*"&amp;$D203&amp;"*",'2025 AC'!D$3:D$250)</f>
        <v>8175.0500000000002</v>
      </c>
      <c r="AJ203" s="53">
        <f>SUMIF('2025 AC'!$B$3:$B$250,"*"&amp;$D203&amp;"*",'2025 AC'!E$3:E$250)</f>
        <v>5301.9499999999998</v>
      </c>
      <c r="AK203" s="53">
        <f>SUMIF('2025 AC'!$B$3:$B$250,"*"&amp;$D203&amp;"*",'2025 AC'!F$3:F$250)</f>
        <v>7539.3000000000002</v>
      </c>
      <c r="AL203" s="53">
        <f>SUMIF('2025 AC'!$B$3:$B$250,"*"&amp;$D203&amp;"*",'2025 AC'!G$3:G$250)</f>
        <v>8353.7000000000007</v>
      </c>
      <c r="AM203" s="53">
        <f>SUMIF('2025 AC'!$B$3:$B$250,"*"&amp;$D203&amp;"*",'2025 AC'!H$3:H$250)</f>
        <v>8685.8999999999996</v>
      </c>
      <c r="AN203" s="53">
        <f>SUMIF('2025 AC'!$B$3:$B$250,"*"&amp;$D203&amp;"*",'2025 AC'!I$3:I$250)</f>
        <v>8827</v>
      </c>
      <c r="AO203" s="53">
        <f>SUMIF('2025 AC'!$B$3:$B$250,"*"&amp;$D203&amp;"*",'2025 AC'!J$3:J$250)</f>
        <v>8618.2999999999993</v>
      </c>
      <c r="AP203" s="53">
        <f>SUMIF('2025 AC'!$B$3:$B$250,"*"&amp;$D203&amp;"*",'2025 AC'!K$3:K$250)</f>
        <v>11383.65</v>
      </c>
      <c r="AQ203" s="53">
        <f>SUMIF('2025 AC'!$B$3:$B$250,"*"&amp;$D203&amp;"*",'2025 AC'!L$3:L$250)</f>
        <v>11162.450000000001</v>
      </c>
      <c r="AR203" s="53">
        <f>SUMIF('2025 AC'!$B$3:$B$250,"*"&amp;$D203&amp;"*",'2025 AC'!M$3:M$250)</f>
        <v>8872.1000000000004</v>
      </c>
      <c r="AS203" s="53">
        <f>SUMIF('2025 AC'!$B$3:$B$250,"*"&amp;$D203&amp;"*",'2025 AC'!N$3:N$250)</f>
        <v>9807.4899999999998</v>
      </c>
      <c r="AT203" s="94">
        <f t="shared" si="206"/>
        <v>102395.84</v>
      </c>
      <c r="AU203" s="93">
        <f t="shared" si="229"/>
        <v>19145.950000000001</v>
      </c>
      <c r="AV203" s="93">
        <f t="shared" si="230"/>
        <v>24578.900000000001</v>
      </c>
      <c r="AW203" s="93">
        <f t="shared" si="231"/>
        <v>28828.949999999997</v>
      </c>
      <c r="AX203" s="93">
        <f t="shared" si="232"/>
        <v>29842.040000000001</v>
      </c>
      <c r="AY203" s="92">
        <f t="shared" si="233"/>
        <v>102395.84</v>
      </c>
      <c r="BA203" s="63">
        <f>SUMIF('2026 AC'!$B$3:$B$254,"*"&amp;$D203&amp;"*",'2026 AC'!C$3:C$254)</f>
        <v>12184.299999999999</v>
      </c>
      <c r="BB203" s="53">
        <f>SUMIF('2026 AC'!$B$3:$B$254,"*"&amp;$D203&amp;"*",'2026 AC'!D$3:D$254)</f>
        <v>11240.9</v>
      </c>
      <c r="BC203" s="53">
        <f>SUMIF('2026 AC'!$B$3:$B$254,"*"&amp;$D203&amp;"*",'2026 AC'!E$3:E$254)</f>
        <v>9968.0499999999993</v>
      </c>
      <c r="BD203" s="53">
        <f>SUMIF('2026 AC'!$B$3:$B$254,"*"&amp;$D203&amp;"*",'2026 AC'!F$3:F$254)</f>
        <v>12825.25</v>
      </c>
      <c r="BE203" s="53">
        <f>SUMIF('2026 AC'!$B$3:$B$254,"*"&amp;$D203&amp;"*",'2026 AC'!G$3:G$254)</f>
        <v>11935.950000000001</v>
      </c>
      <c r="BF203" s="53">
        <f>SUMIF('2026 AC'!$B$3:$B$254,"*"&amp;$D203&amp;"*",'2026 AC'!H$3:H$254)</f>
        <v>13569.049999999999</v>
      </c>
      <c r="BG203" s="53">
        <f>SUMIF('2026 AC'!$B$3:$B$254,"*"&amp;$D203&amp;"*",'2026 AC'!I$3:I$254)</f>
        <v>0</v>
      </c>
      <c r="BH203" s="53">
        <f>SUMIF('2026 AC'!$B$3:$B$254,"*"&amp;$D203&amp;"*",'2026 AC'!J$3:J$254)</f>
        <v>0</v>
      </c>
      <c r="BI203" s="53">
        <f>SUMIF('2026 AC'!$B$3:$B$254,"*"&amp;$D203&amp;"*",'2026 AC'!K$3:K$254)</f>
        <v>0</v>
      </c>
      <c r="BJ203" s="53">
        <f>SUMIF('2026 AC'!$B$3:$B$254,"*"&amp;$D203&amp;"*",'2026 AC'!L$3:L$254)</f>
        <v>0</v>
      </c>
      <c r="BK203" s="53">
        <f>SUMIF('2026 AC'!$B$3:$B$254,"*"&amp;$D203&amp;"*",'2026 AC'!M$3:M$254)</f>
        <v>0</v>
      </c>
      <c r="BL203" s="93">
        <f>SUMIF('2026 AC'!$B$3:$B$254,"*"&amp;$D203&amp;"*",'2026 AC'!N$3:N$254)</f>
        <v>0</v>
      </c>
      <c r="BM203" s="92">
        <f t="shared" si="207"/>
        <v>71723.5</v>
      </c>
      <c r="BN203" s="93">
        <f t="shared" si="234"/>
        <v>33393.25</v>
      </c>
      <c r="BO203" s="93">
        <f t="shared" si="235"/>
        <v>38330.25</v>
      </c>
      <c r="BP203" s="93">
        <f t="shared" si="236"/>
        <v>0</v>
      </c>
      <c r="BQ203" s="93">
        <f t="shared" si="237"/>
        <v>0</v>
      </c>
      <c r="BR203" s="92">
        <f t="shared" si="238"/>
        <v>71723.5</v>
      </c>
    </row>
    <row r="204" outlineLevel="1">
      <c r="A204" t="s">
        <v>522</v>
      </c>
      <c r="B204" t="s">
        <v>523</v>
      </c>
      <c r="C204" s="34" t="s">
        <v>524</v>
      </c>
      <c r="D204" s="35" t="s">
        <v>483</v>
      </c>
      <c r="E204" s="153">
        <f t="shared" si="182"/>
        <v>3872.6500000000001</v>
      </c>
      <c r="F204" s="152">
        <f t="shared" si="183"/>
        <v>2859.5</v>
      </c>
      <c r="G204" s="54">
        <f t="shared" si="220"/>
        <v>0.35431019408987591</v>
      </c>
      <c r="H204" s="153">
        <f t="shared" si="185"/>
        <v>9878.25</v>
      </c>
      <c r="I204" s="153">
        <f t="shared" si="186"/>
        <v>8727.8500000000004</v>
      </c>
      <c r="J204" s="54">
        <f t="shared" si="221"/>
        <v>0.13180794812009825</v>
      </c>
      <c r="K204" s="153">
        <f t="shared" si="187"/>
        <v>18731.260000000002</v>
      </c>
      <c r="L204" s="153">
        <f t="shared" si="188"/>
        <v>16921.050000000003</v>
      </c>
      <c r="M204" s="55">
        <f t="shared" si="222"/>
        <v>0.10697976780400736</v>
      </c>
      <c r="O204" s="63">
        <f>SUMIF('2024 AC'!$B$3:$B$250,"*"&amp;$D204&amp;"*",'2024 AC'!C$3:C$250)</f>
        <v>2284.9200000000001</v>
      </c>
      <c r="P204" s="53">
        <f>SUMIF('2024 AC'!$B$3:$B$250,"*"&amp;$D204&amp;"*",'2024 AC'!D$3:D$250)</f>
        <v>2277.6500000000001</v>
      </c>
      <c r="Q204" s="53">
        <f>SUMIF('2024 AC'!$B$3:$B$250,"*"&amp;$D204&amp;"*",'2024 AC'!E$3:E$250)</f>
        <v>2284.5</v>
      </c>
      <c r="R204" s="53">
        <f>SUMIF('2024 AC'!$B$3:$B$250,"*"&amp;$D204&amp;"*",'2024 AC'!F$3:F$250)</f>
        <v>2300.4000000000001</v>
      </c>
      <c r="S204" s="53">
        <f>SUMIF('2024 AC'!$B$3:$B$250,"*"&amp;$D204&amp;"*",'2024 AC'!G$3:G$250)</f>
        <v>2818.4000000000001</v>
      </c>
      <c r="T204" s="53">
        <f>SUMIF('2024 AC'!$B$3:$B$250,"*"&amp;$D204&amp;"*",'2024 AC'!H$3:H$250)</f>
        <v>2825.5</v>
      </c>
      <c r="U204" s="53">
        <f>SUMIF('2024 AC'!$B$3:$B$250,"*"&amp;$D204&amp;"*",'2024 AC'!I$3:I$250)</f>
        <v>2858.8000000000002</v>
      </c>
      <c r="V204" s="53">
        <f>SUMIF('2024 AC'!$B$3:$B$250,"*"&amp;$D204&amp;"*",'2024 AC'!J$3:J$250)</f>
        <v>2866.3499999999999</v>
      </c>
      <c r="W204" s="53">
        <f>SUMIF('2024 AC'!$B$3:$B$250,"*"&amp;$D204&amp;"*",'2024 AC'!K$3:K$250)</f>
        <v>2871.5</v>
      </c>
      <c r="X204" s="53">
        <f>SUMIF('2024 AC'!$B$3:$B$250,"*"&amp;$D204&amp;"*",'2024 AC'!L$3:L$250)</f>
        <v>2859.4000000000001</v>
      </c>
      <c r="Y204" s="53">
        <f>SUMIF('2024 AC'!$B$3:$B$250,"*"&amp;$D204&amp;"*",'2024 AC'!M$3:M$250)</f>
        <v>2866.4499999999998</v>
      </c>
      <c r="Z204" s="93">
        <f>SUMIF('2024 AC'!$B$3:$B$250,"*"&amp;$D204&amp;"*",'2024 AC'!N$3:N$250)</f>
        <v>2861.1999999999998</v>
      </c>
      <c r="AA204" s="92">
        <f t="shared" si="223"/>
        <v>31975.07</v>
      </c>
      <c r="AB204" s="93">
        <f t="shared" si="224"/>
        <v>6847.0699999999997</v>
      </c>
      <c r="AC204" s="93">
        <f t="shared" si="225"/>
        <v>7944.3000000000002</v>
      </c>
      <c r="AD204" s="93">
        <f t="shared" si="226"/>
        <v>8596.6499999999996</v>
      </c>
      <c r="AE204" s="93">
        <f t="shared" si="227"/>
        <v>8587.0499999999993</v>
      </c>
      <c r="AF204" s="92">
        <f t="shared" si="228"/>
        <v>31975.069999999996</v>
      </c>
      <c r="AH204" s="63">
        <f>SUMIF('2025 AC'!$B$3:$B$250,"*"&amp;$D204&amp;"*",'2025 AC'!C$3:C$250)</f>
        <v>2485.3499999999999</v>
      </c>
      <c r="AI204" s="53">
        <f>SUMIF('2025 AC'!$B$3:$B$250,"*"&amp;$D204&amp;"*",'2025 AC'!D$3:D$250)</f>
        <v>2852.5999999999999</v>
      </c>
      <c r="AJ204" s="53">
        <f>SUMIF('2025 AC'!$B$3:$B$250,"*"&amp;$D204&amp;"*",'2025 AC'!E$3:E$250)</f>
        <v>2855.25</v>
      </c>
      <c r="AK204" s="53">
        <f>SUMIF('2025 AC'!$B$3:$B$250,"*"&amp;$D204&amp;"*",'2025 AC'!F$3:F$250)</f>
        <v>2999.6999999999998</v>
      </c>
      <c r="AL204" s="53">
        <f>SUMIF('2025 AC'!$B$3:$B$250,"*"&amp;$D204&amp;"*",'2025 AC'!G$3:G$250)</f>
        <v>2868.6500000000001</v>
      </c>
      <c r="AM204" s="53">
        <f>SUMIF('2025 AC'!$B$3:$B$250,"*"&amp;$D204&amp;"*",'2025 AC'!H$3:H$250)</f>
        <v>2859.5</v>
      </c>
      <c r="AN204" s="53">
        <f>SUMIF('2025 AC'!$B$3:$B$250,"*"&amp;$D204&amp;"*",'2025 AC'!I$3:I$250)</f>
        <v>2847.3499999999999</v>
      </c>
      <c r="AO204" s="53">
        <f>SUMIF('2025 AC'!$B$3:$B$250,"*"&amp;$D204&amp;"*",'2025 AC'!J$3:J$250)</f>
        <v>2857.52</v>
      </c>
      <c r="AP204" s="53">
        <f>SUMIF('2025 AC'!$B$3:$B$250,"*"&amp;$D204&amp;"*",'2025 AC'!K$3:K$250)</f>
        <v>3684.6999999999998</v>
      </c>
      <c r="AQ204" s="53">
        <f>SUMIF('2025 AC'!$B$3:$B$250,"*"&amp;$D204&amp;"*",'2025 AC'!L$3:L$250)</f>
        <v>3189.3499999999999</v>
      </c>
      <c r="AR204" s="53">
        <f>SUMIF('2025 AC'!$B$3:$B$250,"*"&amp;$D204&amp;"*",'2025 AC'!M$3:M$250)</f>
        <v>3287.9000000000001</v>
      </c>
      <c r="AS204" s="53">
        <f>SUMIF('2025 AC'!$B$3:$B$250,"*"&amp;$D204&amp;"*",'2025 AC'!N$3:N$250)</f>
        <v>3126.25</v>
      </c>
      <c r="AT204" s="94">
        <f t="shared" si="206"/>
        <v>35914.120000000003</v>
      </c>
      <c r="AU204" s="93">
        <f t="shared" si="229"/>
        <v>8193.2000000000007</v>
      </c>
      <c r="AV204" s="93">
        <f t="shared" si="230"/>
        <v>8727.8500000000004</v>
      </c>
      <c r="AW204" s="93">
        <f t="shared" si="231"/>
        <v>9389.5699999999997</v>
      </c>
      <c r="AX204" s="93">
        <f t="shared" si="232"/>
        <v>9603.5</v>
      </c>
      <c r="AY204" s="92">
        <f t="shared" si="233"/>
        <v>35914.120000000003</v>
      </c>
      <c r="BA204" s="63">
        <f>SUMIF('2026 AC'!$B$3:$B$254,"*"&amp;$D204&amp;"*",'2026 AC'!C$3:C$254)</f>
        <v>2957.6599999999999</v>
      </c>
      <c r="BB204" s="53">
        <f>SUMIF('2026 AC'!$B$3:$B$254,"*"&amp;$D204&amp;"*",'2026 AC'!D$3:D$254)</f>
        <v>2950.8000000000002</v>
      </c>
      <c r="BC204" s="53">
        <f>SUMIF('2026 AC'!$B$3:$B$254,"*"&amp;$D204&amp;"*",'2026 AC'!E$3:E$254)</f>
        <v>2944.5500000000002</v>
      </c>
      <c r="BD204" s="53">
        <f>SUMIF('2026 AC'!$B$3:$B$254,"*"&amp;$D204&amp;"*",'2026 AC'!F$3:F$254)</f>
        <v>3062.4000000000001</v>
      </c>
      <c r="BE204" s="53">
        <f>SUMIF('2026 AC'!$B$3:$B$254,"*"&amp;$D204&amp;"*",'2026 AC'!G$3:G$254)</f>
        <v>2943.1999999999998</v>
      </c>
      <c r="BF204" s="53">
        <f>SUMIF('2026 AC'!$B$3:$B$254,"*"&amp;$D204&amp;"*",'2026 AC'!H$3:H$254)</f>
        <v>3872.6500000000001</v>
      </c>
      <c r="BG204" s="53">
        <f>SUMIF('2026 AC'!$B$3:$B$254,"*"&amp;$D204&amp;"*",'2026 AC'!I$3:I$254)</f>
        <v>0</v>
      </c>
      <c r="BH204" s="53">
        <f>SUMIF('2026 AC'!$B$3:$B$254,"*"&amp;$D204&amp;"*",'2026 AC'!J$3:J$254)</f>
        <v>0</v>
      </c>
      <c r="BI204" s="53">
        <f>SUMIF('2026 AC'!$B$3:$B$254,"*"&amp;$D204&amp;"*",'2026 AC'!K$3:K$254)</f>
        <v>0</v>
      </c>
      <c r="BJ204" s="53">
        <f>SUMIF('2026 AC'!$B$3:$B$254,"*"&amp;$D204&amp;"*",'2026 AC'!L$3:L$254)</f>
        <v>0</v>
      </c>
      <c r="BK204" s="53">
        <f>SUMIF('2026 AC'!$B$3:$B$254,"*"&amp;$D204&amp;"*",'2026 AC'!M$3:M$254)</f>
        <v>0</v>
      </c>
      <c r="BL204" s="93">
        <f>SUMIF('2026 AC'!$B$3:$B$254,"*"&amp;$D204&amp;"*",'2026 AC'!N$3:N$254)</f>
        <v>0</v>
      </c>
      <c r="BM204" s="92">
        <f t="shared" si="207"/>
        <v>18731.260000000002</v>
      </c>
      <c r="BN204" s="93">
        <f t="shared" si="234"/>
        <v>8853.0100000000002</v>
      </c>
      <c r="BO204" s="93">
        <f t="shared" si="235"/>
        <v>9878.25</v>
      </c>
      <c r="BP204" s="93">
        <f t="shared" si="236"/>
        <v>0</v>
      </c>
      <c r="BQ204" s="93">
        <f t="shared" si="237"/>
        <v>0</v>
      </c>
      <c r="BR204" s="92">
        <f t="shared" si="238"/>
        <v>18731.260000000002</v>
      </c>
    </row>
    <row r="205" outlineLevel="1">
      <c r="A205" t="s">
        <v>525</v>
      </c>
      <c r="B205" t="s">
        <v>526</v>
      </c>
      <c r="C205" s="34" t="s">
        <v>527</v>
      </c>
      <c r="D205" s="35" t="s">
        <v>486</v>
      </c>
      <c r="E205" s="153">
        <f t="shared" si="182"/>
        <v>12</v>
      </c>
      <c r="F205" s="152">
        <f t="shared" si="183"/>
        <v>6295.6499999999996</v>
      </c>
      <c r="G205" s="54">
        <f t="shared" si="220"/>
        <v>-0.99809392199375757</v>
      </c>
      <c r="H205" s="153">
        <f t="shared" si="185"/>
        <v>11947.200000000001</v>
      </c>
      <c r="I205" s="153">
        <f t="shared" si="186"/>
        <v>18886.949999999997</v>
      </c>
      <c r="J205" s="54">
        <f t="shared" si="221"/>
        <v>-0.36743624566168692</v>
      </c>
      <c r="K205" s="153">
        <f t="shared" si="187"/>
        <v>29850</v>
      </c>
      <c r="L205" s="153">
        <f t="shared" si="188"/>
        <v>37674.450000000004</v>
      </c>
      <c r="M205" s="55">
        <f t="shared" si="222"/>
        <v>-0.20768584544698074</v>
      </c>
      <c r="O205" s="63">
        <f>SUMIF('2024 AC'!$B$3:$B$250,"*"&amp;$D205&amp;"*",'2024 AC'!C$3:C$250)</f>
        <v>15643.950000000001</v>
      </c>
      <c r="P205" s="53">
        <f>SUMIF('2024 AC'!$B$3:$B$250,"*"&amp;$D205&amp;"*",'2024 AC'!D$3:D$250)</f>
        <v>5396.25</v>
      </c>
      <c r="Q205" s="53">
        <f>SUMIF('2024 AC'!$B$3:$B$250,"*"&amp;$D205&amp;"*",'2024 AC'!E$3:E$250)</f>
        <v>5396.25</v>
      </c>
      <c r="R205" s="53">
        <f>SUMIF('2024 AC'!$B$3:$B$250,"*"&amp;$D205&amp;"*",'2024 AC'!F$3:F$250)</f>
        <v>5396.25</v>
      </c>
      <c r="S205" s="53">
        <f>SUMIF('2024 AC'!$B$3:$B$250,"*"&amp;$D205&amp;"*",'2024 AC'!G$3:G$250)</f>
        <v>5396.25</v>
      </c>
      <c r="T205" s="53">
        <f>SUMIF('2024 AC'!$B$3:$B$250,"*"&amp;$D205&amp;"*",'2024 AC'!H$3:H$250)</f>
        <v>5396.25</v>
      </c>
      <c r="U205" s="53">
        <f>SUMIF('2024 AC'!$B$3:$B$250,"*"&amp;$D205&amp;"*",'2024 AC'!I$3:I$250)</f>
        <v>6184.1999999999998</v>
      </c>
      <c r="V205" s="53">
        <f>SUMIF('2024 AC'!$B$3:$B$250,"*"&amp;$D205&amp;"*",'2024 AC'!J$3:J$250)</f>
        <v>6184.1999999999998</v>
      </c>
      <c r="W205" s="53">
        <f>SUMIF('2024 AC'!$B$3:$B$250,"*"&amp;$D205&amp;"*",'2024 AC'!K$3:K$250)</f>
        <v>6184.1999999999998</v>
      </c>
      <c r="X205" s="53">
        <f>SUMIF('2024 AC'!$B$3:$B$250,"*"&amp;$D205&amp;"*",'2024 AC'!L$3:L$250)</f>
        <v>6184.1999999999998</v>
      </c>
      <c r="Y205" s="53">
        <f>SUMIF('2024 AC'!$B$3:$B$250,"*"&amp;$D205&amp;"*",'2024 AC'!M$3:M$250)</f>
        <v>6184.1999999999998</v>
      </c>
      <c r="Z205" s="93">
        <f>SUMIF('2024 AC'!$B$3:$B$250,"*"&amp;$D205&amp;"*",'2024 AC'!N$3:N$250)</f>
        <v>6184.1999999999998</v>
      </c>
      <c r="AA205" s="92">
        <f t="shared" si="223"/>
        <v>79730.39999999998</v>
      </c>
      <c r="AB205" s="93">
        <f t="shared" si="224"/>
        <v>26436.450000000001</v>
      </c>
      <c r="AC205" s="93">
        <f t="shared" si="225"/>
        <v>16188.75</v>
      </c>
      <c r="AD205" s="93">
        <f t="shared" si="226"/>
        <v>18552.599999999999</v>
      </c>
      <c r="AE205" s="93">
        <f t="shared" si="227"/>
        <v>18552.599999999999</v>
      </c>
      <c r="AF205" s="92">
        <f t="shared" si="228"/>
        <v>79730.399999999994</v>
      </c>
      <c r="AH205" s="63">
        <f>SUMIF('2025 AC'!$B$3:$B$250,"*"&amp;$D205&amp;"*",'2025 AC'!C$3:C$250)</f>
        <v>6196.1999999999998</v>
      </c>
      <c r="AI205" s="53">
        <f>SUMIF('2025 AC'!$B$3:$B$250,"*"&amp;$D205&amp;"*",'2025 AC'!D$3:D$250)</f>
        <v>6295.6499999999996</v>
      </c>
      <c r="AJ205" s="53">
        <f>SUMIF('2025 AC'!$B$3:$B$250,"*"&amp;$D205&amp;"*",'2025 AC'!E$3:E$250)</f>
        <v>6295.6499999999996</v>
      </c>
      <c r="AK205" s="53">
        <f>SUMIF('2025 AC'!$B$3:$B$250,"*"&amp;$D205&amp;"*",'2025 AC'!F$3:F$250)</f>
        <v>6295.6499999999996</v>
      </c>
      <c r="AL205" s="53">
        <f>SUMIF('2025 AC'!$B$3:$B$250,"*"&amp;$D205&amp;"*",'2025 AC'!G$3:G$250)</f>
        <v>6295.6499999999996</v>
      </c>
      <c r="AM205" s="53">
        <f>SUMIF('2025 AC'!$B$3:$B$250,"*"&amp;$D205&amp;"*",'2025 AC'!H$3:H$250)</f>
        <v>6295.6499999999996</v>
      </c>
      <c r="AN205" s="53">
        <f>SUMIF('2025 AC'!$B$3:$B$250,"*"&amp;$D205&amp;"*",'2025 AC'!I$3:I$250)</f>
        <v>62.700000000000003</v>
      </c>
      <c r="AO205" s="53">
        <f>SUMIF('2025 AC'!$B$3:$B$250,"*"&amp;$D205&amp;"*",'2025 AC'!J$3:J$250)</f>
        <v>20150.700000000001</v>
      </c>
      <c r="AP205" s="53">
        <f>SUMIF('2025 AC'!$B$3:$B$250,"*"&amp;$D205&amp;"*",'2025 AC'!K$3:K$250)</f>
        <v>5967.6000000000004</v>
      </c>
      <c r="AQ205" s="53">
        <f>SUMIF('2025 AC'!$B$3:$B$250,"*"&amp;$D205&amp;"*",'2025 AC'!L$3:L$250)</f>
        <v>5967.6000000000004</v>
      </c>
      <c r="AR205" s="53">
        <f>SUMIF('2025 AC'!$B$3:$B$250,"*"&amp;$D205&amp;"*",'2025 AC'!M$3:M$250)</f>
        <v>5967.6000000000004</v>
      </c>
      <c r="AS205" s="53">
        <f>SUMIF('2025 AC'!$B$3:$B$250,"*"&amp;$D205&amp;"*",'2025 AC'!N$3:N$250)</f>
        <v>5967.6000000000004</v>
      </c>
      <c r="AT205" s="94">
        <f t="shared" si="206"/>
        <v>81758.250000000015</v>
      </c>
      <c r="AU205" s="93">
        <f t="shared" si="229"/>
        <v>18787.5</v>
      </c>
      <c r="AV205" s="93">
        <f t="shared" si="230"/>
        <v>18886.949999999997</v>
      </c>
      <c r="AW205" s="93">
        <f t="shared" si="231"/>
        <v>26181</v>
      </c>
      <c r="AX205" s="93">
        <f t="shared" si="232"/>
        <v>17902.800000000003</v>
      </c>
      <c r="AY205" s="92">
        <f t="shared" si="233"/>
        <v>81758.25</v>
      </c>
      <c r="BA205" s="63">
        <f>SUMIF('2026 AC'!$B$3:$B$254,"*"&amp;$D205&amp;"*",'2026 AC'!C$3:C$254)</f>
        <v>5967.6000000000004</v>
      </c>
      <c r="BB205" s="53">
        <f>SUMIF('2026 AC'!$B$3:$B$254,"*"&amp;$D205&amp;"*",'2026 AC'!D$3:D$254)</f>
        <v>5967.6000000000004</v>
      </c>
      <c r="BC205" s="53">
        <f>SUMIF('2026 AC'!$B$3:$B$254,"*"&amp;$D205&amp;"*",'2026 AC'!E$3:E$254)</f>
        <v>5967.6000000000004</v>
      </c>
      <c r="BD205" s="53">
        <f>SUMIF('2026 AC'!$B$3:$B$254,"*"&amp;$D205&amp;"*",'2026 AC'!F$3:F$254)</f>
        <v>5967.6000000000004</v>
      </c>
      <c r="BE205" s="53">
        <f>SUMIF('2026 AC'!$B$3:$B$254,"*"&amp;$D205&amp;"*",'2026 AC'!G$3:G$254)</f>
        <v>5967.6000000000004</v>
      </c>
      <c r="BF205" s="53">
        <f>SUMIF('2026 AC'!$B$3:$B$254,"*"&amp;$D205&amp;"*",'2026 AC'!H$3:H$254)</f>
        <v>12</v>
      </c>
      <c r="BG205" s="53">
        <f>SUMIF('2026 AC'!$B$3:$B$254,"*"&amp;$D205&amp;"*",'2026 AC'!I$3:I$254)</f>
        <v>0</v>
      </c>
      <c r="BH205" s="53">
        <f>SUMIF('2026 AC'!$B$3:$B$254,"*"&amp;$D205&amp;"*",'2026 AC'!J$3:J$254)</f>
        <v>0</v>
      </c>
      <c r="BI205" s="53">
        <f>SUMIF('2026 AC'!$B$3:$B$254,"*"&amp;$D205&amp;"*",'2026 AC'!K$3:K$254)</f>
        <v>0</v>
      </c>
      <c r="BJ205" s="53">
        <f>SUMIF('2026 AC'!$B$3:$B$254,"*"&amp;$D205&amp;"*",'2026 AC'!L$3:L$254)</f>
        <v>0</v>
      </c>
      <c r="BK205" s="53">
        <f>SUMIF('2026 AC'!$B$3:$B$254,"*"&amp;$D205&amp;"*",'2026 AC'!M$3:M$254)</f>
        <v>0</v>
      </c>
      <c r="BL205" s="93">
        <f>SUMIF('2026 AC'!$B$3:$B$254,"*"&amp;$D205&amp;"*",'2026 AC'!N$3:N$254)</f>
        <v>0</v>
      </c>
      <c r="BM205" s="92">
        <f t="shared" si="207"/>
        <v>29850</v>
      </c>
      <c r="BN205" s="93">
        <f t="shared" si="234"/>
        <v>17902.800000000003</v>
      </c>
      <c r="BO205" s="93">
        <f t="shared" si="235"/>
        <v>11947.200000000001</v>
      </c>
      <c r="BP205" s="93">
        <f t="shared" si="236"/>
        <v>0</v>
      </c>
      <c r="BQ205" s="93">
        <f t="shared" si="237"/>
        <v>0</v>
      </c>
      <c r="BR205" s="92">
        <f t="shared" si="238"/>
        <v>29850.000000000004</v>
      </c>
    </row>
    <row r="206" ht="15" customHeight="1" outlineLevel="1">
      <c r="A206" s="195"/>
      <c r="C206" s="34" t="s">
        <v>528</v>
      </c>
      <c r="D206" s="35" t="s">
        <v>490</v>
      </c>
      <c r="E206" s="153">
        <f t="shared" si="182"/>
        <v>2809.25</v>
      </c>
      <c r="F206" s="152">
        <f t="shared" si="183"/>
        <v>1365</v>
      </c>
      <c r="G206" s="54">
        <f t="shared" si="220"/>
        <v>1.0580586080586081</v>
      </c>
      <c r="H206" s="153">
        <f t="shared" si="185"/>
        <v>8557.7999999999993</v>
      </c>
      <c r="I206" s="153">
        <f t="shared" si="186"/>
        <v>7410</v>
      </c>
      <c r="J206" s="54">
        <f t="shared" si="221"/>
        <v>0.1548987854251011</v>
      </c>
      <c r="K206" s="153">
        <f t="shared" si="187"/>
        <v>14157.199999999999</v>
      </c>
      <c r="L206" s="153">
        <f t="shared" si="188"/>
        <v>19144</v>
      </c>
      <c r="M206" s="55">
        <f t="shared" si="222"/>
        <v>-0.26048892603426665</v>
      </c>
      <c r="O206" s="63">
        <f>SUMIF('2024 AC'!$B$3:$B$250,"*"&amp;$D206&amp;"*",'2024 AC'!C$3:C$250)</f>
        <v>2772</v>
      </c>
      <c r="P206" s="53">
        <f>SUMIF('2024 AC'!$B$3:$B$250,"*"&amp;$D206&amp;"*",'2024 AC'!D$3:D$250)</f>
        <v>4536</v>
      </c>
      <c r="Q206" s="53">
        <f>SUMIF('2024 AC'!$B$3:$B$250,"*"&amp;$D206&amp;"*",'2024 AC'!E$3:E$250)</f>
        <v>2016</v>
      </c>
      <c r="R206" s="53">
        <f>SUMIF('2024 AC'!$B$3:$B$250,"*"&amp;$D206&amp;"*",'2024 AC'!F$3:F$250)</f>
        <v>3024</v>
      </c>
      <c r="S206" s="53">
        <f>SUMIF('2024 AC'!$B$3:$B$250,"*"&amp;$D206&amp;"*",'2024 AC'!G$3:G$250)</f>
        <v>3276</v>
      </c>
      <c r="T206" s="53">
        <f>SUMIF('2024 AC'!$B$3:$B$250,"*"&amp;$D206&amp;"*",'2024 AC'!H$3:H$250)</f>
        <v>3276</v>
      </c>
      <c r="U206" s="53">
        <f>SUMIF('2024 AC'!$B$3:$B$250,"*"&amp;$D206&amp;"*",'2024 AC'!I$3:I$250)</f>
        <v>7534</v>
      </c>
      <c r="V206" s="53">
        <f>SUMIF('2024 AC'!$B$3:$B$250,"*"&amp;$D206&amp;"*",'2024 AC'!J$3:J$250)</f>
        <v>4284</v>
      </c>
      <c r="W206" s="53">
        <f>SUMIF('2024 AC'!$B$3:$B$250,"*"&amp;$D206&amp;"*",'2024 AC'!K$3:K$250)</f>
        <v>2016</v>
      </c>
      <c r="X206" s="53">
        <f>SUMIF('2024 AC'!$B$3:$B$250,"*"&amp;$D206&amp;"*",'2024 AC'!L$3:L$250)</f>
        <v>4032</v>
      </c>
      <c r="Y206" s="53">
        <f>SUMIF('2024 AC'!$B$3:$B$250,"*"&amp;$D206&amp;"*",'2024 AC'!M$3:M$250)</f>
        <v>4788</v>
      </c>
      <c r="Z206" s="93">
        <f>SUMIF('2024 AC'!$B$3:$B$250,"*"&amp;$D206&amp;"*",'2024 AC'!N$3:N$250)</f>
        <v>2520</v>
      </c>
      <c r="AA206" s="92">
        <f t="shared" si="223"/>
        <v>44074</v>
      </c>
      <c r="AB206" s="93">
        <f t="shared" si="224"/>
        <v>9324</v>
      </c>
      <c r="AC206" s="93">
        <f t="shared" si="225"/>
        <v>9576</v>
      </c>
      <c r="AD206" s="93">
        <f t="shared" si="226"/>
        <v>13834</v>
      </c>
      <c r="AE206" s="93">
        <f t="shared" si="227"/>
        <v>11340</v>
      </c>
      <c r="AF206" s="92">
        <f t="shared" si="228"/>
        <v>44074</v>
      </c>
      <c r="AH206" s="63">
        <f>SUMIF('2025 AC'!$B$3:$B$250,"*"&amp;$D206&amp;"*",'2025 AC'!C$3:C$250)</f>
        <v>3900</v>
      </c>
      <c r="AI206" s="53">
        <f>SUMIF('2025 AC'!$B$3:$B$250,"*"&amp;$D206&amp;"*",'2025 AC'!D$3:D$250)</f>
        <v>4705</v>
      </c>
      <c r="AJ206" s="53">
        <f>SUMIF('2025 AC'!$B$3:$B$250,"*"&amp;$D206&amp;"*",'2025 AC'!E$3:E$250)</f>
        <v>3129</v>
      </c>
      <c r="AK206" s="53">
        <f>SUMIF('2025 AC'!$B$3:$B$250,"*"&amp;$D206&amp;"*",'2025 AC'!F$3:F$250)</f>
        <v>3120</v>
      </c>
      <c r="AL206" s="53">
        <f>SUMIF('2025 AC'!$B$3:$B$250,"*"&amp;$D206&amp;"*",'2025 AC'!G$3:G$250)</f>
        <v>2925</v>
      </c>
      <c r="AM206" s="53">
        <f>SUMIF('2025 AC'!$B$3:$B$250,"*"&amp;$D206&amp;"*",'2025 AC'!H$3:H$250)</f>
        <v>1365</v>
      </c>
      <c r="AN206" s="53">
        <f>SUMIF('2025 AC'!$B$3:$B$250,"*"&amp;$D206&amp;"*",'2025 AC'!I$3:I$250)</f>
        <v>3120</v>
      </c>
      <c r="AO206" s="53">
        <f>SUMIF('2025 AC'!$B$3:$B$250,"*"&amp;$D206&amp;"*",'2025 AC'!J$3:J$250)</f>
        <v>2730</v>
      </c>
      <c r="AP206" s="53">
        <f>SUMIF('2025 AC'!$B$3:$B$250,"*"&amp;$D206&amp;"*",'2025 AC'!K$3:K$250)</f>
        <v>2730</v>
      </c>
      <c r="AQ206" s="53">
        <f>SUMIF('2025 AC'!$B$3:$B$250,"*"&amp;$D206&amp;"*",'2025 AC'!L$3:L$250)</f>
        <v>2730</v>
      </c>
      <c r="AR206" s="53">
        <f>SUMIF('2025 AC'!$B$3:$B$250,"*"&amp;$D206&amp;"*",'2025 AC'!M$3:M$250)</f>
        <v>2730</v>
      </c>
      <c r="AS206" s="53">
        <f>SUMIF('2025 AC'!$B$3:$B$250,"*"&amp;$D206&amp;"*",'2025 AC'!N$3:N$250)</f>
        <v>-2309.7399999999998</v>
      </c>
      <c r="AT206" s="94">
        <f t="shared" si="206"/>
        <v>30874.260000000002</v>
      </c>
      <c r="AU206" s="93">
        <f t="shared" si="229"/>
        <v>11734</v>
      </c>
      <c r="AV206" s="93">
        <f t="shared" si="230"/>
        <v>7410</v>
      </c>
      <c r="AW206" s="93">
        <f t="shared" si="231"/>
        <v>8580</v>
      </c>
      <c r="AX206" s="93">
        <f t="shared" si="232"/>
        <v>3150.2600000000002</v>
      </c>
      <c r="AY206" s="92">
        <f t="shared" si="233"/>
        <v>30874.260000000002</v>
      </c>
      <c r="BA206" s="63">
        <f>SUMIF('2026 AC'!$B$3:$B$254,"*"&amp;$D206&amp;"*",'2026 AC'!C$3:C$254)</f>
        <v>2381.9499999999998</v>
      </c>
      <c r="BB206" s="53">
        <f>SUMIF('2026 AC'!$B$3:$B$254,"*"&amp;$D206&amp;"*",'2026 AC'!D$3:D$254)</f>
        <v>2302.8000000000002</v>
      </c>
      <c r="BC206" s="53">
        <f>SUMIF('2026 AC'!$B$3:$B$254,"*"&amp;$D206&amp;"*",'2026 AC'!E$3:E$254)</f>
        <v>914.64999999999998</v>
      </c>
      <c r="BD206" s="53">
        <f>SUMIF('2026 AC'!$B$3:$B$254,"*"&amp;$D206&amp;"*",'2026 AC'!F$3:F$254)</f>
        <v>2951.9499999999998</v>
      </c>
      <c r="BE206" s="53">
        <f>SUMIF('2026 AC'!$B$3:$B$254,"*"&amp;$D206&amp;"*",'2026 AC'!G$3:G$254)</f>
        <v>2796.5999999999999</v>
      </c>
      <c r="BF206" s="53">
        <f>SUMIF('2026 AC'!$B$3:$B$254,"*"&amp;$D206&amp;"*",'2026 AC'!H$3:H$254)</f>
        <v>2809.25</v>
      </c>
      <c r="BG206" s="53">
        <f>SUMIF('2026 AC'!$B$3:$B$254,"*"&amp;$D206&amp;"*",'2026 AC'!I$3:I$254)</f>
        <v>0</v>
      </c>
      <c r="BH206" s="53">
        <f>SUMIF('2026 AC'!$B$3:$B$254,"*"&amp;$D206&amp;"*",'2026 AC'!J$3:J$254)</f>
        <v>0</v>
      </c>
      <c r="BI206" s="53">
        <f>SUMIF('2026 AC'!$B$3:$B$254,"*"&amp;$D206&amp;"*",'2026 AC'!K$3:K$254)</f>
        <v>0</v>
      </c>
      <c r="BJ206" s="53">
        <f>SUMIF('2026 AC'!$B$3:$B$254,"*"&amp;$D206&amp;"*",'2026 AC'!L$3:L$254)</f>
        <v>0</v>
      </c>
      <c r="BK206" s="53">
        <f>SUMIF('2026 AC'!$B$3:$B$254,"*"&amp;$D206&amp;"*",'2026 AC'!M$3:M$254)</f>
        <v>0</v>
      </c>
      <c r="BL206" s="93">
        <f>SUMIF('2026 AC'!$B$3:$B$254,"*"&amp;$D206&amp;"*",'2026 AC'!N$3:N$254)</f>
        <v>0</v>
      </c>
      <c r="BM206" s="92">
        <f t="shared" si="207"/>
        <v>14157.199999999999</v>
      </c>
      <c r="BN206" s="93">
        <f t="shared" si="234"/>
        <v>5599.3999999999996</v>
      </c>
      <c r="BO206" s="93">
        <f t="shared" si="235"/>
        <v>8557.7999999999993</v>
      </c>
      <c r="BP206" s="93">
        <f t="shared" si="236"/>
        <v>0</v>
      </c>
      <c r="BQ206" s="93">
        <f t="shared" si="237"/>
        <v>0</v>
      </c>
      <c r="BR206" s="92">
        <f t="shared" si="238"/>
        <v>14157.199999999999</v>
      </c>
    </row>
    <row r="207" ht="15" customHeight="1" outlineLevel="1">
      <c r="A207" s="195" t="s">
        <v>529</v>
      </c>
      <c r="C207" s="34" t="s">
        <v>530</v>
      </c>
      <c r="D207" s="35" t="s">
        <v>496</v>
      </c>
      <c r="E207" s="153">
        <f t="shared" si="182"/>
        <v>758</v>
      </c>
      <c r="F207" s="152">
        <f t="shared" si="183"/>
        <v>0</v>
      </c>
      <c r="G207" s="154">
        <f t="shared" ref="G207:G209" si="239">IFERROR((E207-F207)/F207,0)</f>
        <v>0</v>
      </c>
      <c r="H207" s="153">
        <f t="shared" si="185"/>
        <v>758</v>
      </c>
      <c r="I207" s="153">
        <f t="shared" si="186"/>
        <v>0</v>
      </c>
      <c r="J207" s="154">
        <f t="shared" ref="J207:J214" si="240">IFERROR((H207-I207)/I207,0)</f>
        <v>0</v>
      </c>
      <c r="K207" s="153">
        <f t="shared" si="187"/>
        <v>758</v>
      </c>
      <c r="L207" s="153">
        <f t="shared" si="188"/>
        <v>0</v>
      </c>
      <c r="M207" s="155">
        <f t="shared" ref="M207:M214" si="241">IFERROR((K207-L207)/L207,0)</f>
        <v>0</v>
      </c>
      <c r="O207" s="63">
        <f>SUMIF('2024 AC'!$B$3:$B$250,"*"&amp;$D207&amp;"*",'2024 AC'!C$3:C$250)</f>
        <v>0</v>
      </c>
      <c r="P207" s="53">
        <f>SUMIF('2024 AC'!$B$3:$B$250,"*"&amp;$D207&amp;"*",'2024 AC'!D$3:D$250)</f>
        <v>0</v>
      </c>
      <c r="Q207" s="53">
        <f>SUMIF('2024 AC'!$B$3:$B$250,"*"&amp;$D207&amp;"*",'2024 AC'!E$3:E$250)</f>
        <v>0</v>
      </c>
      <c r="R207" s="53">
        <f>SUMIF('2024 AC'!$B$3:$B$250,"*"&amp;$D207&amp;"*",'2024 AC'!F$3:F$250)</f>
        <v>0</v>
      </c>
      <c r="S207" s="53">
        <f>SUMIF('2024 AC'!$B$3:$B$250,"*"&amp;$D207&amp;"*",'2024 AC'!G$3:G$250)</f>
        <v>0</v>
      </c>
      <c r="T207" s="53">
        <f>SUMIF('2024 AC'!$B$3:$B$250,"*"&amp;$D207&amp;"*",'2024 AC'!H$3:H$250)</f>
        <v>0</v>
      </c>
      <c r="U207" s="53">
        <f>SUMIF('2024 AC'!$B$3:$B$250,"*"&amp;$D207&amp;"*",'2024 AC'!I$3:I$250)</f>
        <v>0</v>
      </c>
      <c r="V207" s="53">
        <f>SUMIF('2024 AC'!$B$3:$B$250,"*"&amp;$D207&amp;"*",'2024 AC'!J$3:J$250)</f>
        <v>0</v>
      </c>
      <c r="W207" s="53">
        <f>SUMIF('2024 AC'!$B$3:$B$250,"*"&amp;$D207&amp;"*",'2024 AC'!K$3:K$250)</f>
        <v>0</v>
      </c>
      <c r="X207" s="53">
        <f>SUMIF('2024 AC'!$B$3:$B$250,"*"&amp;$D207&amp;"*",'2024 AC'!L$3:L$250)</f>
        <v>0</v>
      </c>
      <c r="Y207" s="53">
        <f>SUMIF('2024 AC'!$B$3:$B$250,"*"&amp;$D207&amp;"*",'2024 AC'!M$3:M$250)</f>
        <v>0</v>
      </c>
      <c r="Z207" s="93">
        <f>SUMIF('2024 AC'!$B$3:$B$250,"*"&amp;$D207&amp;"*",'2024 AC'!N$3:N$250)</f>
        <v>0</v>
      </c>
      <c r="AA207" s="92">
        <f t="shared" si="223"/>
        <v>0</v>
      </c>
      <c r="AB207" s="93">
        <f t="shared" si="224"/>
        <v>0</v>
      </c>
      <c r="AC207" s="93">
        <f t="shared" si="225"/>
        <v>0</v>
      </c>
      <c r="AD207" s="93">
        <f t="shared" si="226"/>
        <v>0</v>
      </c>
      <c r="AE207" s="93">
        <f t="shared" si="227"/>
        <v>0</v>
      </c>
      <c r="AF207" s="92">
        <f t="shared" si="228"/>
        <v>0</v>
      </c>
      <c r="AH207" s="63">
        <f>SUMIF('2025 AC'!$B$3:$B$250,"*"&amp;$D207&amp;"*",'2025 AC'!C$3:C$250)</f>
        <v>0</v>
      </c>
      <c r="AI207" s="53">
        <f>SUMIF('2025 AC'!$B$3:$B$250,"*"&amp;$D207&amp;"*",'2025 AC'!D$3:D$250)</f>
        <v>0</v>
      </c>
      <c r="AJ207" s="53">
        <f>SUMIF('2025 AC'!$B$3:$B$250,"*"&amp;$D207&amp;"*",'2025 AC'!E$3:E$250)</f>
        <v>0</v>
      </c>
      <c r="AK207" s="53">
        <f>SUMIF('2025 AC'!$B$3:$B$250,"*"&amp;$D207&amp;"*",'2025 AC'!F$3:F$250)</f>
        <v>0</v>
      </c>
      <c r="AL207" s="53">
        <f>SUMIF('2025 AC'!$B$3:$B$250,"*"&amp;$D207&amp;"*",'2025 AC'!G$3:G$250)</f>
        <v>0</v>
      </c>
      <c r="AM207" s="53">
        <f>SUMIF('2025 AC'!$B$3:$B$250,"*"&amp;$D207&amp;"*",'2025 AC'!H$3:H$250)</f>
        <v>0</v>
      </c>
      <c r="AN207" s="53">
        <f>SUMIF('2025 AC'!$B$3:$B$250,"*"&amp;$D207&amp;"*",'2025 AC'!I$3:I$250)</f>
        <v>0</v>
      </c>
      <c r="AO207" s="53">
        <f>SUMIF('2025 AC'!$B$3:$B$250,"*"&amp;$D207&amp;"*",'2025 AC'!J$3:J$250)</f>
        <v>0</v>
      </c>
      <c r="AP207" s="53">
        <f>SUMIF('2025 AC'!$B$3:$B$250,"*"&amp;$D207&amp;"*",'2025 AC'!K$3:K$250)</f>
        <v>0</v>
      </c>
      <c r="AQ207" s="53">
        <f>SUMIF('2025 AC'!$B$3:$B$250,"*"&amp;$D207&amp;"*",'2025 AC'!L$3:L$250)</f>
        <v>0</v>
      </c>
      <c r="AR207" s="53">
        <f>SUMIF('2025 AC'!$B$3:$B$250,"*"&amp;$D207&amp;"*",'2025 AC'!M$3:M$250)</f>
        <v>760.5</v>
      </c>
      <c r="AS207" s="53">
        <f>SUMIF('2025 AC'!$B$3:$B$250,"*"&amp;$D207&amp;"*",'2025 AC'!N$3:N$250)</f>
        <v>0</v>
      </c>
      <c r="AT207" s="94">
        <f t="shared" si="206"/>
        <v>760.5</v>
      </c>
      <c r="AU207" s="93">
        <f t="shared" si="229"/>
        <v>0</v>
      </c>
      <c r="AV207" s="93">
        <f t="shared" si="230"/>
        <v>0</v>
      </c>
      <c r="AW207" s="93">
        <f t="shared" si="231"/>
        <v>0</v>
      </c>
      <c r="AX207" s="93">
        <f t="shared" si="232"/>
        <v>760.5</v>
      </c>
      <c r="AY207" s="92">
        <f t="shared" si="233"/>
        <v>760.5</v>
      </c>
      <c r="BA207" s="63">
        <f>SUMIF('2026 AC'!$B$3:$B$254,"*"&amp;$D207&amp;"*",'2026 AC'!C$3:C$254)</f>
        <v>0</v>
      </c>
      <c r="BB207" s="53">
        <f>SUMIF('2026 AC'!$B$3:$B$254,"*"&amp;$D207&amp;"*",'2026 AC'!D$3:D$254)</f>
        <v>0</v>
      </c>
      <c r="BC207" s="53">
        <f>SUMIF('2026 AC'!$B$3:$B$254,"*"&amp;$D207&amp;"*",'2026 AC'!E$3:E$254)</f>
        <v>0</v>
      </c>
      <c r="BD207" s="53">
        <f>SUMIF('2026 AC'!$B$3:$B$254,"*"&amp;$D207&amp;"*",'2026 AC'!F$3:F$254)</f>
        <v>0</v>
      </c>
      <c r="BE207" s="53">
        <f>SUMIF('2026 AC'!$B$3:$B$254,"*"&amp;$D207&amp;"*",'2026 AC'!G$3:G$254)</f>
        <v>0</v>
      </c>
      <c r="BF207" s="53">
        <f>SUMIF('2026 AC'!$B$3:$B$254,"*"&amp;$D207&amp;"*",'2026 AC'!H$3:H$254)</f>
        <v>758</v>
      </c>
      <c r="BG207" s="53">
        <f>SUMIF('2026 AC'!$B$3:$B$254,"*"&amp;$D207&amp;"*",'2026 AC'!I$3:I$254)</f>
        <v>0</v>
      </c>
      <c r="BH207" s="53">
        <f>SUMIF('2026 AC'!$B$3:$B$254,"*"&amp;$D207&amp;"*",'2026 AC'!J$3:J$254)</f>
        <v>0</v>
      </c>
      <c r="BI207" s="53">
        <f>SUMIF('2026 AC'!$B$3:$B$254,"*"&amp;$D207&amp;"*",'2026 AC'!K$3:K$254)</f>
        <v>0</v>
      </c>
      <c r="BJ207" s="53">
        <f>SUMIF('2026 AC'!$B$3:$B$254,"*"&amp;$D207&amp;"*",'2026 AC'!L$3:L$254)</f>
        <v>0</v>
      </c>
      <c r="BK207" s="53">
        <f>SUMIF('2026 AC'!$B$3:$B$254,"*"&amp;$D207&amp;"*",'2026 AC'!M$3:M$254)</f>
        <v>0</v>
      </c>
      <c r="BL207" s="93">
        <f>SUMIF('2026 AC'!$B$3:$B$254,"*"&amp;$D207&amp;"*",'2026 AC'!N$3:N$254)</f>
        <v>0</v>
      </c>
      <c r="BM207" s="92">
        <f t="shared" si="207"/>
        <v>758</v>
      </c>
      <c r="BN207" s="93">
        <f t="shared" si="234"/>
        <v>0</v>
      </c>
      <c r="BO207" s="93">
        <f t="shared" si="235"/>
        <v>758</v>
      </c>
      <c r="BP207" s="93">
        <f t="shared" si="236"/>
        <v>0</v>
      </c>
      <c r="BQ207" s="93">
        <f t="shared" si="237"/>
        <v>0</v>
      </c>
      <c r="BR207" s="92">
        <f t="shared" si="238"/>
        <v>758</v>
      </c>
    </row>
    <row r="208" ht="15" customHeight="1" outlineLevel="1">
      <c r="A208" t="s">
        <v>531</v>
      </c>
      <c r="B208" t="s">
        <v>532</v>
      </c>
      <c r="C208" s="34" t="s">
        <v>533</v>
      </c>
      <c r="D208" s="156" t="s">
        <v>499</v>
      </c>
      <c r="E208" s="153">
        <f t="shared" si="182"/>
        <v>2311.73</v>
      </c>
      <c r="F208" s="152">
        <f t="shared" si="183"/>
        <v>2360.0900000000001</v>
      </c>
      <c r="G208" s="154">
        <f t="shared" si="239"/>
        <v>-2.0490743997051013e-02</v>
      </c>
      <c r="H208" s="153">
        <f t="shared" si="185"/>
        <v>2311.73</v>
      </c>
      <c r="I208" s="153">
        <f t="shared" si="186"/>
        <v>2360.0900000000001</v>
      </c>
      <c r="J208" s="154">
        <f t="shared" si="240"/>
        <v>-2.0490743997051013e-02</v>
      </c>
      <c r="K208" s="153">
        <f t="shared" si="187"/>
        <v>2311.73</v>
      </c>
      <c r="L208" s="153">
        <f t="shared" si="188"/>
        <v>2360.0900000000001</v>
      </c>
      <c r="M208" s="155">
        <f t="shared" si="241"/>
        <v>-2.0490743997051013e-02</v>
      </c>
      <c r="O208" s="63">
        <f>SUMIF('2024 AC'!$B$3:$B$250,"*"&amp;$D208&amp;"*",'2024 AC'!C$3:C$250)</f>
        <v>0</v>
      </c>
      <c r="P208" s="53">
        <f>SUMIF('2024 AC'!$B$3:$B$250,"*"&amp;$D208&amp;"*",'2024 AC'!D$3:D$250)</f>
        <v>0</v>
      </c>
      <c r="Q208" s="53">
        <f>SUMIF('2024 AC'!$B$3:$B$250,"*"&amp;$D208&amp;"*",'2024 AC'!E$3:E$250)</f>
        <v>0</v>
      </c>
      <c r="R208" s="53">
        <f>SUMIF('2024 AC'!$B$3:$B$250,"*"&amp;$D208&amp;"*",'2024 AC'!F$3:F$250)</f>
        <v>0</v>
      </c>
      <c r="S208" s="53">
        <f>SUMIF('2024 AC'!$B$3:$B$250,"*"&amp;$D208&amp;"*",'2024 AC'!G$3:G$250)</f>
        <v>0</v>
      </c>
      <c r="T208" s="53">
        <f>SUMIF('2024 AC'!$B$3:$B$250,"*"&amp;$D208&amp;"*",'2024 AC'!H$3:H$250)</f>
        <v>2344.4299999999998</v>
      </c>
      <c r="U208" s="53">
        <f>SUMIF('2024 AC'!$B$3:$B$250,"*"&amp;$D208&amp;"*",'2024 AC'!I$3:I$250)</f>
        <v>758</v>
      </c>
      <c r="V208" s="53">
        <f>SUMIF('2024 AC'!$B$3:$B$250,"*"&amp;$D208&amp;"*",'2024 AC'!J$3:J$250)</f>
        <v>0</v>
      </c>
      <c r="W208" s="53">
        <f>SUMIF('2024 AC'!$B$3:$B$250,"*"&amp;$D208&amp;"*",'2024 AC'!K$3:K$250)</f>
        <v>0</v>
      </c>
      <c r="X208" s="53">
        <f>SUMIF('2024 AC'!$B$3:$B$250,"*"&amp;$D208&amp;"*",'2024 AC'!L$3:L$250)</f>
        <v>0</v>
      </c>
      <c r="Y208" s="53">
        <f>SUMIF('2024 AC'!$B$3:$B$250,"*"&amp;$D208&amp;"*",'2024 AC'!M$3:M$250)</f>
        <v>0</v>
      </c>
      <c r="Z208" s="93">
        <f>SUMIF('2024 AC'!$B$3:$B$250,"*"&amp;$D208&amp;"*",'2024 AC'!N$3:N$250)</f>
        <v>0</v>
      </c>
      <c r="AA208" s="92">
        <f t="shared" si="223"/>
        <v>3102.4299999999998</v>
      </c>
      <c r="AB208" s="93">
        <f t="shared" si="224"/>
        <v>0</v>
      </c>
      <c r="AC208" s="93">
        <f t="shared" si="225"/>
        <v>2344.4299999999998</v>
      </c>
      <c r="AD208" s="93">
        <f t="shared" si="226"/>
        <v>758</v>
      </c>
      <c r="AE208" s="93">
        <f t="shared" si="227"/>
        <v>0</v>
      </c>
      <c r="AF208" s="92">
        <f t="shared" si="228"/>
        <v>3102.4299999999998</v>
      </c>
      <c r="AH208" s="63">
        <f>SUMIF('2025 AC'!$B$3:$B$250,"*"&amp;$D208&amp;"*",'2025 AC'!C$3:C$250)</f>
        <v>0</v>
      </c>
      <c r="AI208" s="53">
        <f>SUMIF('2025 AC'!$B$3:$B$250,"*"&amp;$D208&amp;"*",'2025 AC'!D$3:D$250)</f>
        <v>0</v>
      </c>
      <c r="AJ208" s="53">
        <f>SUMIF('2025 AC'!$B$3:$B$250,"*"&amp;$D208&amp;"*",'2025 AC'!E$3:E$250)</f>
        <v>0</v>
      </c>
      <c r="AK208" s="53">
        <f>SUMIF('2025 AC'!$B$3:$B$250,"*"&amp;$D208&amp;"*",'2025 AC'!F$3:F$250)</f>
        <v>0</v>
      </c>
      <c r="AL208" s="53">
        <f>SUMIF('2025 AC'!$B$3:$B$250,"*"&amp;$D208&amp;"*",'2025 AC'!G$3:G$250)</f>
        <v>0</v>
      </c>
      <c r="AM208" s="53">
        <f>SUMIF('2025 AC'!$B$3:$B$250,"*"&amp;$D208&amp;"*",'2025 AC'!H$3:H$250)</f>
        <v>2360.0900000000001</v>
      </c>
      <c r="AN208" s="53">
        <f>SUMIF('2025 AC'!$B$3:$B$250,"*"&amp;$D208&amp;"*",'2025 AC'!I$3:I$250)</f>
        <v>0</v>
      </c>
      <c r="AO208" s="53">
        <f>SUMIF('2025 AC'!$B$3:$B$250,"*"&amp;$D208&amp;"*",'2025 AC'!J$3:J$250)</f>
        <v>0</v>
      </c>
      <c r="AP208" s="53">
        <f>SUMIF('2025 AC'!$B$3:$B$250,"*"&amp;$D208&amp;"*",'2025 AC'!K$3:K$250)</f>
        <v>0</v>
      </c>
      <c r="AQ208" s="53">
        <f>SUMIF('2025 AC'!$B$3:$B$250,"*"&amp;$D208&amp;"*",'2025 AC'!L$3:L$250)</f>
        <v>0</v>
      </c>
      <c r="AR208" s="53">
        <f>SUMIF('2025 AC'!$B$3:$B$250,"*"&amp;$D208&amp;"*",'2025 AC'!M$3:M$250)</f>
        <v>0</v>
      </c>
      <c r="AS208" s="53">
        <f>SUMIF('2025 AC'!$B$3:$B$250,"*"&amp;$D208&amp;"*",'2025 AC'!N$3:N$250)</f>
        <v>0</v>
      </c>
      <c r="AT208" s="94">
        <f t="shared" si="206"/>
        <v>2360.0900000000001</v>
      </c>
      <c r="AU208" s="93">
        <f t="shared" si="229"/>
        <v>0</v>
      </c>
      <c r="AV208" s="93">
        <f t="shared" si="230"/>
        <v>2360.0900000000001</v>
      </c>
      <c r="AW208" s="93">
        <f t="shared" si="231"/>
        <v>0</v>
      </c>
      <c r="AX208" s="93">
        <f t="shared" si="232"/>
        <v>0</v>
      </c>
      <c r="AY208" s="92">
        <f t="shared" si="233"/>
        <v>2360.0900000000001</v>
      </c>
      <c r="BA208" s="63">
        <f>SUMIF('2026 AC'!$B$3:$B$254,"*"&amp;$D208&amp;"*",'2026 AC'!C$3:C$254)</f>
        <v>0</v>
      </c>
      <c r="BB208" s="53">
        <f>SUMIF('2026 AC'!$B$3:$B$254,"*"&amp;$D208&amp;"*",'2026 AC'!D$3:D$254)</f>
        <v>0</v>
      </c>
      <c r="BC208" s="53">
        <f>SUMIF('2026 AC'!$B$3:$B$254,"*"&amp;$D208&amp;"*",'2026 AC'!E$3:E$254)</f>
        <v>0</v>
      </c>
      <c r="BD208" s="53">
        <f>SUMIF('2026 AC'!$B$3:$B$254,"*"&amp;$D208&amp;"*",'2026 AC'!F$3:F$254)</f>
        <v>0</v>
      </c>
      <c r="BE208" s="53">
        <f>SUMIF('2026 AC'!$B$3:$B$254,"*"&amp;$D208&amp;"*",'2026 AC'!G$3:G$254)</f>
        <v>0</v>
      </c>
      <c r="BF208" s="53">
        <f>SUMIF('2026 AC'!$B$3:$B$254,"*"&amp;$D208&amp;"*",'2026 AC'!H$3:H$254)</f>
        <v>2311.73</v>
      </c>
      <c r="BG208" s="53">
        <f>SUMIF('2026 AC'!$B$3:$B$254,"*"&amp;$D208&amp;"*",'2026 AC'!I$3:I$254)</f>
        <v>0</v>
      </c>
      <c r="BH208" s="53">
        <f>SUMIF('2026 AC'!$B$3:$B$254,"*"&amp;$D208&amp;"*",'2026 AC'!J$3:J$254)</f>
        <v>0</v>
      </c>
      <c r="BI208" s="53">
        <f>SUMIF('2026 AC'!$B$3:$B$254,"*"&amp;$D208&amp;"*",'2026 AC'!K$3:K$254)</f>
        <v>0</v>
      </c>
      <c r="BJ208" s="53">
        <f>SUMIF('2026 AC'!$B$3:$B$254,"*"&amp;$D208&amp;"*",'2026 AC'!L$3:L$254)</f>
        <v>0</v>
      </c>
      <c r="BK208" s="53">
        <f>SUMIF('2026 AC'!$B$3:$B$254,"*"&amp;$D208&amp;"*",'2026 AC'!M$3:M$254)</f>
        <v>0</v>
      </c>
      <c r="BL208" s="93">
        <f>SUMIF('2026 AC'!$B$3:$B$254,"*"&amp;$D208&amp;"*",'2026 AC'!N$3:N$254)</f>
        <v>0</v>
      </c>
      <c r="BM208" s="92">
        <f t="shared" si="207"/>
        <v>2311.73</v>
      </c>
      <c r="BN208" s="93">
        <f t="shared" si="234"/>
        <v>0</v>
      </c>
      <c r="BO208" s="93">
        <f t="shared" si="235"/>
        <v>2311.73</v>
      </c>
      <c r="BP208" s="93">
        <f t="shared" si="236"/>
        <v>0</v>
      </c>
      <c r="BQ208" s="93">
        <f t="shared" si="237"/>
        <v>0</v>
      </c>
      <c r="BR208" s="92">
        <f t="shared" si="238"/>
        <v>2311.73</v>
      </c>
    </row>
    <row r="209" outlineLevel="1">
      <c r="A209" s="195"/>
      <c r="C209" s="34" t="s">
        <v>534</v>
      </c>
      <c r="D209" s="156" t="s">
        <v>535</v>
      </c>
      <c r="E209" s="188">
        <f t="shared" si="182"/>
        <v>0</v>
      </c>
      <c r="F209" s="152">
        <f t="shared" si="183"/>
        <v>0</v>
      </c>
      <c r="G209" s="154">
        <f t="shared" si="239"/>
        <v>0</v>
      </c>
      <c r="H209" s="153">
        <f t="shared" si="185"/>
        <v>668.25</v>
      </c>
      <c r="I209" s="153">
        <f t="shared" si="186"/>
        <v>1160.75</v>
      </c>
      <c r="J209" s="154">
        <f>IFERROR((H209-I209)/I209,1)</f>
        <v>-0.42429463708808962</v>
      </c>
      <c r="K209" s="153">
        <f t="shared" si="187"/>
        <v>678.25</v>
      </c>
      <c r="L209" s="153">
        <f t="shared" si="188"/>
        <v>1160.75</v>
      </c>
      <c r="M209" s="155">
        <f>IFERROR((K209-L209)/L209,1)</f>
        <v>-0.41567951755330607</v>
      </c>
      <c r="O209" s="63">
        <f>SUMIF('2024 AC'!$B$3:$B$250,"*"&amp;$D209&amp;"*",'2024 AC'!C$3:C$250)</f>
        <v>1540</v>
      </c>
      <c r="P209" s="53">
        <f>SUMIF('2024 AC'!$B$3:$B$250,"*"&amp;$D209&amp;"*",'2024 AC'!D$3:D$250)</f>
        <v>0</v>
      </c>
      <c r="Q209" s="53">
        <f>SUMIF('2024 AC'!$B$3:$B$250,"*"&amp;$D209&amp;"*",'2024 AC'!E$3:E$250)</f>
        <v>0</v>
      </c>
      <c r="R209" s="53">
        <f>SUMIF('2024 AC'!$B$3:$B$250,"*"&amp;$D209&amp;"*",'2024 AC'!F$3:F$250)</f>
        <v>0</v>
      </c>
      <c r="S209" s="53">
        <f>SUMIF('2024 AC'!$B$3:$B$250,"*"&amp;$D209&amp;"*",'2024 AC'!G$3:G$250)</f>
        <v>830.85000000000002</v>
      </c>
      <c r="T209" s="53">
        <f>SUMIF('2024 AC'!$B$3:$B$250,"*"&amp;$D209&amp;"*",'2024 AC'!H$3:H$250)</f>
        <v>0</v>
      </c>
      <c r="U209" s="53">
        <f>SUMIF('2024 AC'!$B$3:$B$250,"*"&amp;$D209&amp;"*",'2024 AC'!I$3:I$250)</f>
        <v>0</v>
      </c>
      <c r="V209" s="53">
        <f>SUMIF('2024 AC'!$B$3:$B$250,"*"&amp;$D209&amp;"*",'2024 AC'!J$3:J$250)</f>
        <v>0</v>
      </c>
      <c r="W209" s="53">
        <f>SUMIF('2024 AC'!$B$3:$B$250,"*"&amp;$D209&amp;"*",'2024 AC'!K$3:K$250)</f>
        <v>0</v>
      </c>
      <c r="X209" s="53">
        <f>SUMIF('2024 AC'!$B$3:$B$250,"*"&amp;$D209&amp;"*",'2024 AC'!L$3:L$250)</f>
        <v>0</v>
      </c>
      <c r="Y209" s="53">
        <f>SUMIF('2024 AC'!$B$3:$B$250,"*"&amp;$D209&amp;"*",'2024 AC'!M$3:M$250)</f>
        <v>1504.25</v>
      </c>
      <c r="Z209" s="93">
        <f>SUMIF('2024 AC'!$B$3:$B$250,"*"&amp;$D209&amp;"*",'2024 AC'!N$3:N$250)</f>
        <v>0</v>
      </c>
      <c r="AA209" s="92">
        <f t="shared" si="223"/>
        <v>3875.0999999999999</v>
      </c>
      <c r="AB209" s="93">
        <f t="shared" si="224"/>
        <v>1540</v>
      </c>
      <c r="AC209" s="93">
        <f t="shared" si="225"/>
        <v>830.85000000000002</v>
      </c>
      <c r="AD209" s="93">
        <f t="shared" si="226"/>
        <v>0</v>
      </c>
      <c r="AE209" s="93">
        <f t="shared" si="227"/>
        <v>1504.25</v>
      </c>
      <c r="AF209" s="92">
        <f t="shared" si="228"/>
        <v>3875.0999999999999</v>
      </c>
      <c r="AH209" s="63">
        <f>SUMIF('2025 AC'!$B$3:$B$250,"*"&amp;$D209&amp;"*",'2025 AC'!C$3:C$250)</f>
        <v>0</v>
      </c>
      <c r="AI209" s="53">
        <f>SUMIF('2025 AC'!$B$3:$B$250,"*"&amp;$D209&amp;"*",'2025 AC'!D$3:D$250)</f>
        <v>0</v>
      </c>
      <c r="AJ209" s="53">
        <f>SUMIF('2025 AC'!$B$3:$B$250,"*"&amp;$D209&amp;"*",'2025 AC'!E$3:E$250)</f>
        <v>0</v>
      </c>
      <c r="AK209" s="53">
        <f>SUMIF('2025 AC'!$B$3:$B$250,"*"&amp;$D209&amp;"*",'2025 AC'!F$3:F$250)</f>
        <v>0</v>
      </c>
      <c r="AL209" s="53">
        <f>SUMIF('2025 AC'!$B$3:$B$250,"*"&amp;$D209&amp;"*",'2025 AC'!G$3:G$250)</f>
        <v>1160.75</v>
      </c>
      <c r="AM209" s="53">
        <f>SUMIF('2025 AC'!$B$3:$B$250,"*"&amp;$D209&amp;"*",'2025 AC'!H$3:H$250)</f>
        <v>0</v>
      </c>
      <c r="AN209" s="53">
        <f>SUMIF('2025 AC'!$B$3:$B$250,"*"&amp;$D209&amp;"*",'2025 AC'!I$3:I$250)</f>
        <v>0</v>
      </c>
      <c r="AO209" s="53">
        <f>SUMIF('2025 AC'!$B$3:$B$250,"*"&amp;$D209&amp;"*",'2025 AC'!J$3:J$250)</f>
        <v>0</v>
      </c>
      <c r="AP209" s="53">
        <f>SUMIF('2025 AC'!$B$3:$B$250,"*"&amp;$D209&amp;"*",'2025 AC'!K$3:K$250)</f>
        <v>0</v>
      </c>
      <c r="AQ209" s="53">
        <f>SUMIF('2025 AC'!$B$3:$B$250,"*"&amp;$D209&amp;"*",'2025 AC'!L$3:L$250)</f>
        <v>0</v>
      </c>
      <c r="AR209" s="53">
        <f>SUMIF('2025 AC'!$B$3:$B$250,"*"&amp;$D209&amp;"*",'2025 AC'!M$3:M$250)</f>
        <v>1098.45</v>
      </c>
      <c r="AS209" s="53">
        <f>SUMIF('2025 AC'!$B$3:$B$250,"*"&amp;$D209&amp;"*",'2025 AC'!N$3:N$250)</f>
        <v>0</v>
      </c>
      <c r="AT209" s="94">
        <f t="shared" si="206"/>
        <v>2259.1999999999998</v>
      </c>
      <c r="AU209" s="93">
        <f t="shared" si="229"/>
        <v>0</v>
      </c>
      <c r="AV209" s="93">
        <f t="shared" si="230"/>
        <v>1160.75</v>
      </c>
      <c r="AW209" s="93">
        <f t="shared" si="231"/>
        <v>0</v>
      </c>
      <c r="AX209" s="93">
        <f t="shared" si="232"/>
        <v>1098.45</v>
      </c>
      <c r="AY209" s="92">
        <f t="shared" si="233"/>
        <v>2259.1999999999998</v>
      </c>
      <c r="BA209" s="63">
        <f>SUMIF('2026 AC'!$B$3:$B$254,"*"&amp;$D209&amp;"*",'2026 AC'!C$3:C$254)</f>
        <v>10</v>
      </c>
      <c r="BB209" s="53">
        <f>SUMIF('2026 AC'!$B$3:$B$254,"*"&amp;$D209&amp;"*",'2026 AC'!D$3:D$254)</f>
        <v>0</v>
      </c>
      <c r="BC209" s="53">
        <f>SUMIF('2026 AC'!$B$3:$B$254,"*"&amp;$D209&amp;"*",'2026 AC'!E$3:E$254)</f>
        <v>0</v>
      </c>
      <c r="BD209" s="53">
        <f>SUMIF('2026 AC'!$B$3:$B$254,"*"&amp;$D209&amp;"*",'2026 AC'!F$3:F$254)</f>
        <v>0</v>
      </c>
      <c r="BE209" s="53">
        <f>SUMIF('2026 AC'!$B$3:$B$254,"*"&amp;$D209&amp;"*",'2026 AC'!G$3:G$254)</f>
        <v>668.25</v>
      </c>
      <c r="BF209" s="53">
        <f>SUMIF('2026 AC'!$B$3:$B$254,"*"&amp;$D209&amp;"*",'2026 AC'!H$3:H$254)</f>
        <v>0</v>
      </c>
      <c r="BG209" s="53">
        <f>SUMIF('2026 AC'!$B$3:$B$254,"*"&amp;$D209&amp;"*",'2026 AC'!I$3:I$254)</f>
        <v>0</v>
      </c>
      <c r="BH209" s="53">
        <f>SUMIF('2026 AC'!$B$3:$B$254,"*"&amp;$D209&amp;"*",'2026 AC'!J$3:J$254)</f>
        <v>0</v>
      </c>
      <c r="BI209" s="53">
        <f>SUMIF('2026 AC'!$B$3:$B$254,"*"&amp;$D209&amp;"*",'2026 AC'!K$3:K$254)</f>
        <v>0</v>
      </c>
      <c r="BJ209" s="53">
        <f>SUMIF('2026 AC'!$B$3:$B$254,"*"&amp;$D209&amp;"*",'2026 AC'!L$3:L$254)</f>
        <v>0</v>
      </c>
      <c r="BK209" s="53">
        <f>SUMIF('2026 AC'!$B$3:$B$254,"*"&amp;$D209&amp;"*",'2026 AC'!M$3:M$254)</f>
        <v>0</v>
      </c>
      <c r="BL209" s="93">
        <f>SUMIF('2026 AC'!$B$3:$B$254,"*"&amp;$D209&amp;"*",'2026 AC'!N$3:N$254)</f>
        <v>0</v>
      </c>
      <c r="BM209" s="92">
        <f t="shared" si="207"/>
        <v>678.25</v>
      </c>
      <c r="BN209" s="93">
        <f t="shared" si="234"/>
        <v>10</v>
      </c>
      <c r="BO209" s="93">
        <f t="shared" si="235"/>
        <v>668.25</v>
      </c>
      <c r="BP209" s="93">
        <f t="shared" si="236"/>
        <v>0</v>
      </c>
      <c r="BQ209" s="93">
        <f t="shared" si="237"/>
        <v>0</v>
      </c>
      <c r="BR209" s="92">
        <f t="shared" si="238"/>
        <v>678.25</v>
      </c>
    </row>
    <row r="210" s="137" customFormat="1">
      <c r="A210" s="196" t="s">
        <v>536</v>
      </c>
      <c r="C210" s="173" t="s">
        <v>537</v>
      </c>
      <c r="D210" s="139" t="s">
        <v>502</v>
      </c>
      <c r="E210" s="143">
        <f t="shared" si="182"/>
        <v>500</v>
      </c>
      <c r="F210" s="141">
        <f t="shared" si="183"/>
        <v>1800</v>
      </c>
      <c r="G210" s="142">
        <f>(E210-F210)/F210</f>
        <v>-0.72222222222222221</v>
      </c>
      <c r="H210" s="143">
        <f t="shared" si="185"/>
        <v>1740.5</v>
      </c>
      <c r="I210" s="143">
        <f t="shared" si="186"/>
        <v>1850</v>
      </c>
      <c r="J210" s="142">
        <f>(H210-I210)/I210</f>
        <v>-5.9189189189189188e-02</v>
      </c>
      <c r="K210" s="143">
        <f t="shared" si="187"/>
        <v>3279.5</v>
      </c>
      <c r="L210" s="143">
        <f t="shared" si="188"/>
        <v>3325</v>
      </c>
      <c r="M210" s="144">
        <f>(K210-L210)/L210</f>
        <v>-1.368421052631579e-02</v>
      </c>
      <c r="O210" s="145">
        <f>SUMIF('2024 AC'!$B$3:$B$250,"*"&amp;$D210&amp;"*",'2024 AC'!C$3:C$250)</f>
        <v>0</v>
      </c>
      <c r="P210" s="146">
        <f>SUMIF('2024 AC'!$B$3:$B$250,"*"&amp;$D210&amp;"*",'2024 AC'!D$3:D$250)</f>
        <v>0</v>
      </c>
      <c r="Q210" s="146">
        <f>SUMIF('2024 AC'!$B$3:$B$250,"*"&amp;$D210&amp;"*",'2024 AC'!E$3:E$250)</f>
        <v>93.799999999999997</v>
      </c>
      <c r="R210" s="146">
        <f>SUMIF('2024 AC'!$B$3:$B$250,"*"&amp;$D210&amp;"*",'2024 AC'!F$3:F$250)</f>
        <v>1909.3</v>
      </c>
      <c r="S210" s="146">
        <f>SUMIF('2024 AC'!$B$3:$B$250,"*"&amp;$D210&amp;"*",'2024 AC'!G$3:G$250)</f>
        <v>1465.5</v>
      </c>
      <c r="T210" s="146">
        <f>SUMIF('2024 AC'!$B$3:$B$250,"*"&amp;$D210&amp;"*",'2024 AC'!H$3:H$250)</f>
        <v>1710</v>
      </c>
      <c r="U210" s="146">
        <f>SUMIF('2024 AC'!$B$3:$B$250,"*"&amp;$D210&amp;"*",'2024 AC'!I$3:I$250)</f>
        <v>731</v>
      </c>
      <c r="V210" s="146">
        <f>SUMIF('2024 AC'!$B$3:$B$250,"*"&amp;$D210&amp;"*",'2024 AC'!J$3:J$250)</f>
        <v>1932</v>
      </c>
      <c r="W210" s="146">
        <f>SUMIF('2024 AC'!$B$3:$B$250,"*"&amp;$D210&amp;"*",'2024 AC'!K$3:K$250)</f>
        <v>700</v>
      </c>
      <c r="X210" s="146">
        <f>SUMIF('2024 AC'!$B$3:$B$250,"*"&amp;$D210&amp;"*",'2024 AC'!L$3:L$250)</f>
        <v>800</v>
      </c>
      <c r="Y210" s="146">
        <f>SUMIF('2024 AC'!$B$3:$B$250,"*"&amp;$D210&amp;"*",'2024 AC'!M$3:M$250)</f>
        <v>1182</v>
      </c>
      <c r="Z210" s="147">
        <f>SUMIF('2024 AC'!$B$3:$B$250,"*"&amp;$D210&amp;"*",'2024 AC'!N$3:N$250)</f>
        <v>800</v>
      </c>
      <c r="AA210" s="148">
        <f t="shared" si="223"/>
        <v>11323.6</v>
      </c>
      <c r="AB210" s="147">
        <f t="shared" si="224"/>
        <v>93.799999999999997</v>
      </c>
      <c r="AC210" s="147">
        <f t="shared" si="225"/>
        <v>5084.8000000000002</v>
      </c>
      <c r="AD210" s="147">
        <f t="shared" si="226"/>
        <v>3363</v>
      </c>
      <c r="AE210" s="147">
        <f t="shared" si="227"/>
        <v>2782</v>
      </c>
      <c r="AF210" s="148">
        <f t="shared" si="228"/>
        <v>11323.6</v>
      </c>
      <c r="AH210" s="145">
        <f>SUMIF('2025 AC'!$B$3:$B$250,"*"&amp;$D210&amp;"*",'2025 AC'!C$3:C$250)</f>
        <v>0</v>
      </c>
      <c r="AI210" s="146">
        <f>SUMIF('2025 AC'!$B$3:$B$250,"*"&amp;$D210&amp;"*",'2025 AC'!D$3:D$250)</f>
        <v>1400</v>
      </c>
      <c r="AJ210" s="146">
        <f>SUMIF('2025 AC'!$B$3:$B$250,"*"&amp;$D210&amp;"*",'2025 AC'!E$3:E$250)</f>
        <v>75</v>
      </c>
      <c r="AK210" s="146">
        <f>SUMIF('2025 AC'!$B$3:$B$250,"*"&amp;$D210&amp;"*",'2025 AC'!F$3:F$250)</f>
        <v>50</v>
      </c>
      <c r="AL210" s="146">
        <f>SUMIF('2025 AC'!$B$3:$B$250,"*"&amp;$D210&amp;"*",'2025 AC'!G$3:G$250)</f>
        <v>0</v>
      </c>
      <c r="AM210" s="146">
        <f>SUMIF('2025 AC'!$B$3:$B$250,"*"&amp;$D210&amp;"*",'2025 AC'!H$3:H$250)</f>
        <v>1800</v>
      </c>
      <c r="AN210" s="146">
        <f>SUMIF('2025 AC'!$B$3:$B$250,"*"&amp;$D210&amp;"*",'2025 AC'!I$3:I$250)</f>
        <v>4060</v>
      </c>
      <c r="AO210" s="146">
        <f>SUMIF('2025 AC'!$B$3:$B$250,"*"&amp;$D210&amp;"*",'2025 AC'!J$3:J$250)</f>
        <v>1000</v>
      </c>
      <c r="AP210" s="146">
        <f>SUMIF('2025 AC'!$B$3:$B$250,"*"&amp;$D210&amp;"*",'2025 AC'!K$3:K$250)</f>
        <v>659</v>
      </c>
      <c r="AQ210" s="146">
        <f>SUMIF('2025 AC'!$B$3:$B$250,"*"&amp;$D210&amp;"*",'2025 AC'!L$3:L$250)</f>
        <v>500</v>
      </c>
      <c r="AR210" s="146">
        <f>SUMIF('2025 AC'!$B$3:$B$250,"*"&amp;$D210&amp;"*",'2025 AC'!M$3:M$250)</f>
        <v>570</v>
      </c>
      <c r="AS210" s="146">
        <f>SUMIF('2025 AC'!$B$3:$B$250,"*"&amp;$D210&amp;"*",'2025 AC'!N$3:N$250)</f>
        <v>1094</v>
      </c>
      <c r="AT210" s="149">
        <f t="shared" si="206"/>
        <v>11208</v>
      </c>
      <c r="AU210" s="147">
        <f t="shared" si="229"/>
        <v>1475</v>
      </c>
      <c r="AV210" s="147">
        <f t="shared" si="230"/>
        <v>1850</v>
      </c>
      <c r="AW210" s="147">
        <f t="shared" si="231"/>
        <v>5719</v>
      </c>
      <c r="AX210" s="147">
        <f t="shared" si="232"/>
        <v>2164</v>
      </c>
      <c r="AY210" s="148">
        <f t="shared" si="233"/>
        <v>11208</v>
      </c>
      <c r="BA210" s="145">
        <f>SUMIF('2026 AC'!$B$3:$B$254,"*"&amp;$D210&amp;"*",'2026 AC'!C$3:C$254)</f>
        <v>539</v>
      </c>
      <c r="BB210" s="146">
        <f>SUMIF('2026 AC'!$B$3:$B$254,"*"&amp;$D210&amp;"*",'2026 AC'!D$3:D$254)</f>
        <v>500</v>
      </c>
      <c r="BC210" s="146">
        <f>SUMIF('2026 AC'!$B$3:$B$254,"*"&amp;$D210&amp;"*",'2026 AC'!E$3:E$254)</f>
        <v>500</v>
      </c>
      <c r="BD210" s="146">
        <f>SUMIF('2026 AC'!$B$3:$B$254,"*"&amp;$D210&amp;"*",'2026 AC'!F$3:F$254)</f>
        <v>677</v>
      </c>
      <c r="BE210" s="197">
        <f>SUMIF('2026 AC'!$B$3:$B$254,"*"&amp;$D210&amp;"*",'2026 AC'!G$3:G$254)</f>
        <v>563.5</v>
      </c>
      <c r="BF210" s="146">
        <f>SUMIF('2026 AC'!$B$3:$B$254,"*"&amp;$D210&amp;"*",'2026 AC'!H$3:H$254)</f>
        <v>500</v>
      </c>
      <c r="BG210" s="146">
        <f>SUMIF('2026 AC'!$B$3:$B$254,"*"&amp;$D210&amp;"*",'2026 AC'!I$3:I$254)</f>
        <v>0</v>
      </c>
      <c r="BH210" s="146">
        <f>SUMIF('2026 AC'!$B$3:$B$254,"*"&amp;$D210&amp;"*",'2026 AC'!J$3:J$254)</f>
        <v>0</v>
      </c>
      <c r="BI210" s="146">
        <f>SUMIF('2026 AC'!$B$3:$B$254,"*"&amp;$D210&amp;"*",'2026 AC'!K$3:K$254)</f>
        <v>0</v>
      </c>
      <c r="BJ210" s="146">
        <f>SUMIF('2026 AC'!$B$3:$B$254,"*"&amp;$D210&amp;"*",'2026 AC'!L$3:L$254)</f>
        <v>0</v>
      </c>
      <c r="BK210" s="146">
        <f>SUMIF('2026 AC'!$B$3:$B$254,"*"&amp;$D210&amp;"*",'2026 AC'!M$3:M$254)</f>
        <v>0</v>
      </c>
      <c r="BL210" s="147">
        <f>SUMIF('2026 AC'!$B$3:$B$254,"*"&amp;$D210&amp;"*",'2026 AC'!N$3:N$254)</f>
        <v>0</v>
      </c>
      <c r="BM210" s="148">
        <f t="shared" si="207"/>
        <v>3279.5</v>
      </c>
      <c r="BN210" s="147">
        <f t="shared" si="234"/>
        <v>1539</v>
      </c>
      <c r="BO210" s="147">
        <f t="shared" si="235"/>
        <v>1740.5</v>
      </c>
      <c r="BP210" s="147">
        <f t="shared" si="236"/>
        <v>0</v>
      </c>
      <c r="BQ210" s="147">
        <f t="shared" si="237"/>
        <v>0</v>
      </c>
      <c r="BR210" s="148">
        <f t="shared" si="238"/>
        <v>3279.5</v>
      </c>
    </row>
    <row r="211" s="164" customFormat="1" ht="15" customHeight="1" outlineLevel="1">
      <c r="A211" s="185" t="s">
        <v>538</v>
      </c>
      <c r="C211" s="165" t="s">
        <v>539</v>
      </c>
      <c r="D211" s="166" t="s">
        <v>505</v>
      </c>
      <c r="E211" s="167">
        <f t="shared" si="182"/>
        <v>0</v>
      </c>
      <c r="F211" s="198">
        <f t="shared" si="183"/>
        <v>0</v>
      </c>
      <c r="G211" s="154">
        <f t="shared" ref="G211:G214" si="242">IFERROR((E211-F211)/F211,0)</f>
        <v>0</v>
      </c>
      <c r="H211" s="167">
        <f t="shared" si="185"/>
        <v>0</v>
      </c>
      <c r="I211" s="167">
        <f t="shared" si="186"/>
        <v>0</v>
      </c>
      <c r="J211" s="154">
        <f t="shared" si="240"/>
        <v>0</v>
      </c>
      <c r="K211" s="167">
        <f t="shared" si="187"/>
        <v>0</v>
      </c>
      <c r="L211" s="167">
        <f t="shared" si="188"/>
        <v>0</v>
      </c>
      <c r="M211" s="155">
        <f t="shared" si="241"/>
        <v>0</v>
      </c>
      <c r="O211" s="168">
        <f>SUMIF('2024 AC'!$B$3:$B$250,"*"&amp;$D211&amp;"*",'2024 AC'!C$3:C$250)</f>
        <v>0</v>
      </c>
      <c r="P211" s="169">
        <f>SUMIF('2024 AC'!$B$3:$B$250,"*"&amp;$D211&amp;"*",'2024 AC'!D$3:D$250)</f>
        <v>0</v>
      </c>
      <c r="Q211" s="169">
        <f>SUMIF('2024 AC'!$B$3:$B$250,"*"&amp;$D211&amp;"*",'2024 AC'!E$3:E$250)</f>
        <v>0</v>
      </c>
      <c r="R211" s="169">
        <f>SUMIF('2024 AC'!$B$3:$B$250,"*"&amp;$D211&amp;"*",'2024 AC'!F$3:F$250)</f>
        <v>0</v>
      </c>
      <c r="S211" s="169">
        <f>SUMIF('2024 AC'!$B$3:$B$250,"*"&amp;$D211&amp;"*",'2024 AC'!G$3:G$250)</f>
        <v>0</v>
      </c>
      <c r="T211" s="169">
        <f>SUMIF('2024 AC'!$B$3:$B$250,"*"&amp;$D211&amp;"*",'2024 AC'!H$3:H$250)</f>
        <v>0</v>
      </c>
      <c r="U211" s="169">
        <f>SUMIF('2024 AC'!$B$3:$B$250,"*"&amp;$D211&amp;"*",'2024 AC'!I$3:I$250)</f>
        <v>0</v>
      </c>
      <c r="V211" s="169">
        <f>SUMIF('2024 AC'!$B$3:$B$250,"*"&amp;$D211&amp;"*",'2024 AC'!J$3:J$250)</f>
        <v>0</v>
      </c>
      <c r="W211" s="169">
        <f>SUMIF('2024 AC'!$B$3:$B$250,"*"&amp;$D211&amp;"*",'2024 AC'!K$3:K$250)</f>
        <v>0</v>
      </c>
      <c r="X211" s="169">
        <f>SUMIF('2024 AC'!$B$3:$B$250,"*"&amp;$D211&amp;"*",'2024 AC'!L$3:L$250)</f>
        <v>0</v>
      </c>
      <c r="Y211" s="169">
        <f>SUMIF('2024 AC'!$B$3:$B$250,"*"&amp;$D211&amp;"*",'2024 AC'!M$3:M$250)</f>
        <v>0</v>
      </c>
      <c r="Z211" s="170">
        <f>SUMIF('2024 AC'!$B$3:$B$250,"*"&amp;$D211&amp;"*",'2024 AC'!N$3:N$250)</f>
        <v>0</v>
      </c>
      <c r="AA211" s="171">
        <f t="shared" si="223"/>
        <v>0</v>
      </c>
      <c r="AB211" s="170">
        <f t="shared" si="224"/>
        <v>0</v>
      </c>
      <c r="AC211" s="170">
        <f t="shared" si="225"/>
        <v>0</v>
      </c>
      <c r="AD211" s="170">
        <f t="shared" si="226"/>
        <v>0</v>
      </c>
      <c r="AE211" s="170">
        <f t="shared" si="227"/>
        <v>0</v>
      </c>
      <c r="AF211" s="171">
        <f t="shared" si="228"/>
        <v>0</v>
      </c>
      <c r="AH211" s="168">
        <f>SUMIF('2025 AC'!$B$3:$B$250,"*"&amp;$D211&amp;"*",'2025 AC'!C$3:C$250)</f>
        <v>0</v>
      </c>
      <c r="AI211" s="169">
        <f>SUMIF('2025 AC'!$B$3:$B$250,"*"&amp;$D211&amp;"*",'2025 AC'!D$3:D$250)</f>
        <v>0</v>
      </c>
      <c r="AJ211" s="169">
        <f>SUMIF('2025 AC'!$B$3:$B$250,"*"&amp;$D211&amp;"*",'2025 AC'!E$3:E$250)</f>
        <v>0</v>
      </c>
      <c r="AK211" s="169">
        <f>SUMIF('2025 AC'!$B$3:$B$250,"*"&amp;$D211&amp;"*",'2025 AC'!F$3:F$250)</f>
        <v>0</v>
      </c>
      <c r="AL211" s="169">
        <f>SUMIF('2025 AC'!$B$3:$B$250,"*"&amp;$D211&amp;"*",'2025 AC'!G$3:G$250)</f>
        <v>0</v>
      </c>
      <c r="AM211" s="169">
        <f>SUMIF('2025 AC'!$B$3:$B$250,"*"&amp;$D211&amp;"*",'2025 AC'!H$3:H$250)</f>
        <v>0</v>
      </c>
      <c r="AN211" s="169">
        <f>SUMIF('2025 AC'!$B$3:$B$250,"*"&amp;$D211&amp;"*",'2025 AC'!I$3:I$250)</f>
        <v>0</v>
      </c>
      <c r="AO211" s="169">
        <f>SUMIF('2025 AC'!$B$3:$B$250,"*"&amp;$D211&amp;"*",'2025 AC'!J$3:J$250)</f>
        <v>0</v>
      </c>
      <c r="AP211" s="169">
        <f>SUMIF('2025 AC'!$B$3:$B$250,"*"&amp;$D211&amp;"*",'2025 AC'!K$3:K$250)</f>
        <v>0</v>
      </c>
      <c r="AQ211" s="169">
        <f>SUMIF('2025 AC'!$B$3:$B$250,"*"&amp;$D211&amp;"*",'2025 AC'!L$3:L$250)</f>
        <v>0</v>
      </c>
      <c r="AR211" s="169">
        <f>SUMIF('2025 AC'!$B$3:$B$250,"*"&amp;$D211&amp;"*",'2025 AC'!M$3:M$250)</f>
        <v>0</v>
      </c>
      <c r="AS211" s="169">
        <f>SUMIF('2025 AC'!$B$3:$B$250,"*"&amp;$D211&amp;"*",'2025 AC'!N$3:N$250)</f>
        <v>0</v>
      </c>
      <c r="AT211" s="172">
        <f t="shared" si="206"/>
        <v>0</v>
      </c>
      <c r="AU211" s="170">
        <f t="shared" si="229"/>
        <v>0</v>
      </c>
      <c r="AV211" s="170">
        <f t="shared" si="230"/>
        <v>0</v>
      </c>
      <c r="AW211" s="170">
        <f t="shared" si="231"/>
        <v>0</v>
      </c>
      <c r="AX211" s="170">
        <f t="shared" si="232"/>
        <v>0</v>
      </c>
      <c r="AY211" s="171">
        <f t="shared" si="233"/>
        <v>0</v>
      </c>
      <c r="BA211" s="168">
        <f>SUMIF('2026 AC'!$B$3:$B$254,"*"&amp;$D211&amp;"*",'2026 AC'!C$3:C$254)</f>
        <v>0</v>
      </c>
      <c r="BB211" s="169">
        <f>SUMIF('2026 AC'!$B$3:$B$254,"*"&amp;$D211&amp;"*",'2026 AC'!D$3:D$254)</f>
        <v>0</v>
      </c>
      <c r="BC211" s="169">
        <f>SUMIF('2026 AC'!$B$3:$B$254,"*"&amp;$D211&amp;"*",'2026 AC'!E$3:E$254)</f>
        <v>0</v>
      </c>
      <c r="BD211" s="169">
        <f>SUMIF('2026 AC'!$B$3:$B$254,"*"&amp;$D211&amp;"*",'2026 AC'!F$3:F$254)</f>
        <v>0</v>
      </c>
      <c r="BE211" s="53">
        <f>SUMIF('2026 AC'!$B$3:$B$254,"*"&amp;$D211&amp;"*",'2026 AC'!G$3:G$254)</f>
        <v>0</v>
      </c>
      <c r="BF211" s="169">
        <f>SUMIF('2026 AC'!$B$3:$B$254,"*"&amp;$D211&amp;"*",'2026 AC'!H$3:H$254)</f>
        <v>0</v>
      </c>
      <c r="BG211" s="169">
        <f>SUMIF('2026 AC'!$B$3:$B$254,"*"&amp;$D211&amp;"*",'2026 AC'!I$3:I$254)</f>
        <v>0</v>
      </c>
      <c r="BH211" s="169">
        <f>SUMIF('2026 AC'!$B$3:$B$254,"*"&amp;$D211&amp;"*",'2026 AC'!J$3:J$254)</f>
        <v>0</v>
      </c>
      <c r="BI211" s="169">
        <f>SUMIF('2026 AC'!$B$3:$B$254,"*"&amp;$D211&amp;"*",'2026 AC'!K$3:K$254)</f>
        <v>0</v>
      </c>
      <c r="BJ211" s="169">
        <f>SUMIF('2026 AC'!$B$3:$B$254,"*"&amp;$D211&amp;"*",'2026 AC'!L$3:L$254)</f>
        <v>0</v>
      </c>
      <c r="BK211" s="169">
        <f>SUMIF('2026 AC'!$B$3:$B$254,"*"&amp;$D211&amp;"*",'2026 AC'!M$3:M$254)</f>
        <v>0</v>
      </c>
      <c r="BL211" s="170">
        <f>SUMIF('2026 AC'!$B$3:$B$254,"*"&amp;$D211&amp;"*",'2026 AC'!N$3:N$254)</f>
        <v>0</v>
      </c>
      <c r="BM211" s="171">
        <f t="shared" si="207"/>
        <v>0</v>
      </c>
      <c r="BN211" s="170">
        <f t="shared" si="234"/>
        <v>0</v>
      </c>
      <c r="BO211" s="170">
        <f t="shared" si="235"/>
        <v>0</v>
      </c>
      <c r="BP211" s="170">
        <f t="shared" si="236"/>
        <v>0</v>
      </c>
      <c r="BQ211" s="170">
        <f t="shared" si="237"/>
        <v>0</v>
      </c>
      <c r="BR211" s="171">
        <f t="shared" si="238"/>
        <v>0</v>
      </c>
    </row>
    <row r="212" s="137" customFormat="1" ht="15" customHeight="1">
      <c r="A212" s="196"/>
      <c r="C212" s="173" t="s">
        <v>540</v>
      </c>
      <c r="D212" s="139" t="s">
        <v>508</v>
      </c>
      <c r="E212" s="143">
        <f t="shared" si="182"/>
        <v>19120.75</v>
      </c>
      <c r="F212" s="199">
        <f t="shared" si="183"/>
        <v>0</v>
      </c>
      <c r="G212" s="161">
        <f t="shared" si="242"/>
        <v>0</v>
      </c>
      <c r="H212" s="143">
        <f t="shared" si="185"/>
        <v>57362.25</v>
      </c>
      <c r="I212" s="143">
        <f t="shared" si="186"/>
        <v>0</v>
      </c>
      <c r="J212" s="161">
        <f t="shared" si="240"/>
        <v>0</v>
      </c>
      <c r="K212" s="143">
        <f t="shared" si="187"/>
        <v>114724.5</v>
      </c>
      <c r="L212" s="143">
        <f t="shared" si="188"/>
        <v>0</v>
      </c>
      <c r="M212" s="163">
        <f t="shared" si="241"/>
        <v>0</v>
      </c>
      <c r="O212" s="145">
        <f>SUMIF('2024 AC'!$B$3:$B$250,"*"&amp;$D212&amp;"*",'2024 AC'!C$3:C$250)</f>
        <v>0</v>
      </c>
      <c r="P212" s="146">
        <f>SUMIF('2024 AC'!$B$3:$B$250,"*"&amp;$D212&amp;"*",'2024 AC'!D$3:D$250)</f>
        <v>0</v>
      </c>
      <c r="Q212" s="146">
        <f>SUMIF('2024 AC'!$B$3:$B$250,"*"&amp;$D212&amp;"*",'2024 AC'!E$3:E$250)</f>
        <v>0</v>
      </c>
      <c r="R212" s="146">
        <f>SUMIF('2024 AC'!$B$3:$B$250,"*"&amp;$D212&amp;"*",'2024 AC'!F$3:F$250)</f>
        <v>0</v>
      </c>
      <c r="S212" s="146">
        <f>SUMIF('2024 AC'!$B$3:$B$250,"*"&amp;$D212&amp;"*",'2024 AC'!G$3:G$250)</f>
        <v>29832</v>
      </c>
      <c r="T212" s="146">
        <f>SUMIF('2024 AC'!$B$3:$B$250,"*"&amp;$D212&amp;"*",'2024 AC'!H$3:H$250)</f>
        <v>1353</v>
      </c>
      <c r="U212" s="146">
        <f>SUMIF('2024 AC'!$B$3:$B$250,"*"&amp;$D212&amp;"*",'2024 AC'!I$3:I$250)</f>
        <v>99132</v>
      </c>
      <c r="V212" s="146">
        <f>SUMIF('2024 AC'!$B$3:$B$250,"*"&amp;$D212&amp;"*",'2024 AC'!J$3:J$250)</f>
        <v>99132</v>
      </c>
      <c r="W212" s="146">
        <f>SUMIF('2024 AC'!$B$3:$B$250,"*"&amp;$D212&amp;"*",'2024 AC'!K$3:K$250)</f>
        <v>0</v>
      </c>
      <c r="X212" s="146">
        <f>SUMIF('2024 AC'!$B$3:$B$250,"*"&amp;$D212&amp;"*",'2024 AC'!L$3:L$250)</f>
        <v>0</v>
      </c>
      <c r="Y212" s="146">
        <f>SUMIF('2024 AC'!$B$3:$B$250,"*"&amp;$D212&amp;"*",'2024 AC'!M$3:M$250)</f>
        <v>0</v>
      </c>
      <c r="Z212" s="147">
        <f>SUMIF('2024 AC'!$B$3:$B$250,"*"&amp;$D212&amp;"*",'2024 AC'!N$3:N$250)</f>
        <v>0</v>
      </c>
      <c r="AA212" s="148">
        <f t="shared" si="223"/>
        <v>229449</v>
      </c>
      <c r="AB212" s="147">
        <f t="shared" si="224"/>
        <v>0</v>
      </c>
      <c r="AC212" s="147">
        <f t="shared" si="225"/>
        <v>31185</v>
      </c>
      <c r="AD212" s="147">
        <f t="shared" si="226"/>
        <v>198264</v>
      </c>
      <c r="AE212" s="147">
        <f t="shared" si="227"/>
        <v>0</v>
      </c>
      <c r="AF212" s="148">
        <f t="shared" si="228"/>
        <v>229449</v>
      </c>
      <c r="AH212" s="145">
        <f>SUMIF('2025 AC'!$B$3:$B$250,"*"&amp;$D212&amp;"*",'2025 AC'!C$3:C$250)</f>
        <v>0</v>
      </c>
      <c r="AI212" s="146">
        <f>SUMIF('2025 AC'!$B$3:$B$250,"*"&amp;$D212&amp;"*",'2025 AC'!D$3:D$250)</f>
        <v>0</v>
      </c>
      <c r="AJ212" s="146">
        <f>SUMIF('2025 AC'!$B$3:$B$250,"*"&amp;$D212&amp;"*",'2025 AC'!E$3:E$250)</f>
        <v>0</v>
      </c>
      <c r="AK212" s="146">
        <f>SUMIF('2025 AC'!$B$3:$B$250,"*"&amp;$D212&amp;"*",'2025 AC'!F$3:F$250)</f>
        <v>0</v>
      </c>
      <c r="AL212" s="146">
        <f>SUMIF('2025 AC'!$B$3:$B$250,"*"&amp;$D212&amp;"*",'2025 AC'!G$3:G$250)</f>
        <v>0</v>
      </c>
      <c r="AM212" s="146">
        <f>SUMIF('2025 AC'!$B$3:$B$250,"*"&amp;$D212&amp;"*",'2025 AC'!H$3:H$250)</f>
        <v>0</v>
      </c>
      <c r="AN212" s="146">
        <f>SUMIF('2025 AC'!$B$3:$B$250,"*"&amp;$D212&amp;"*",'2025 AC'!I$3:I$250)</f>
        <v>0</v>
      </c>
      <c r="AO212" s="146">
        <f>SUMIF('2025 AC'!$B$3:$B$250,"*"&amp;$D212&amp;"*",'2025 AC'!J$3:J$250)</f>
        <v>229449</v>
      </c>
      <c r="AP212" s="146">
        <f>SUMIF('2025 AC'!$B$3:$B$250,"*"&amp;$D212&amp;"*",'2025 AC'!K$3:K$250)</f>
        <v>0</v>
      </c>
      <c r="AQ212" s="146">
        <f>SUMIF('2025 AC'!$B$3:$B$250,"*"&amp;$D212&amp;"*",'2025 AC'!L$3:L$250)</f>
        <v>0</v>
      </c>
      <c r="AR212" s="146">
        <f>SUMIF('2025 AC'!$B$3:$B$250,"*"&amp;$D212&amp;"*",'2025 AC'!M$3:M$250)</f>
        <v>0</v>
      </c>
      <c r="AS212" s="146">
        <f>SUMIF('2025 AC'!$B$3:$B$250,"*"&amp;$D212&amp;"*",'2025 AC'!N$3:N$250)</f>
        <v>0</v>
      </c>
      <c r="AT212" s="149">
        <f t="shared" si="206"/>
        <v>229449</v>
      </c>
      <c r="AU212" s="147">
        <f t="shared" si="229"/>
        <v>0</v>
      </c>
      <c r="AV212" s="147">
        <f t="shared" si="230"/>
        <v>0</v>
      </c>
      <c r="AW212" s="147">
        <f t="shared" si="231"/>
        <v>229449</v>
      </c>
      <c r="AX212" s="147">
        <f t="shared" si="232"/>
        <v>0</v>
      </c>
      <c r="AY212" s="148">
        <f t="shared" si="233"/>
        <v>229449</v>
      </c>
      <c r="BA212" s="145">
        <f>SUMIF('2026 AC'!$B$3:$B$254,"*"&amp;$D212&amp;"*",'2026 AC'!C$3:C$254)</f>
        <v>19120.75</v>
      </c>
      <c r="BB212" s="146">
        <f>SUMIF('2026 AC'!$B$3:$B$254,"*"&amp;$D212&amp;"*",'2026 AC'!D$3:D$254)</f>
        <v>19120.75</v>
      </c>
      <c r="BC212" s="146">
        <f>SUMIF('2026 AC'!$B$3:$B$254,"*"&amp;$D212&amp;"*",'2026 AC'!E$3:E$254)</f>
        <v>19120.75</v>
      </c>
      <c r="BD212" s="146">
        <f>SUMIF('2026 AC'!$B$3:$B$254,"*"&amp;$D212&amp;"*",'2026 AC'!F$3:F$254)</f>
        <v>19120.75</v>
      </c>
      <c r="BE212" s="197">
        <f>SUMIF('2026 AC'!$B$3:$B$254,"*"&amp;$D212&amp;"*",'2026 AC'!G$3:G$254)</f>
        <v>19120.75</v>
      </c>
      <c r="BF212" s="146">
        <f>SUMIF('2026 AC'!$B$3:$B$254,"*"&amp;$D212&amp;"*",'2026 AC'!H$3:H$254)</f>
        <v>19120.75</v>
      </c>
      <c r="BG212" s="146">
        <f>SUMIF('2026 AC'!$B$3:$B$254,"*"&amp;$D212&amp;"*",'2026 AC'!I$3:I$254)</f>
        <v>0</v>
      </c>
      <c r="BH212" s="146">
        <f>SUMIF('2026 AC'!$B$3:$B$254,"*"&amp;$D212&amp;"*",'2026 AC'!J$3:J$254)</f>
        <v>0</v>
      </c>
      <c r="BI212" s="146">
        <f>SUMIF('2026 AC'!$B$3:$B$254,"*"&amp;$D212&amp;"*",'2026 AC'!K$3:K$254)</f>
        <v>0</v>
      </c>
      <c r="BJ212" s="146">
        <f>SUMIF('2026 AC'!$B$3:$B$254,"*"&amp;$D212&amp;"*",'2026 AC'!L$3:L$254)</f>
        <v>0</v>
      </c>
      <c r="BK212" s="146">
        <f>SUMIF('2026 AC'!$B$3:$B$254,"*"&amp;$D212&amp;"*",'2026 AC'!M$3:M$254)</f>
        <v>0</v>
      </c>
      <c r="BL212" s="147">
        <f>SUMIF('2026 AC'!$B$3:$B$254,"*"&amp;$D212&amp;"*",'2026 AC'!N$3:N$254)</f>
        <v>0</v>
      </c>
      <c r="BM212" s="148">
        <f t="shared" si="207"/>
        <v>114724.5</v>
      </c>
      <c r="BN212" s="147">
        <f t="shared" si="234"/>
        <v>57362.25</v>
      </c>
      <c r="BO212" s="147">
        <f t="shared" si="235"/>
        <v>57362.25</v>
      </c>
      <c r="BP212" s="147">
        <f t="shared" si="236"/>
        <v>0</v>
      </c>
      <c r="BQ212" s="147">
        <f t="shared" si="237"/>
        <v>0</v>
      </c>
      <c r="BR212" s="148">
        <f t="shared" si="238"/>
        <v>114724.5</v>
      </c>
    </row>
    <row r="213" outlineLevel="1">
      <c r="A213" s="185" t="s">
        <v>541</v>
      </c>
      <c r="C213" s="34" t="s">
        <v>542</v>
      </c>
      <c r="D213" s="35" t="s">
        <v>511</v>
      </c>
      <c r="E213" s="153">
        <f t="shared" si="182"/>
        <v>16522</v>
      </c>
      <c r="F213" s="186">
        <f t="shared" si="183"/>
        <v>0</v>
      </c>
      <c r="G213" s="154">
        <f t="shared" si="242"/>
        <v>0</v>
      </c>
      <c r="H213" s="153">
        <f t="shared" si="185"/>
        <v>49566</v>
      </c>
      <c r="I213" s="153">
        <f t="shared" si="186"/>
        <v>0</v>
      </c>
      <c r="J213" s="154">
        <f t="shared" si="240"/>
        <v>0</v>
      </c>
      <c r="K213" s="153">
        <f t="shared" si="187"/>
        <v>99132</v>
      </c>
      <c r="L213" s="153">
        <f t="shared" si="188"/>
        <v>0</v>
      </c>
      <c r="M213" s="155">
        <f t="shared" si="241"/>
        <v>0</v>
      </c>
      <c r="O213" s="63">
        <f>SUMIF('2024 AC'!$B$3:$B$250,"*"&amp;$D213&amp;"*",'2024 AC'!C$3:C$250)</f>
        <v>0</v>
      </c>
      <c r="P213" s="53">
        <f>SUMIF('2024 AC'!$B$3:$B$250,"*"&amp;$D213&amp;"*",'2024 AC'!D$3:D$250)</f>
        <v>0</v>
      </c>
      <c r="Q213" s="53">
        <f>SUMIF('2024 AC'!$B$3:$B$250,"*"&amp;$D213&amp;"*",'2024 AC'!E$3:E$250)</f>
        <v>0</v>
      </c>
      <c r="R213" s="53">
        <f>SUMIF('2024 AC'!$B$3:$B$250,"*"&amp;$D213&amp;"*",'2024 AC'!F$3:F$250)</f>
        <v>0</v>
      </c>
      <c r="S213" s="53">
        <f>SUMIF('2024 AC'!$B$3:$B$250,"*"&amp;$D213&amp;"*",'2024 AC'!G$3:G$250)</f>
        <v>0</v>
      </c>
      <c r="T213" s="53">
        <f>SUMIF('2024 AC'!$B$3:$B$250,"*"&amp;$D213&amp;"*",'2024 AC'!H$3:H$250)</f>
        <v>0</v>
      </c>
      <c r="U213" s="53">
        <f>SUMIF('2024 AC'!$B$3:$B$250,"*"&amp;$D213&amp;"*",'2024 AC'!I$3:I$250)</f>
        <v>99132</v>
      </c>
      <c r="V213" s="53">
        <f>SUMIF('2024 AC'!$B$3:$B$250,"*"&amp;$D213&amp;"*",'2024 AC'!J$3:J$250)</f>
        <v>99132</v>
      </c>
      <c r="W213" s="53">
        <f>SUMIF('2024 AC'!$B$3:$B$250,"*"&amp;$D213&amp;"*",'2024 AC'!K$3:K$250)</f>
        <v>0</v>
      </c>
      <c r="X213" s="53">
        <f>SUMIF('2024 AC'!$B$3:$B$250,"*"&amp;$D213&amp;"*",'2024 AC'!L$3:L$250)</f>
        <v>0</v>
      </c>
      <c r="Y213" s="53">
        <f>SUMIF('2024 AC'!$B$3:$B$250,"*"&amp;$D213&amp;"*",'2024 AC'!M$3:M$250)</f>
        <v>0</v>
      </c>
      <c r="Z213" s="93">
        <f>SUMIF('2024 AC'!$B$3:$B$250,"*"&amp;$D213&amp;"*",'2024 AC'!N$3:N$250)</f>
        <v>0</v>
      </c>
      <c r="AA213" s="92">
        <f t="shared" si="223"/>
        <v>198264</v>
      </c>
      <c r="AB213" s="93">
        <f t="shared" si="224"/>
        <v>0</v>
      </c>
      <c r="AC213" s="93">
        <f t="shared" si="225"/>
        <v>0</v>
      </c>
      <c r="AD213" s="93">
        <f t="shared" si="226"/>
        <v>198264</v>
      </c>
      <c r="AE213" s="93">
        <f t="shared" si="227"/>
        <v>0</v>
      </c>
      <c r="AF213" s="92">
        <f t="shared" si="228"/>
        <v>198264</v>
      </c>
      <c r="AH213" s="63">
        <f>SUMIF('2025 AC'!$B$3:$B$250,"*"&amp;$D213&amp;"*",'2025 AC'!C$3:C$250)</f>
        <v>0</v>
      </c>
      <c r="AI213" s="53">
        <f>SUMIF('2025 AC'!$B$3:$B$250,"*"&amp;$D213&amp;"*",'2025 AC'!D$3:D$250)</f>
        <v>0</v>
      </c>
      <c r="AJ213" s="53">
        <f>SUMIF('2025 AC'!$B$3:$B$250,"*"&amp;$D213&amp;"*",'2025 AC'!E$3:E$250)</f>
        <v>0</v>
      </c>
      <c r="AK213" s="53">
        <f>SUMIF('2025 AC'!$B$3:$B$250,"*"&amp;$D213&amp;"*",'2025 AC'!F$3:F$250)</f>
        <v>0</v>
      </c>
      <c r="AL213" s="53">
        <f>SUMIF('2025 AC'!$B$3:$B$250,"*"&amp;$D213&amp;"*",'2025 AC'!G$3:G$250)</f>
        <v>0</v>
      </c>
      <c r="AM213" s="53">
        <f>SUMIF('2025 AC'!$B$3:$B$250,"*"&amp;$D213&amp;"*",'2025 AC'!H$3:H$250)</f>
        <v>0</v>
      </c>
      <c r="AN213" s="53">
        <f>SUMIF('2025 AC'!$B$3:$B$250,"*"&amp;$D213&amp;"*",'2025 AC'!I$3:I$250)</f>
        <v>0</v>
      </c>
      <c r="AO213" s="53">
        <f>SUMIF('2025 AC'!$B$3:$B$250,"*"&amp;$D213&amp;"*",'2025 AC'!J$3:J$250)</f>
        <v>198264</v>
      </c>
      <c r="AP213" s="53">
        <f>SUMIF('2025 AC'!$B$3:$B$250,"*"&amp;$D213&amp;"*",'2025 AC'!K$3:K$250)</f>
        <v>0</v>
      </c>
      <c r="AQ213" s="53">
        <f>SUMIF('2025 AC'!$B$3:$B$250,"*"&amp;$D213&amp;"*",'2025 AC'!L$3:L$250)</f>
        <v>0</v>
      </c>
      <c r="AR213" s="53">
        <f>SUMIF('2025 AC'!$B$3:$B$250,"*"&amp;$D213&amp;"*",'2025 AC'!M$3:M$250)</f>
        <v>0</v>
      </c>
      <c r="AS213" s="53">
        <f>SUMIF('2025 AC'!$B$3:$B$250,"*"&amp;$D213&amp;"*",'2025 AC'!N$3:N$250)</f>
        <v>0</v>
      </c>
      <c r="AT213" s="94">
        <f t="shared" si="206"/>
        <v>198264</v>
      </c>
      <c r="AU213" s="93">
        <f t="shared" si="229"/>
        <v>0</v>
      </c>
      <c r="AV213" s="93">
        <f t="shared" si="230"/>
        <v>0</v>
      </c>
      <c r="AW213" s="93">
        <f t="shared" si="231"/>
        <v>198264</v>
      </c>
      <c r="AX213" s="93">
        <f t="shared" si="232"/>
        <v>0</v>
      </c>
      <c r="AY213" s="92">
        <f t="shared" si="233"/>
        <v>198264</v>
      </c>
      <c r="BA213" s="63">
        <f>SUMIF('2026 AC'!$B$3:$B$254,"*"&amp;$D213&amp;"*",'2026 AC'!C$3:C$254)</f>
        <v>16522</v>
      </c>
      <c r="BB213" s="53">
        <f>SUMIF('2026 AC'!$B$3:$B$254,"*"&amp;$D213&amp;"*",'2026 AC'!D$3:D$254)</f>
        <v>16522</v>
      </c>
      <c r="BC213" s="53">
        <f>SUMIF('2026 AC'!$B$3:$B$254,"*"&amp;$D213&amp;"*",'2026 AC'!E$3:E$254)</f>
        <v>16522</v>
      </c>
      <c r="BD213" s="53">
        <f>SUMIF('2026 AC'!$B$3:$B$254,"*"&amp;$D213&amp;"*",'2026 AC'!F$3:F$254)</f>
        <v>16522</v>
      </c>
      <c r="BE213" s="53">
        <f>SUMIF('2026 AC'!$B$3:$B$254,"*"&amp;$D213&amp;"*",'2026 AC'!G$3:G$254)</f>
        <v>16522</v>
      </c>
      <c r="BF213" s="53">
        <f>SUMIF('2026 AC'!$B$3:$B$254,"*"&amp;$D213&amp;"*",'2026 AC'!H$3:H$254)</f>
        <v>16522</v>
      </c>
      <c r="BG213" s="53">
        <f>SUMIF('2026 AC'!$B$3:$B$254,"*"&amp;$D213&amp;"*",'2026 AC'!I$3:I$254)</f>
        <v>0</v>
      </c>
      <c r="BH213" s="53">
        <f>SUMIF('2026 AC'!$B$3:$B$254,"*"&amp;$D213&amp;"*",'2026 AC'!J$3:J$254)</f>
        <v>0</v>
      </c>
      <c r="BI213" s="53">
        <f>SUMIF('2026 AC'!$B$3:$B$254,"*"&amp;$D213&amp;"*",'2026 AC'!K$3:K$254)</f>
        <v>0</v>
      </c>
      <c r="BJ213" s="53">
        <f>SUMIF('2026 AC'!$B$3:$B$254,"*"&amp;$D213&amp;"*",'2026 AC'!L$3:L$254)</f>
        <v>0</v>
      </c>
      <c r="BK213" s="53">
        <f>SUMIF('2026 AC'!$B$3:$B$254,"*"&amp;$D213&amp;"*",'2026 AC'!M$3:M$254)</f>
        <v>0</v>
      </c>
      <c r="BL213" s="93">
        <f>SUMIF('2026 AC'!$B$3:$B$254,"*"&amp;$D213&amp;"*",'2026 AC'!N$3:N$254)</f>
        <v>0</v>
      </c>
      <c r="BM213" s="92">
        <f t="shared" si="207"/>
        <v>99132</v>
      </c>
      <c r="BN213" s="93">
        <f t="shared" si="234"/>
        <v>49566</v>
      </c>
      <c r="BO213" s="93">
        <f t="shared" si="235"/>
        <v>49566</v>
      </c>
      <c r="BP213" s="93">
        <f t="shared" si="236"/>
        <v>0</v>
      </c>
      <c r="BQ213" s="93">
        <f t="shared" si="237"/>
        <v>0</v>
      </c>
      <c r="BR213" s="92">
        <f t="shared" si="238"/>
        <v>99132</v>
      </c>
    </row>
    <row r="214" outlineLevel="1">
      <c r="A214" s="185"/>
      <c r="C214" s="34" t="s">
        <v>543</v>
      </c>
      <c r="D214" s="35" t="s">
        <v>514</v>
      </c>
      <c r="E214" s="153">
        <f t="shared" si="182"/>
        <v>2598.75</v>
      </c>
      <c r="F214" s="186">
        <f t="shared" si="183"/>
        <v>0</v>
      </c>
      <c r="G214" s="154">
        <f t="shared" si="242"/>
        <v>0</v>
      </c>
      <c r="H214" s="153">
        <f t="shared" si="185"/>
        <v>7796.25</v>
      </c>
      <c r="I214" s="153">
        <f t="shared" si="186"/>
        <v>0</v>
      </c>
      <c r="J214" s="154">
        <f t="shared" si="240"/>
        <v>0</v>
      </c>
      <c r="K214" s="153">
        <f t="shared" si="187"/>
        <v>15592.5</v>
      </c>
      <c r="L214" s="153">
        <f t="shared" si="188"/>
        <v>0</v>
      </c>
      <c r="M214" s="155">
        <f t="shared" si="241"/>
        <v>0</v>
      </c>
      <c r="O214" s="63">
        <f>SUMIF('2024 AC'!$B$3:$B$250,"*"&amp;$D214&amp;"*",'2024 AC'!C$3:C$250)</f>
        <v>0</v>
      </c>
      <c r="P214" s="53">
        <f>SUMIF('2024 AC'!$B$3:$B$250,"*"&amp;$D214&amp;"*",'2024 AC'!D$3:D$250)</f>
        <v>0</v>
      </c>
      <c r="Q214" s="53">
        <f>SUMIF('2024 AC'!$B$3:$B$250,"*"&amp;$D214&amp;"*",'2024 AC'!E$3:E$250)</f>
        <v>0</v>
      </c>
      <c r="R214" s="53">
        <f>SUMIF('2024 AC'!$B$3:$B$250,"*"&amp;$D214&amp;"*",'2024 AC'!F$3:F$250)</f>
        <v>0</v>
      </c>
      <c r="S214" s="53">
        <f>SUMIF('2024 AC'!$B$3:$B$250,"*"&amp;$D214&amp;"*",'2024 AC'!G$3:G$250)</f>
        <v>29832</v>
      </c>
      <c r="T214" s="53">
        <f>SUMIF('2024 AC'!$B$3:$B$250,"*"&amp;$D214&amp;"*",'2024 AC'!H$3:H$250)</f>
        <v>1353</v>
      </c>
      <c r="U214" s="53">
        <f>SUMIF('2024 AC'!$B$3:$B$250,"*"&amp;$D214&amp;"*",'2024 AC'!I$3:I$250)</f>
        <v>0</v>
      </c>
      <c r="V214" s="53">
        <f>SUMIF('2024 AC'!$B$3:$B$250,"*"&amp;$D214&amp;"*",'2024 AC'!J$3:J$250)</f>
        <v>0</v>
      </c>
      <c r="W214" s="53">
        <f>SUMIF('2024 AC'!$B$3:$B$250,"*"&amp;$D214&amp;"*",'2024 AC'!K$3:K$250)</f>
        <v>0</v>
      </c>
      <c r="X214" s="53">
        <f>SUMIF('2024 AC'!$B$3:$B$250,"*"&amp;$D214&amp;"*",'2024 AC'!L$3:L$250)</f>
        <v>0</v>
      </c>
      <c r="Y214" s="53">
        <f>SUMIF('2024 AC'!$B$3:$B$250,"*"&amp;$D214&amp;"*",'2024 AC'!M$3:M$250)</f>
        <v>0</v>
      </c>
      <c r="Z214" s="93">
        <f>SUMIF('2024 AC'!$B$3:$B$250,"*"&amp;$D214&amp;"*",'2024 AC'!N$3:N$250)</f>
        <v>0</v>
      </c>
      <c r="AA214" s="92">
        <f t="shared" si="223"/>
        <v>31185</v>
      </c>
      <c r="AB214" s="93">
        <f t="shared" si="224"/>
        <v>0</v>
      </c>
      <c r="AC214" s="93">
        <f t="shared" si="225"/>
        <v>31185</v>
      </c>
      <c r="AD214" s="93">
        <f t="shared" si="226"/>
        <v>0</v>
      </c>
      <c r="AE214" s="93">
        <f t="shared" si="227"/>
        <v>0</v>
      </c>
      <c r="AF214" s="92">
        <f t="shared" si="228"/>
        <v>31185</v>
      </c>
      <c r="AH214" s="63">
        <f>SUMIF('2025 AC'!$B$3:$B$250,"*"&amp;$D214&amp;"*",'2025 AC'!C$3:C$250)</f>
        <v>0</v>
      </c>
      <c r="AI214" s="53">
        <f>SUMIF('2025 AC'!$B$3:$B$250,"*"&amp;$D214&amp;"*",'2025 AC'!D$3:D$250)</f>
        <v>0</v>
      </c>
      <c r="AJ214" s="53">
        <f>SUMIF('2025 AC'!$B$3:$B$250,"*"&amp;$D214&amp;"*",'2025 AC'!E$3:E$250)</f>
        <v>0</v>
      </c>
      <c r="AK214" s="53">
        <f>SUMIF('2025 AC'!$B$3:$B$250,"*"&amp;$D214&amp;"*",'2025 AC'!F$3:F$250)</f>
        <v>0</v>
      </c>
      <c r="AL214" s="53">
        <f>SUMIF('2025 AC'!$B$3:$B$250,"*"&amp;$D214&amp;"*",'2025 AC'!G$3:G$250)</f>
        <v>0</v>
      </c>
      <c r="AM214" s="53">
        <f>SUMIF('2025 AC'!$B$3:$B$250,"*"&amp;$D214&amp;"*",'2025 AC'!H$3:H$250)</f>
        <v>0</v>
      </c>
      <c r="AN214" s="53">
        <f>SUMIF('2025 AC'!$B$3:$B$250,"*"&amp;$D214&amp;"*",'2025 AC'!I$3:I$250)</f>
        <v>0</v>
      </c>
      <c r="AO214" s="53">
        <f>SUMIF('2025 AC'!$B$3:$B$250,"*"&amp;$D214&amp;"*",'2025 AC'!J$3:J$250)</f>
        <v>31185</v>
      </c>
      <c r="AP214" s="53">
        <f>SUMIF('2025 AC'!$B$3:$B$250,"*"&amp;$D214&amp;"*",'2025 AC'!K$3:K$250)</f>
        <v>0</v>
      </c>
      <c r="AQ214" s="53">
        <f>SUMIF('2025 AC'!$B$3:$B$250,"*"&amp;$D214&amp;"*",'2025 AC'!L$3:L$250)</f>
        <v>0</v>
      </c>
      <c r="AR214" s="53">
        <f>SUMIF('2025 AC'!$B$3:$B$250,"*"&amp;$D214&amp;"*",'2025 AC'!M$3:M$250)</f>
        <v>0</v>
      </c>
      <c r="AS214" s="53">
        <f>SUMIF('2025 AC'!$B$3:$B$250,"*"&amp;$D214&amp;"*",'2025 AC'!N$3:N$250)</f>
        <v>0</v>
      </c>
      <c r="AT214" s="94">
        <f t="shared" si="206"/>
        <v>31185</v>
      </c>
      <c r="AU214" s="93">
        <f t="shared" si="229"/>
        <v>0</v>
      </c>
      <c r="AV214" s="93">
        <f t="shared" si="230"/>
        <v>0</v>
      </c>
      <c r="AW214" s="93">
        <f t="shared" si="231"/>
        <v>31185</v>
      </c>
      <c r="AX214" s="93">
        <f t="shared" si="232"/>
        <v>0</v>
      </c>
      <c r="AY214" s="92">
        <f t="shared" si="233"/>
        <v>31185</v>
      </c>
      <c r="BA214" s="63">
        <f>SUMIF('2026 AC'!$B$3:$B$254,"*"&amp;$D214&amp;"*",'2026 AC'!C$3:C$254)</f>
        <v>2598.75</v>
      </c>
      <c r="BB214" s="53">
        <f>SUMIF('2026 AC'!$B$3:$B$254,"*"&amp;$D214&amp;"*",'2026 AC'!D$3:D$254)</f>
        <v>2598.75</v>
      </c>
      <c r="BC214" s="53">
        <f>SUMIF('2026 AC'!$B$3:$B$254,"*"&amp;$D214&amp;"*",'2026 AC'!E$3:E$254)</f>
        <v>2598.75</v>
      </c>
      <c r="BD214" s="53">
        <f>SUMIF('2026 AC'!$B$3:$B$254,"*"&amp;$D214&amp;"*",'2026 AC'!F$3:F$254)</f>
        <v>2598.75</v>
      </c>
      <c r="BE214" s="53">
        <f>SUMIF('2026 AC'!$B$3:$B$254,"*"&amp;$D214&amp;"*",'2026 AC'!G$3:G$254)</f>
        <v>2598.75</v>
      </c>
      <c r="BF214" s="53">
        <f>SUMIF('2026 AC'!$B$3:$B$254,"*"&amp;$D214&amp;"*",'2026 AC'!H$3:H$254)</f>
        <v>2598.75</v>
      </c>
      <c r="BG214" s="53">
        <f>SUMIF('2026 AC'!$B$3:$B$254,"*"&amp;$D214&amp;"*",'2026 AC'!I$3:I$254)</f>
        <v>0</v>
      </c>
      <c r="BH214" s="53">
        <f>SUMIF('2026 AC'!$B$3:$B$254,"*"&amp;$D214&amp;"*",'2026 AC'!J$3:J$254)</f>
        <v>0</v>
      </c>
      <c r="BI214" s="53">
        <f>SUMIF('2026 AC'!$B$3:$B$254,"*"&amp;$D214&amp;"*",'2026 AC'!K$3:K$254)</f>
        <v>0</v>
      </c>
      <c r="BJ214" s="53">
        <f>SUMIF('2026 AC'!$B$3:$B$254,"*"&amp;$D214&amp;"*",'2026 AC'!L$3:L$254)</f>
        <v>0</v>
      </c>
      <c r="BK214" s="53">
        <f>SUMIF('2026 AC'!$B$3:$B$254,"*"&amp;$D214&amp;"*",'2026 AC'!M$3:M$254)</f>
        <v>0</v>
      </c>
      <c r="BL214" s="93">
        <f>SUMIF('2026 AC'!$B$3:$B$254,"*"&amp;$D214&amp;"*",'2026 AC'!N$3:N$254)</f>
        <v>0</v>
      </c>
      <c r="BM214" s="92">
        <f t="shared" si="207"/>
        <v>15592.5</v>
      </c>
      <c r="BN214" s="93">
        <f t="shared" si="234"/>
        <v>7796.25</v>
      </c>
      <c r="BO214" s="93">
        <f t="shared" si="235"/>
        <v>7796.25</v>
      </c>
      <c r="BP214" s="93">
        <f t="shared" si="236"/>
        <v>0</v>
      </c>
      <c r="BQ214" s="93">
        <f t="shared" si="237"/>
        <v>0</v>
      </c>
      <c r="BR214" s="92">
        <f t="shared" si="238"/>
        <v>15592.5</v>
      </c>
    </row>
    <row r="215" s="137" customFormat="1">
      <c r="A215" s="196" t="s">
        <v>544</v>
      </c>
      <c r="C215" s="173" t="s">
        <v>545</v>
      </c>
      <c r="D215" s="139" t="s">
        <v>546</v>
      </c>
      <c r="E215" s="143">
        <f t="shared" si="182"/>
        <v>0</v>
      </c>
      <c r="F215" s="141">
        <f t="shared" si="183"/>
        <v>0</v>
      </c>
      <c r="G215" s="161">
        <f>IFERROR((E215-F215)/F215,1)</f>
        <v>1</v>
      </c>
      <c r="H215" s="143">
        <f t="shared" si="185"/>
        <v>0</v>
      </c>
      <c r="I215" s="143">
        <f t="shared" si="186"/>
        <v>0</v>
      </c>
      <c r="J215" s="142" t="e">
        <f t="shared" ref="J215:J223" si="243">(H215-I215)/I215</f>
        <v>#DIV/0!</v>
      </c>
      <c r="K215" s="143">
        <f t="shared" si="187"/>
        <v>5853.75</v>
      </c>
      <c r="L215" s="143">
        <f t="shared" si="188"/>
        <v>4746.8000000000002</v>
      </c>
      <c r="M215" s="144">
        <f t="shared" ref="M215:M223" si="244">(K215-L215)/L215</f>
        <v>0.23319920788741885</v>
      </c>
      <c r="O215" s="145">
        <f>SUMIF('2024 AC'!$B$3:$B$250,"*"&amp;$D215&amp;"*",'2024 AC'!C$3:C$250)</f>
        <v>6488</v>
      </c>
      <c r="P215" s="146">
        <f>SUMIF('2024 AC'!$B$3:$B$250,"*"&amp;$D215&amp;"*",'2024 AC'!D$3:D$250)</f>
        <v>2450</v>
      </c>
      <c r="Q215" s="146">
        <f>SUMIF('2024 AC'!$B$3:$B$250,"*"&amp;$D215&amp;"*",'2024 AC'!E$3:E$250)</f>
        <v>1343.6500000000001</v>
      </c>
      <c r="R215" s="146">
        <f>SUMIF('2024 AC'!$B$3:$B$250,"*"&amp;$D215&amp;"*",'2024 AC'!F$3:F$250)</f>
        <v>0</v>
      </c>
      <c r="S215" s="146">
        <f>SUMIF('2024 AC'!$B$3:$B$250,"*"&amp;$D215&amp;"*",'2024 AC'!G$3:G$250)</f>
        <v>0</v>
      </c>
      <c r="T215" s="146">
        <f>SUMIF('2024 AC'!$B$3:$B$250,"*"&amp;$D215&amp;"*",'2024 AC'!H$3:H$250)</f>
        <v>0</v>
      </c>
      <c r="U215" s="146">
        <f>SUMIF('2024 AC'!$B$3:$B$250,"*"&amp;$D215&amp;"*",'2024 AC'!I$3:I$250)</f>
        <v>0</v>
      </c>
      <c r="V215" s="146">
        <f>SUMIF('2024 AC'!$B$3:$B$250,"*"&amp;$D215&amp;"*",'2024 AC'!J$3:J$250)</f>
        <v>0</v>
      </c>
      <c r="W215" s="146">
        <f>SUMIF('2024 AC'!$B$3:$B$250,"*"&amp;$D215&amp;"*",'2024 AC'!K$3:K$250)</f>
        <v>0</v>
      </c>
      <c r="X215" s="146">
        <f>SUMIF('2024 AC'!$B$3:$B$250,"*"&amp;$D215&amp;"*",'2024 AC'!L$3:L$250)</f>
        <v>0</v>
      </c>
      <c r="Y215" s="146">
        <f>SUMIF('2024 AC'!$B$3:$B$250,"*"&amp;$D215&amp;"*",'2024 AC'!M$3:M$250)</f>
        <v>0</v>
      </c>
      <c r="Z215" s="147">
        <f>SUMIF('2024 AC'!$B$3:$B$250,"*"&amp;$D215&amp;"*",'2024 AC'!N$3:N$250)</f>
        <v>0</v>
      </c>
      <c r="AA215" s="148">
        <f t="shared" si="223"/>
        <v>10281.65</v>
      </c>
      <c r="AB215" s="147">
        <f t="shared" si="224"/>
        <v>10281.65</v>
      </c>
      <c r="AC215" s="147">
        <f t="shared" si="225"/>
        <v>0</v>
      </c>
      <c r="AD215" s="147">
        <f t="shared" si="226"/>
        <v>0</v>
      </c>
      <c r="AE215" s="147">
        <f t="shared" si="227"/>
        <v>0</v>
      </c>
      <c r="AF215" s="148">
        <f t="shared" si="228"/>
        <v>10281.65</v>
      </c>
      <c r="AH215" s="145">
        <f>SUMIF('2025 AC'!$B$3:$B$250,"*"&amp;$D215&amp;"*",'2025 AC'!C$3:C$250)</f>
        <v>4387.6999999999998</v>
      </c>
      <c r="AI215" s="146">
        <f>SUMIF('2025 AC'!$B$3:$B$250,"*"&amp;$D215&amp;"*",'2025 AC'!D$3:D$250)</f>
        <v>359.10000000000002</v>
      </c>
      <c r="AJ215" s="146">
        <f>SUMIF('2025 AC'!$B$3:$B$250,"*"&amp;$D215&amp;"*",'2025 AC'!E$3:E$250)</f>
        <v>0</v>
      </c>
      <c r="AK215" s="146">
        <f>SUMIF('2025 AC'!$B$3:$B$250,"*"&amp;$D215&amp;"*",'2025 AC'!F$3:F$250)</f>
        <v>0</v>
      </c>
      <c r="AL215" s="146">
        <f>SUMIF('2025 AC'!$B$3:$B$250,"*"&amp;$D215&amp;"*",'2025 AC'!G$3:G$250)</f>
        <v>0</v>
      </c>
      <c r="AM215" s="146">
        <f>SUMIF('2025 AC'!$B$3:$B$250,"*"&amp;$D215&amp;"*",'2025 AC'!H$3:H$250)</f>
        <v>0</v>
      </c>
      <c r="AN215" s="146">
        <f>SUMIF('2025 AC'!$B$3:$B$250,"*"&amp;$D215&amp;"*",'2025 AC'!I$3:I$250)</f>
        <v>0</v>
      </c>
      <c r="AO215" s="146">
        <f>SUMIF('2025 AC'!$B$3:$B$250,"*"&amp;$D215&amp;"*",'2025 AC'!J$3:J$250)</f>
        <v>0</v>
      </c>
      <c r="AP215" s="146">
        <f>SUMIF('2025 AC'!$B$3:$B$250,"*"&amp;$D215&amp;"*",'2025 AC'!K$3:K$250)</f>
        <v>0</v>
      </c>
      <c r="AQ215" s="146">
        <f>SUMIF('2025 AC'!$B$3:$B$250,"*"&amp;$D215&amp;"*",'2025 AC'!L$3:L$250)</f>
        <v>0</v>
      </c>
      <c r="AR215" s="146">
        <f>SUMIF('2025 AC'!$B$3:$B$250,"*"&amp;$D215&amp;"*",'2025 AC'!M$3:M$250)</f>
        <v>0</v>
      </c>
      <c r="AS215" s="146">
        <f>SUMIF('2025 AC'!$B$3:$B$250,"*"&amp;$D215&amp;"*",'2025 AC'!N$3:N$250)</f>
        <v>0</v>
      </c>
      <c r="AT215" s="149">
        <f t="shared" si="206"/>
        <v>4746.8000000000002</v>
      </c>
      <c r="AU215" s="147">
        <f t="shared" si="229"/>
        <v>4746.8000000000002</v>
      </c>
      <c r="AV215" s="147">
        <f t="shared" si="230"/>
        <v>0</v>
      </c>
      <c r="AW215" s="147">
        <f t="shared" si="231"/>
        <v>0</v>
      </c>
      <c r="AX215" s="147">
        <f t="shared" si="232"/>
        <v>0</v>
      </c>
      <c r="AY215" s="148">
        <f t="shared" si="233"/>
        <v>4746.8000000000002</v>
      </c>
      <c r="BA215" s="145">
        <f>SUMIF('2026 AC'!$B$3:$B$254,"*"&amp;$D215&amp;"*",'2026 AC'!C$3:C$254)</f>
        <v>2888</v>
      </c>
      <c r="BB215" s="146">
        <f>SUMIF('2026 AC'!$B$3:$B$254,"*"&amp;$D215&amp;"*",'2026 AC'!D$3:D$254)</f>
        <v>2925.0500000000002</v>
      </c>
      <c r="BC215" s="146">
        <f>SUMIF('2026 AC'!$B$3:$B$254,"*"&amp;$D215&amp;"*",'2026 AC'!E$3:E$254)</f>
        <v>40.700000000000003</v>
      </c>
      <c r="BD215" s="146">
        <f>SUMIF('2026 AC'!$B$3:$B$254,"*"&amp;$D215&amp;"*",'2026 AC'!F$3:F$254)</f>
        <v>0</v>
      </c>
      <c r="BE215" s="197">
        <f>SUMIF('2026 AC'!$B$3:$B$254,"*"&amp;$D215&amp;"*",'2026 AC'!G$3:G$254)</f>
        <v>0</v>
      </c>
      <c r="BF215" s="146">
        <f>SUMIF('2026 AC'!$B$3:$B$254,"*"&amp;$D215&amp;"*",'2026 AC'!H$3:H$254)</f>
        <v>0</v>
      </c>
      <c r="BG215" s="146">
        <f>SUMIF('2026 AC'!$B$3:$B$254,"*"&amp;$D215&amp;"*",'2026 AC'!I$3:I$254)</f>
        <v>0</v>
      </c>
      <c r="BH215" s="146">
        <f>SUMIF('2026 AC'!$B$3:$B$254,"*"&amp;$D215&amp;"*",'2026 AC'!J$3:J$254)</f>
        <v>0</v>
      </c>
      <c r="BI215" s="146">
        <f>SUMIF('2026 AC'!$B$3:$B$254,"*"&amp;$D215&amp;"*",'2026 AC'!K$3:K$254)</f>
        <v>0</v>
      </c>
      <c r="BJ215" s="146">
        <f>SUMIF('2026 AC'!$B$3:$B$254,"*"&amp;$D215&amp;"*",'2026 AC'!L$3:L$254)</f>
        <v>0</v>
      </c>
      <c r="BK215" s="146">
        <f>SUMIF('2026 AC'!$B$3:$B$254,"*"&amp;$D215&amp;"*",'2026 AC'!M$3:M$254)</f>
        <v>0</v>
      </c>
      <c r="BL215" s="147">
        <f>SUMIF('2026 AC'!$B$3:$B$254,"*"&amp;$D215&amp;"*",'2026 AC'!N$3:N$254)</f>
        <v>0</v>
      </c>
      <c r="BM215" s="148">
        <f t="shared" si="207"/>
        <v>5853.75</v>
      </c>
      <c r="BN215" s="147">
        <f t="shared" si="234"/>
        <v>5853.75</v>
      </c>
      <c r="BO215" s="147">
        <f t="shared" si="235"/>
        <v>0</v>
      </c>
      <c r="BP215" s="147">
        <f t="shared" si="236"/>
        <v>0</v>
      </c>
      <c r="BQ215" s="147">
        <f t="shared" si="237"/>
        <v>0</v>
      </c>
      <c r="BR215" s="148">
        <f t="shared" si="238"/>
        <v>5853.75</v>
      </c>
    </row>
    <row r="216" s="137" customFormat="1">
      <c r="C216" s="173" t="s">
        <v>547</v>
      </c>
      <c r="D216" s="139" t="s">
        <v>517</v>
      </c>
      <c r="E216" s="143">
        <f t="shared" si="182"/>
        <v>440</v>
      </c>
      <c r="F216" s="199">
        <f t="shared" si="183"/>
        <v>1500</v>
      </c>
      <c r="G216" s="142">
        <f t="shared" ref="G216:G223" si="245">(E216-F216)/F216</f>
        <v>-0.70666666666666667</v>
      </c>
      <c r="H216" s="143">
        <f t="shared" si="185"/>
        <v>1520</v>
      </c>
      <c r="I216" s="143">
        <f t="shared" si="186"/>
        <v>1700</v>
      </c>
      <c r="J216" s="142">
        <f t="shared" si="243"/>
        <v>-0.10588235294117647</v>
      </c>
      <c r="K216" s="143">
        <f t="shared" si="187"/>
        <v>822.5</v>
      </c>
      <c r="L216" s="143">
        <f t="shared" si="188"/>
        <v>3450</v>
      </c>
      <c r="M216" s="144">
        <f t="shared" si="244"/>
        <v>-0.76159420289855073</v>
      </c>
      <c r="O216" s="145">
        <f>SUMIF('2024 AC'!$B$3:$B$250,"*"&amp;$D216&amp;"*",'2024 AC'!C$3:C$250)</f>
        <v>692</v>
      </c>
      <c r="P216" s="146">
        <f>SUMIF('2024 AC'!$B$3:$B$250,"*"&amp;$D216&amp;"*",'2024 AC'!D$3:D$250)</f>
        <v>450</v>
      </c>
      <c r="Q216" s="146">
        <f>SUMIF('2024 AC'!$B$3:$B$250,"*"&amp;$D216&amp;"*",'2024 AC'!E$3:E$250)</f>
        <v>120</v>
      </c>
      <c r="R216" s="146">
        <f>SUMIF('2024 AC'!$B$3:$B$250,"*"&amp;$D216&amp;"*",'2024 AC'!F$3:F$250)</f>
        <v>301.5</v>
      </c>
      <c r="S216" s="146">
        <f>SUMIF('2024 AC'!$B$3:$B$250,"*"&amp;$D216&amp;"*",'2024 AC'!G$3:G$250)</f>
        <v>200</v>
      </c>
      <c r="T216" s="146">
        <f>SUMIF('2024 AC'!$B$3:$B$250,"*"&amp;$D216&amp;"*",'2024 AC'!H$3:H$250)</f>
        <v>0</v>
      </c>
      <c r="U216" s="146">
        <f>SUMIF('2024 AC'!$B$3:$B$250,"*"&amp;$D216&amp;"*",'2024 AC'!I$3:I$250)</f>
        <v>0</v>
      </c>
      <c r="V216" s="146">
        <f>SUMIF('2024 AC'!$B$3:$B$250,"*"&amp;$D216&amp;"*",'2024 AC'!J$3:J$250)</f>
        <v>48.600000000000001</v>
      </c>
      <c r="W216" s="146">
        <f>SUMIF('2024 AC'!$B$3:$B$250,"*"&amp;$D216&amp;"*",'2024 AC'!K$3:K$250)</f>
        <v>2250</v>
      </c>
      <c r="X216" s="146">
        <f>SUMIF('2024 AC'!$B$3:$B$250,"*"&amp;$D216&amp;"*",'2024 AC'!L$3:L$250)</f>
        <v>3041.54</v>
      </c>
      <c r="Y216" s="146">
        <f>SUMIF('2024 AC'!$B$3:$B$250,"*"&amp;$D216&amp;"*",'2024 AC'!M$3:M$250)</f>
        <v>19428</v>
      </c>
      <c r="Z216" s="147">
        <f>SUMIF('2024 AC'!$B$3:$B$250,"*"&amp;$D216&amp;"*",'2024 AC'!N$3:N$250)</f>
        <v>5280</v>
      </c>
      <c r="AA216" s="148">
        <f t="shared" si="223"/>
        <v>31811.639999999999</v>
      </c>
      <c r="AB216" s="147">
        <f t="shared" si="224"/>
        <v>1262</v>
      </c>
      <c r="AC216" s="147">
        <f t="shared" si="225"/>
        <v>501.5</v>
      </c>
      <c r="AD216" s="147">
        <f t="shared" si="226"/>
        <v>2298.5999999999999</v>
      </c>
      <c r="AE216" s="147">
        <f t="shared" si="227"/>
        <v>27749.540000000001</v>
      </c>
      <c r="AF216" s="148">
        <f t="shared" si="228"/>
        <v>31811.639999999999</v>
      </c>
      <c r="AH216" s="145">
        <f>SUMIF('2025 AC'!$B$3:$B$250,"*"&amp;$D216&amp;"*",'2025 AC'!C$3:C$250)</f>
        <v>250</v>
      </c>
      <c r="AI216" s="146">
        <f>SUMIF('2025 AC'!$B$3:$B$250,"*"&amp;$D216&amp;"*",'2025 AC'!D$3:D$250)</f>
        <v>0</v>
      </c>
      <c r="AJ216" s="146">
        <f>SUMIF('2025 AC'!$B$3:$B$250,"*"&amp;$D216&amp;"*",'2025 AC'!E$3:E$250)</f>
        <v>1500</v>
      </c>
      <c r="AK216" s="146">
        <f>SUMIF('2025 AC'!$B$3:$B$250,"*"&amp;$D216&amp;"*",'2025 AC'!F$3:F$250)</f>
        <v>0</v>
      </c>
      <c r="AL216" s="146">
        <f>SUMIF('2025 AC'!$B$3:$B$250,"*"&amp;$D216&amp;"*",'2025 AC'!G$3:G$250)</f>
        <v>200</v>
      </c>
      <c r="AM216" s="146">
        <f>SUMIF('2025 AC'!$B$3:$B$250,"*"&amp;$D216&amp;"*",'2025 AC'!H$3:H$250)</f>
        <v>1500</v>
      </c>
      <c r="AN216" s="146">
        <f>SUMIF('2025 AC'!$B$3:$B$250,"*"&amp;$D216&amp;"*",'2025 AC'!I$3:I$250)</f>
        <v>0</v>
      </c>
      <c r="AO216" s="146">
        <f>SUMIF('2025 AC'!$B$3:$B$250,"*"&amp;$D216&amp;"*",'2025 AC'!J$3:J$250)</f>
        <v>168.59999999999999</v>
      </c>
      <c r="AP216" s="146">
        <f>SUMIF('2025 AC'!$B$3:$B$250,"*"&amp;$D216&amp;"*",'2025 AC'!K$3:K$250)</f>
        <v>0</v>
      </c>
      <c r="AQ216" s="146">
        <f>SUMIF('2025 AC'!$B$3:$B$250,"*"&amp;$D216&amp;"*",'2025 AC'!L$3:L$250)</f>
        <v>2924.1999999999998</v>
      </c>
      <c r="AR216" s="146">
        <f>SUMIF('2025 AC'!$B$3:$B$250,"*"&amp;$D216&amp;"*",'2025 AC'!M$3:M$250)</f>
        <v>13399</v>
      </c>
      <c r="AS216" s="146">
        <f>SUMIF('2025 AC'!$B$3:$B$250,"*"&amp;$D216&amp;"*",'2025 AC'!N$3:N$250)</f>
        <v>2807.5</v>
      </c>
      <c r="AT216" s="149">
        <f t="shared" si="206"/>
        <v>22749.299999999999</v>
      </c>
      <c r="AU216" s="147">
        <f t="shared" si="229"/>
        <v>1750</v>
      </c>
      <c r="AV216" s="147">
        <f t="shared" si="230"/>
        <v>1700</v>
      </c>
      <c r="AW216" s="147">
        <f t="shared" si="231"/>
        <v>168.59999999999999</v>
      </c>
      <c r="AX216" s="147">
        <f t="shared" si="232"/>
        <v>19130.700000000001</v>
      </c>
      <c r="AY216" s="148">
        <f t="shared" si="233"/>
        <v>22749.299999999999</v>
      </c>
      <c r="BA216" s="145">
        <f>SUMIF('2026 AC'!$B$3:$B$254,"*"&amp;$D216&amp;"*",'2026 AC'!C$3:C$254)</f>
        <v>-1577.5</v>
      </c>
      <c r="BB216" s="146">
        <f>SUMIF('2026 AC'!$B$3:$B$254,"*"&amp;$D216&amp;"*",'2026 AC'!D$3:D$254)</f>
        <v>440</v>
      </c>
      <c r="BC216" s="146">
        <f>SUMIF('2026 AC'!$B$3:$B$254,"*"&amp;$D216&amp;"*",'2026 AC'!E$3:E$254)</f>
        <v>440</v>
      </c>
      <c r="BD216" s="146">
        <f>SUMIF('2026 AC'!$B$3:$B$254,"*"&amp;$D216&amp;"*",'2026 AC'!F$3:F$254)</f>
        <v>440</v>
      </c>
      <c r="BE216" s="197">
        <f>SUMIF('2026 AC'!$B$3:$B$254,"*"&amp;$D216&amp;"*",'2026 AC'!G$3:G$254)</f>
        <v>640</v>
      </c>
      <c r="BF216" s="146">
        <f>SUMIF('2026 AC'!$B$3:$B$254,"*"&amp;$D216&amp;"*",'2026 AC'!H$3:H$254)</f>
        <v>440</v>
      </c>
      <c r="BG216" s="146">
        <f>SUMIF('2026 AC'!$B$3:$B$254,"*"&amp;$D216&amp;"*",'2026 AC'!I$3:I$254)</f>
        <v>0</v>
      </c>
      <c r="BH216" s="146">
        <f>SUMIF('2026 AC'!$B$3:$B$254,"*"&amp;$D216&amp;"*",'2026 AC'!J$3:J$254)</f>
        <v>0</v>
      </c>
      <c r="BI216" s="146">
        <f>SUMIF('2026 AC'!$B$3:$B$254,"*"&amp;$D216&amp;"*",'2026 AC'!K$3:K$254)</f>
        <v>0</v>
      </c>
      <c r="BJ216" s="146">
        <f>SUMIF('2026 AC'!$B$3:$B$254,"*"&amp;$D216&amp;"*",'2026 AC'!L$3:L$254)</f>
        <v>0</v>
      </c>
      <c r="BK216" s="146">
        <f>SUMIF('2026 AC'!$B$3:$B$254,"*"&amp;$D216&amp;"*",'2026 AC'!M$3:M$254)</f>
        <v>0</v>
      </c>
      <c r="BL216" s="147">
        <f>SUMIF('2026 AC'!$B$3:$B$254,"*"&amp;$D216&amp;"*",'2026 AC'!N$3:N$254)</f>
        <v>0</v>
      </c>
      <c r="BM216" s="148">
        <f t="shared" si="207"/>
        <v>822.5</v>
      </c>
      <c r="BN216" s="147">
        <f t="shared" si="234"/>
        <v>-697.5</v>
      </c>
      <c r="BO216" s="147">
        <f t="shared" si="235"/>
        <v>1520</v>
      </c>
      <c r="BP216" s="147">
        <f t="shared" si="236"/>
        <v>0</v>
      </c>
      <c r="BQ216" s="147">
        <f t="shared" si="237"/>
        <v>0</v>
      </c>
      <c r="BR216" s="148">
        <f t="shared" si="238"/>
        <v>822.5</v>
      </c>
    </row>
    <row r="217" ht="15" customHeight="1" outlineLevel="1">
      <c r="C217" s="34" t="s">
        <v>548</v>
      </c>
      <c r="D217" s="35" t="s">
        <v>520</v>
      </c>
      <c r="E217" s="153">
        <f t="shared" si="182"/>
        <v>440</v>
      </c>
      <c r="F217" s="152">
        <f t="shared" si="183"/>
        <v>1500</v>
      </c>
      <c r="G217" s="54">
        <f t="shared" si="245"/>
        <v>-0.70666666666666667</v>
      </c>
      <c r="H217" s="153">
        <f t="shared" si="185"/>
        <v>1520</v>
      </c>
      <c r="I217" s="153">
        <f t="shared" si="186"/>
        <v>1700</v>
      </c>
      <c r="J217" s="54">
        <f t="shared" si="243"/>
        <v>-0.10588235294117647</v>
      </c>
      <c r="K217" s="153">
        <f t="shared" si="187"/>
        <v>822.5</v>
      </c>
      <c r="L217" s="153">
        <f t="shared" si="188"/>
        <v>3450</v>
      </c>
      <c r="M217" s="55">
        <f t="shared" si="244"/>
        <v>-0.76159420289855073</v>
      </c>
      <c r="O217" s="63">
        <f>SUMIF('2024 AC'!$B$3:$B$250,"*"&amp;$D217&amp;"*",'2024 AC'!C$3:C$250)</f>
        <v>692</v>
      </c>
      <c r="P217" s="53">
        <f>SUMIF('2024 AC'!$B$3:$B$250,"*"&amp;$D217&amp;"*",'2024 AC'!D$3:D$250)</f>
        <v>0</v>
      </c>
      <c r="Q217" s="53">
        <f>SUMIF('2024 AC'!$B$3:$B$250,"*"&amp;$D217&amp;"*",'2024 AC'!E$3:E$250)</f>
        <v>0</v>
      </c>
      <c r="R217" s="53">
        <f>SUMIF('2024 AC'!$B$3:$B$250,"*"&amp;$D217&amp;"*",'2024 AC'!F$3:F$250)</f>
        <v>301.5</v>
      </c>
      <c r="S217" s="53">
        <f>SUMIF('2024 AC'!$B$3:$B$250,"*"&amp;$D217&amp;"*",'2024 AC'!G$3:G$250)</f>
        <v>200</v>
      </c>
      <c r="T217" s="53">
        <f>SUMIF('2024 AC'!$B$3:$B$250,"*"&amp;$D217&amp;"*",'2024 AC'!H$3:H$250)</f>
        <v>0</v>
      </c>
      <c r="U217" s="53">
        <f>SUMIF('2024 AC'!$B$3:$B$250,"*"&amp;$D217&amp;"*",'2024 AC'!I$3:I$250)</f>
        <v>0</v>
      </c>
      <c r="V217" s="53">
        <f>SUMIF('2024 AC'!$B$3:$B$250,"*"&amp;$D217&amp;"*",'2024 AC'!J$3:J$250)</f>
        <v>48.600000000000001</v>
      </c>
      <c r="W217" s="53">
        <f>SUMIF('2024 AC'!$B$3:$B$250,"*"&amp;$D217&amp;"*",'2024 AC'!K$3:K$250)</f>
        <v>2250</v>
      </c>
      <c r="X217" s="53">
        <f>SUMIF('2024 AC'!$B$3:$B$250,"*"&amp;$D217&amp;"*",'2024 AC'!L$3:L$250)</f>
        <v>3041.54</v>
      </c>
      <c r="Y217" s="53">
        <f>SUMIF('2024 AC'!$B$3:$B$250,"*"&amp;$D217&amp;"*",'2024 AC'!M$3:M$250)</f>
        <v>19428</v>
      </c>
      <c r="Z217" s="93">
        <f>SUMIF('2024 AC'!$B$3:$B$250,"*"&amp;$D217&amp;"*",'2024 AC'!N$3:N$250)</f>
        <v>5280</v>
      </c>
      <c r="AA217" s="92">
        <f t="shared" si="223"/>
        <v>31241.639999999999</v>
      </c>
      <c r="AB217" s="93">
        <f t="shared" si="224"/>
        <v>692</v>
      </c>
      <c r="AC217" s="93">
        <f t="shared" si="225"/>
        <v>501.5</v>
      </c>
      <c r="AD217" s="93">
        <f t="shared" si="226"/>
        <v>2298.5999999999999</v>
      </c>
      <c r="AE217" s="93">
        <f t="shared" si="227"/>
        <v>27749.540000000001</v>
      </c>
      <c r="AF217" s="92">
        <f t="shared" si="228"/>
        <v>31241.639999999999</v>
      </c>
      <c r="AH217" s="63">
        <f>SUMIF('2025 AC'!$B$3:$B$250,"*"&amp;$D217&amp;"*",'2025 AC'!C$3:C$250)</f>
        <v>250</v>
      </c>
      <c r="AI217" s="53">
        <f>SUMIF('2025 AC'!$B$3:$B$250,"*"&amp;$D217&amp;"*",'2025 AC'!D$3:D$250)</f>
        <v>0</v>
      </c>
      <c r="AJ217" s="53">
        <f>SUMIF('2025 AC'!$B$3:$B$250,"*"&amp;$D217&amp;"*",'2025 AC'!E$3:E$250)</f>
        <v>1500</v>
      </c>
      <c r="AK217" s="53">
        <f>SUMIF('2025 AC'!$B$3:$B$250,"*"&amp;$D217&amp;"*",'2025 AC'!F$3:F$250)</f>
        <v>0</v>
      </c>
      <c r="AL217" s="53">
        <f>SUMIF('2025 AC'!$B$3:$B$250,"*"&amp;$D217&amp;"*",'2025 AC'!G$3:G$250)</f>
        <v>200</v>
      </c>
      <c r="AM217" s="53">
        <f>SUMIF('2025 AC'!$B$3:$B$250,"*"&amp;$D217&amp;"*",'2025 AC'!H$3:H$250)</f>
        <v>1500</v>
      </c>
      <c r="AN217" s="53">
        <f>SUMIF('2025 AC'!$B$3:$B$250,"*"&amp;$D217&amp;"*",'2025 AC'!I$3:I$250)</f>
        <v>0</v>
      </c>
      <c r="AO217" s="53">
        <f>SUMIF('2025 AC'!$B$3:$B$250,"*"&amp;$D217&amp;"*",'2025 AC'!J$3:J$250)</f>
        <v>168.59999999999999</v>
      </c>
      <c r="AP217" s="53">
        <f>SUMIF('2025 AC'!$B$3:$B$250,"*"&amp;$D217&amp;"*",'2025 AC'!K$3:K$250)</f>
        <v>0</v>
      </c>
      <c r="AQ217" s="53">
        <f>SUMIF('2025 AC'!$B$3:$B$250,"*"&amp;$D217&amp;"*",'2025 AC'!L$3:L$250)</f>
        <v>2924.1999999999998</v>
      </c>
      <c r="AR217" s="53">
        <f>SUMIF('2025 AC'!$B$3:$B$250,"*"&amp;$D217&amp;"*",'2025 AC'!M$3:M$250)</f>
        <v>13399</v>
      </c>
      <c r="AS217" s="53">
        <f>SUMIF('2025 AC'!$B$3:$B$250,"*"&amp;$D217&amp;"*",'2025 AC'!N$3:N$250)</f>
        <v>2807.5</v>
      </c>
      <c r="AT217" s="94">
        <f t="shared" si="206"/>
        <v>22749.299999999999</v>
      </c>
      <c r="AU217" s="93">
        <f t="shared" si="229"/>
        <v>1750</v>
      </c>
      <c r="AV217" s="93">
        <f t="shared" si="230"/>
        <v>1700</v>
      </c>
      <c r="AW217" s="93">
        <f t="shared" si="231"/>
        <v>168.59999999999999</v>
      </c>
      <c r="AX217" s="93">
        <f t="shared" si="232"/>
        <v>19130.700000000001</v>
      </c>
      <c r="AY217" s="92">
        <f t="shared" si="233"/>
        <v>22749.299999999999</v>
      </c>
      <c r="BA217" s="63">
        <f>SUMIF('2026 AC'!$B$3:$B$254,"*"&amp;$D217&amp;"*",'2026 AC'!C$3:C$254)</f>
        <v>-1577.5</v>
      </c>
      <c r="BB217" s="53">
        <f>SUMIF('2026 AC'!$B$3:$B$254,"*"&amp;$D217&amp;"*",'2026 AC'!D$3:D$254)</f>
        <v>440</v>
      </c>
      <c r="BC217" s="53">
        <f>SUMIF('2026 AC'!$B$3:$B$254,"*"&amp;$D217&amp;"*",'2026 AC'!E$3:E$254)</f>
        <v>440</v>
      </c>
      <c r="BD217" s="53">
        <f>SUMIF('2026 AC'!$B$3:$B$254,"*"&amp;$D217&amp;"*",'2026 AC'!F$3:F$254)</f>
        <v>440</v>
      </c>
      <c r="BE217" s="53">
        <f>SUMIF('2026 AC'!$B$3:$B$254,"*"&amp;$D217&amp;"*",'2026 AC'!G$3:G$254)</f>
        <v>640</v>
      </c>
      <c r="BF217" s="53">
        <f>SUMIF('2026 AC'!$B$3:$B$254,"*"&amp;$D217&amp;"*",'2026 AC'!H$3:H$254)</f>
        <v>440</v>
      </c>
      <c r="BG217" s="53">
        <f>SUMIF('2026 AC'!$B$3:$B$254,"*"&amp;$D217&amp;"*",'2026 AC'!I$3:I$254)</f>
        <v>0</v>
      </c>
      <c r="BH217" s="53">
        <f>SUMIF('2026 AC'!$B$3:$B$254,"*"&amp;$D217&amp;"*",'2026 AC'!J$3:J$254)</f>
        <v>0</v>
      </c>
      <c r="BI217" s="53">
        <f>SUMIF('2026 AC'!$B$3:$B$254,"*"&amp;$D217&amp;"*",'2026 AC'!K$3:K$254)</f>
        <v>0</v>
      </c>
      <c r="BJ217" s="53">
        <f>SUMIF('2026 AC'!$B$3:$B$254,"*"&amp;$D217&amp;"*",'2026 AC'!L$3:L$254)</f>
        <v>0</v>
      </c>
      <c r="BK217" s="53">
        <f>SUMIF('2026 AC'!$B$3:$B$254,"*"&amp;$D217&amp;"*",'2026 AC'!M$3:M$254)</f>
        <v>0</v>
      </c>
      <c r="BL217" s="93">
        <f>SUMIF('2026 AC'!$B$3:$B$254,"*"&amp;$D217&amp;"*",'2026 AC'!N$3:N$254)</f>
        <v>0</v>
      </c>
      <c r="BM217" s="92">
        <f t="shared" si="207"/>
        <v>822.5</v>
      </c>
      <c r="BN217" s="93">
        <f t="shared" si="234"/>
        <v>-697.5</v>
      </c>
      <c r="BO217" s="93">
        <f t="shared" si="235"/>
        <v>1520</v>
      </c>
      <c r="BP217" s="93">
        <f t="shared" si="236"/>
        <v>0</v>
      </c>
      <c r="BQ217" s="93">
        <f t="shared" si="237"/>
        <v>0</v>
      </c>
      <c r="BR217" s="92">
        <f t="shared" si="238"/>
        <v>822.5</v>
      </c>
    </row>
    <row r="218" ht="15" customHeight="1" outlineLevel="1">
      <c r="C218" s="34" t="s">
        <v>549</v>
      </c>
      <c r="D218" s="35" t="s">
        <v>523</v>
      </c>
      <c r="E218" s="153">
        <f t="shared" si="182"/>
        <v>0</v>
      </c>
      <c r="F218" s="186">
        <f t="shared" si="183"/>
        <v>0</v>
      </c>
      <c r="G218" s="154">
        <f>IFERROR((E218-F218)/F218,0)</f>
        <v>0</v>
      </c>
      <c r="H218" s="153">
        <f t="shared" si="185"/>
        <v>0</v>
      </c>
      <c r="I218" s="153">
        <f t="shared" si="186"/>
        <v>0</v>
      </c>
      <c r="J218" s="154">
        <f>IFERROR((H218-I218)/I218,0)</f>
        <v>0</v>
      </c>
      <c r="K218" s="153">
        <f t="shared" si="187"/>
        <v>0</v>
      </c>
      <c r="L218" s="153">
        <f t="shared" si="188"/>
        <v>0</v>
      </c>
      <c r="M218" s="155">
        <f>IFERROR((K218-L218)/L218,0)</f>
        <v>0</v>
      </c>
      <c r="O218" s="63">
        <f>SUMIF('2024 AC'!$B$3:$B$250,"*"&amp;$D218&amp;"*",'2024 AC'!C$3:C$250)</f>
        <v>0</v>
      </c>
      <c r="P218" s="53">
        <f>SUMIF('2024 AC'!$B$3:$B$250,"*"&amp;$D218&amp;"*",'2024 AC'!D$3:D$250)</f>
        <v>450</v>
      </c>
      <c r="Q218" s="53">
        <f>SUMIF('2024 AC'!$B$3:$B$250,"*"&amp;$D218&amp;"*",'2024 AC'!E$3:E$250)</f>
        <v>120</v>
      </c>
      <c r="R218" s="53">
        <f>SUMIF('2024 AC'!$B$3:$B$250,"*"&amp;$D218&amp;"*",'2024 AC'!F$3:F$250)</f>
        <v>0</v>
      </c>
      <c r="S218" s="53">
        <f>SUMIF('2024 AC'!$B$3:$B$250,"*"&amp;$D218&amp;"*",'2024 AC'!G$3:G$250)</f>
        <v>0</v>
      </c>
      <c r="T218" s="53">
        <f>SUMIF('2024 AC'!$B$3:$B$250,"*"&amp;$D218&amp;"*",'2024 AC'!H$3:H$250)</f>
        <v>0</v>
      </c>
      <c r="U218" s="53">
        <f>SUMIF('2024 AC'!$B$3:$B$250,"*"&amp;$D218&amp;"*",'2024 AC'!I$3:I$250)</f>
        <v>0</v>
      </c>
      <c r="V218" s="53">
        <f>SUMIF('2024 AC'!$B$3:$B$250,"*"&amp;$D218&amp;"*",'2024 AC'!J$3:J$250)</f>
        <v>0</v>
      </c>
      <c r="W218" s="53">
        <f>SUMIF('2024 AC'!$B$3:$B$250,"*"&amp;$D218&amp;"*",'2024 AC'!K$3:K$250)</f>
        <v>0</v>
      </c>
      <c r="X218" s="53">
        <f>SUMIF('2024 AC'!$B$3:$B$250,"*"&amp;$D218&amp;"*",'2024 AC'!L$3:L$250)</f>
        <v>0</v>
      </c>
      <c r="Y218" s="53">
        <f>SUMIF('2024 AC'!$B$3:$B$250,"*"&amp;$D218&amp;"*",'2024 AC'!M$3:M$250)</f>
        <v>0</v>
      </c>
      <c r="Z218" s="93">
        <f>SUMIF('2024 AC'!$B$3:$B$250,"*"&amp;$D218&amp;"*",'2024 AC'!N$3:N$250)</f>
        <v>0</v>
      </c>
      <c r="AA218" s="92">
        <f t="shared" si="223"/>
        <v>570</v>
      </c>
      <c r="AB218" s="93">
        <f t="shared" si="224"/>
        <v>570</v>
      </c>
      <c r="AC218" s="93">
        <f t="shared" si="225"/>
        <v>0</v>
      </c>
      <c r="AD218" s="93">
        <f t="shared" si="226"/>
        <v>0</v>
      </c>
      <c r="AE218" s="93">
        <f t="shared" si="227"/>
        <v>0</v>
      </c>
      <c r="AF218" s="92">
        <f t="shared" si="228"/>
        <v>570</v>
      </c>
      <c r="AH218" s="63">
        <f>SUMIF('2025 AC'!$B$3:$B$250,"*"&amp;$D218&amp;"*",'2025 AC'!C$3:C$250)</f>
        <v>0</v>
      </c>
      <c r="AI218" s="53">
        <f>SUMIF('2025 AC'!$B$3:$B$250,"*"&amp;$D218&amp;"*",'2025 AC'!D$3:D$250)</f>
        <v>0</v>
      </c>
      <c r="AJ218" s="53">
        <f>SUMIF('2025 AC'!$B$3:$B$250,"*"&amp;$D218&amp;"*",'2025 AC'!E$3:E$250)</f>
        <v>0</v>
      </c>
      <c r="AK218" s="53">
        <f>SUMIF('2025 AC'!$B$3:$B$250,"*"&amp;$D218&amp;"*",'2025 AC'!F$3:F$250)</f>
        <v>0</v>
      </c>
      <c r="AL218" s="53">
        <f>SUMIF('2025 AC'!$B$3:$B$250,"*"&amp;$D218&amp;"*",'2025 AC'!G$3:G$250)</f>
        <v>0</v>
      </c>
      <c r="AM218" s="53">
        <f>SUMIF('2025 AC'!$B$3:$B$250,"*"&amp;$D218&amp;"*",'2025 AC'!H$3:H$250)</f>
        <v>0</v>
      </c>
      <c r="AN218" s="53">
        <f>SUMIF('2025 AC'!$B$3:$B$250,"*"&amp;$D218&amp;"*",'2025 AC'!I$3:I$250)</f>
        <v>0</v>
      </c>
      <c r="AO218" s="53">
        <f>SUMIF('2025 AC'!$B$3:$B$250,"*"&amp;$D218&amp;"*",'2025 AC'!J$3:J$250)</f>
        <v>0</v>
      </c>
      <c r="AP218" s="53">
        <f>SUMIF('2025 AC'!$B$3:$B$250,"*"&amp;$D218&amp;"*",'2025 AC'!K$3:K$250)</f>
        <v>0</v>
      </c>
      <c r="AQ218" s="53">
        <f>SUMIF('2025 AC'!$B$3:$B$250,"*"&amp;$D218&amp;"*",'2025 AC'!L$3:L$250)</f>
        <v>0</v>
      </c>
      <c r="AR218" s="53">
        <f>SUMIF('2025 AC'!$B$3:$B$250,"*"&amp;$D218&amp;"*",'2025 AC'!M$3:M$250)</f>
        <v>0</v>
      </c>
      <c r="AS218" s="53">
        <f>SUMIF('2025 AC'!$B$3:$B$250,"*"&amp;$D218&amp;"*",'2025 AC'!N$3:N$250)</f>
        <v>0</v>
      </c>
      <c r="AT218" s="94">
        <f t="shared" si="206"/>
        <v>0</v>
      </c>
      <c r="AU218" s="93">
        <f t="shared" si="229"/>
        <v>0</v>
      </c>
      <c r="AV218" s="93">
        <f t="shared" si="230"/>
        <v>0</v>
      </c>
      <c r="AW218" s="93">
        <f t="shared" si="231"/>
        <v>0</v>
      </c>
      <c r="AX218" s="93">
        <f t="shared" si="232"/>
        <v>0</v>
      </c>
      <c r="AY218" s="92">
        <f t="shared" si="233"/>
        <v>0</v>
      </c>
      <c r="BA218" s="63">
        <f>SUMIF('2026 AC'!$B$3:$B$254,"*"&amp;$D218&amp;"*",'2026 AC'!C$3:C$254)</f>
        <v>0</v>
      </c>
      <c r="BB218" s="53">
        <f>SUMIF('2026 AC'!$B$3:$B$254,"*"&amp;$D218&amp;"*",'2026 AC'!D$3:D$254)</f>
        <v>0</v>
      </c>
      <c r="BC218" s="53">
        <f>SUMIF('2026 AC'!$B$3:$B$254,"*"&amp;$D218&amp;"*",'2026 AC'!E$3:E$254)</f>
        <v>0</v>
      </c>
      <c r="BD218" s="53">
        <f>SUMIF('2026 AC'!$B$3:$B$254,"*"&amp;$D218&amp;"*",'2026 AC'!F$3:F$254)</f>
        <v>0</v>
      </c>
      <c r="BE218" s="53">
        <f>SUMIF('2026 AC'!$B$3:$B$254,"*"&amp;$D218&amp;"*",'2026 AC'!G$3:G$254)</f>
        <v>0</v>
      </c>
      <c r="BF218" s="53">
        <f>SUMIF('2026 AC'!$B$3:$B$254,"*"&amp;$D218&amp;"*",'2026 AC'!H$3:H$254)</f>
        <v>0</v>
      </c>
      <c r="BG218" s="53">
        <f>SUMIF('2026 AC'!$B$3:$B$254,"*"&amp;$D218&amp;"*",'2026 AC'!I$3:I$254)</f>
        <v>0</v>
      </c>
      <c r="BH218" s="53">
        <f>SUMIF('2026 AC'!$B$3:$B$254,"*"&amp;$D218&amp;"*",'2026 AC'!J$3:J$254)</f>
        <v>0</v>
      </c>
      <c r="BI218" s="53">
        <f>SUMIF('2026 AC'!$B$3:$B$254,"*"&amp;$D218&amp;"*",'2026 AC'!K$3:K$254)</f>
        <v>0</v>
      </c>
      <c r="BJ218" s="53">
        <f>SUMIF('2026 AC'!$B$3:$B$254,"*"&amp;$D218&amp;"*",'2026 AC'!L$3:L$254)</f>
        <v>0</v>
      </c>
      <c r="BK218" s="53">
        <f>SUMIF('2026 AC'!$B$3:$B$254,"*"&amp;$D218&amp;"*",'2026 AC'!M$3:M$254)</f>
        <v>0</v>
      </c>
      <c r="BL218" s="93">
        <f>SUMIF('2026 AC'!$B$3:$B$254,"*"&amp;$D218&amp;"*",'2026 AC'!N$3:N$254)</f>
        <v>0</v>
      </c>
      <c r="BM218" s="92">
        <f t="shared" si="207"/>
        <v>0</v>
      </c>
      <c r="BN218" s="93">
        <f t="shared" si="234"/>
        <v>0</v>
      </c>
      <c r="BO218" s="93">
        <f t="shared" si="235"/>
        <v>0</v>
      </c>
      <c r="BP218" s="93">
        <f t="shared" si="236"/>
        <v>0</v>
      </c>
      <c r="BQ218" s="93">
        <f t="shared" si="237"/>
        <v>0</v>
      </c>
      <c r="BR218" s="92">
        <f t="shared" si="238"/>
        <v>0</v>
      </c>
    </row>
    <row r="219" s="137" customFormat="1">
      <c r="C219" s="173" t="s">
        <v>550</v>
      </c>
      <c r="D219" s="139" t="s">
        <v>526</v>
      </c>
      <c r="E219" s="143">
        <f t="shared" ref="E219:E228" si="246">SUMIF($BA$6:$BL$6,$E$6,$BA219:$BL219)</f>
        <v>859</v>
      </c>
      <c r="F219" s="143">
        <f t="shared" ref="F219:F228" si="247">SUMIF($AH$6:$AS$6,$F$6,$AH219:$AS219)</f>
        <v>955.39999999999998</v>
      </c>
      <c r="G219" s="142">
        <f t="shared" si="245"/>
        <v>-0.1009001465354825</v>
      </c>
      <c r="H219" s="143">
        <f t="shared" ref="H219:H228" si="248">SUMIF($BN$6:$BR$6,$H$6,$BN219:$BR219)</f>
        <v>2789.0500000000002</v>
      </c>
      <c r="I219" s="143">
        <f t="shared" ref="I219:I228" si="249">SUMIF($AU$6:$AY$6,$I$6,$AU219:$AY219)</f>
        <v>2950.4000000000001</v>
      </c>
      <c r="J219" s="142">
        <f t="shared" si="243"/>
        <v>-5.4687499999999965e-02</v>
      </c>
      <c r="K219" s="143">
        <f t="shared" ref="K219:K228" si="250">BM219</f>
        <v>6207.9499999999998</v>
      </c>
      <c r="L219" s="143">
        <f t="shared" ref="L219:L228" si="251">SUM(AH219:AM219)</f>
        <v>6449.3999999999996</v>
      </c>
      <c r="M219" s="144">
        <f t="shared" si="244"/>
        <v>-3.7437591093745129e-02</v>
      </c>
      <c r="O219" s="145">
        <f>SUMIF('2024 AC'!$B$3:$B$250,"*"&amp;$D219&amp;"*",'2024 AC'!C$3:C$250)</f>
        <v>1317.5</v>
      </c>
      <c r="P219" s="146">
        <f>SUMIF('2024 AC'!$B$3:$B$250,"*"&amp;$D219&amp;"*",'2024 AC'!D$3:D$250)</f>
        <v>204</v>
      </c>
      <c r="Q219" s="146">
        <f>SUMIF('2024 AC'!$B$3:$B$250,"*"&amp;$D219&amp;"*",'2024 AC'!E$3:E$250)</f>
        <v>2076.5</v>
      </c>
      <c r="R219" s="146">
        <f>SUMIF('2024 AC'!$B$3:$B$250,"*"&amp;$D219&amp;"*",'2024 AC'!F$3:F$250)</f>
        <v>2228</v>
      </c>
      <c r="S219" s="146">
        <f>SUMIF('2024 AC'!$B$3:$B$250,"*"&amp;$D219&amp;"*",'2024 AC'!G$3:G$250)</f>
        <v>1809</v>
      </c>
      <c r="T219" s="146">
        <f>SUMIF('2024 AC'!$B$3:$B$250,"*"&amp;$D219&amp;"*",'2024 AC'!H$3:H$250)</f>
        <v>0</v>
      </c>
      <c r="U219" s="146">
        <f>SUMIF('2024 AC'!$B$3:$B$250,"*"&amp;$D219&amp;"*",'2024 AC'!I$3:I$250)</f>
        <v>1833.5</v>
      </c>
      <c r="V219" s="146">
        <f>SUMIF('2024 AC'!$B$3:$B$250,"*"&amp;$D219&amp;"*",'2024 AC'!J$3:J$250)</f>
        <v>2435</v>
      </c>
      <c r="W219" s="146">
        <f>SUMIF('2024 AC'!$B$3:$B$250,"*"&amp;$D219&amp;"*",'2024 AC'!K$3:K$250)</f>
        <v>726.5</v>
      </c>
      <c r="X219" s="146">
        <f>SUMIF('2024 AC'!$B$3:$B$250,"*"&amp;$D219&amp;"*",'2024 AC'!L$3:L$250)</f>
        <v>1194.5</v>
      </c>
      <c r="Y219" s="146">
        <f>SUMIF('2024 AC'!$B$3:$B$250,"*"&amp;$D219&amp;"*",'2024 AC'!M$3:M$250)</f>
        <v>890.5</v>
      </c>
      <c r="Z219" s="147">
        <f>SUMIF('2024 AC'!$B$3:$B$250,"*"&amp;$D219&amp;"*",'2024 AC'!N$3:N$250)</f>
        <v>1163.5</v>
      </c>
      <c r="AA219" s="148">
        <f t="shared" si="223"/>
        <v>15878.5</v>
      </c>
      <c r="AB219" s="147">
        <f t="shared" si="224"/>
        <v>3598</v>
      </c>
      <c r="AC219" s="147">
        <f t="shared" si="225"/>
        <v>4037</v>
      </c>
      <c r="AD219" s="147">
        <f t="shared" si="226"/>
        <v>4995</v>
      </c>
      <c r="AE219" s="147">
        <f t="shared" si="227"/>
        <v>3248.5</v>
      </c>
      <c r="AF219" s="148">
        <f t="shared" si="228"/>
        <v>15878.5</v>
      </c>
      <c r="AH219" s="145">
        <f>SUMIF('2025 AC'!$B$3:$B$250,"*"&amp;$D219&amp;"*",'2025 AC'!C$3:C$250)</f>
        <v>1309.5</v>
      </c>
      <c r="AI219" s="146">
        <f>SUMIF('2025 AC'!$B$3:$B$250,"*"&amp;$D219&amp;"*",'2025 AC'!D$3:D$250)</f>
        <v>630</v>
      </c>
      <c r="AJ219" s="146">
        <f>SUMIF('2025 AC'!$B$3:$B$250,"*"&amp;$D219&amp;"*",'2025 AC'!E$3:E$250)</f>
        <v>1559.5</v>
      </c>
      <c r="AK219" s="146">
        <f>SUMIF('2025 AC'!$B$3:$B$250,"*"&amp;$D219&amp;"*",'2025 AC'!F$3:F$250)</f>
        <v>1113</v>
      </c>
      <c r="AL219" s="146">
        <f>SUMIF('2025 AC'!$B$3:$B$250,"*"&amp;$D219&amp;"*",'2025 AC'!G$3:G$250)</f>
        <v>882</v>
      </c>
      <c r="AM219" s="146">
        <f>SUMIF('2025 AC'!$B$3:$B$250,"*"&amp;$D219&amp;"*",'2025 AC'!H$3:H$250)</f>
        <v>955.39999999999998</v>
      </c>
      <c r="AN219" s="146">
        <f>SUMIF('2025 AC'!$B$3:$B$250,"*"&amp;$D219&amp;"*",'2025 AC'!I$3:I$250)</f>
        <v>888</v>
      </c>
      <c r="AO219" s="146">
        <f>SUMIF('2025 AC'!$B$3:$B$250,"*"&amp;$D219&amp;"*",'2025 AC'!J$3:J$250)</f>
        <v>1355.75</v>
      </c>
      <c r="AP219" s="146">
        <f>SUMIF('2025 AC'!$B$3:$B$250,"*"&amp;$D219&amp;"*",'2025 AC'!K$3:K$250)</f>
        <v>520</v>
      </c>
      <c r="AQ219" s="146">
        <f>SUMIF('2025 AC'!$B$3:$B$250,"*"&amp;$D219&amp;"*",'2025 AC'!L$3:L$250)</f>
        <v>1188</v>
      </c>
      <c r="AR219" s="146">
        <f>SUMIF('2025 AC'!$B$3:$B$250,"*"&amp;$D219&amp;"*",'2025 AC'!M$3:M$250)</f>
        <v>740</v>
      </c>
      <c r="AS219" s="146">
        <f>SUMIF('2025 AC'!$B$3:$B$250,"*"&amp;$D219&amp;"*",'2025 AC'!N$3:N$250)</f>
        <v>925.60000000000002</v>
      </c>
      <c r="AT219" s="149">
        <f t="shared" si="206"/>
        <v>12066.75</v>
      </c>
      <c r="AU219" s="147">
        <f t="shared" si="229"/>
        <v>3499</v>
      </c>
      <c r="AV219" s="147">
        <f t="shared" si="230"/>
        <v>2950.4000000000001</v>
      </c>
      <c r="AW219" s="147">
        <f t="shared" si="231"/>
        <v>2763.75</v>
      </c>
      <c r="AX219" s="147">
        <f t="shared" si="232"/>
        <v>2853.5999999999999</v>
      </c>
      <c r="AY219" s="148">
        <f t="shared" si="233"/>
        <v>12066.75</v>
      </c>
      <c r="BA219" s="145">
        <f>SUMIF('2026 AC'!$B$3:$B$254,"*"&amp;$D219&amp;"*",'2026 AC'!C$3:C$254)</f>
        <v>835.5</v>
      </c>
      <c r="BB219" s="146">
        <f>SUMIF('2026 AC'!$B$3:$B$254,"*"&amp;$D219&amp;"*",'2026 AC'!D$3:D$254)</f>
        <v>1020.2</v>
      </c>
      <c r="BC219" s="146">
        <f>SUMIF('2026 AC'!$B$3:$B$254,"*"&amp;$D219&amp;"*",'2026 AC'!E$3:E$254)</f>
        <v>1563.2</v>
      </c>
      <c r="BD219" s="146">
        <f>SUMIF('2026 AC'!$B$3:$B$254,"*"&amp;$D219&amp;"*",'2026 AC'!F$3:F$254)</f>
        <v>961.04999999999995</v>
      </c>
      <c r="BE219" s="197">
        <f>SUMIF('2026 AC'!$B$3:$B$254,"*"&amp;$D219&amp;"*",'2026 AC'!G$3:G$254)</f>
        <v>969</v>
      </c>
      <c r="BF219" s="146">
        <f>SUMIF('2026 AC'!$B$3:$B$254,"*"&amp;$D219&amp;"*",'2026 AC'!H$3:H$254)</f>
        <v>859</v>
      </c>
      <c r="BG219" s="146">
        <f>SUMIF('2026 AC'!$B$3:$B$254,"*"&amp;$D219&amp;"*",'2026 AC'!I$3:I$254)</f>
        <v>0</v>
      </c>
      <c r="BH219" s="146">
        <f>SUMIF('2026 AC'!$B$3:$B$254,"*"&amp;$D219&amp;"*",'2026 AC'!J$3:J$254)</f>
        <v>0</v>
      </c>
      <c r="BI219" s="146">
        <f>SUMIF('2026 AC'!$B$3:$B$254,"*"&amp;$D219&amp;"*",'2026 AC'!K$3:K$254)</f>
        <v>0</v>
      </c>
      <c r="BJ219" s="146">
        <f>SUMIF('2026 AC'!$B$3:$B$254,"*"&amp;$D219&amp;"*",'2026 AC'!L$3:L$254)</f>
        <v>0</v>
      </c>
      <c r="BK219" s="146">
        <f>SUMIF('2026 AC'!$B$3:$B$254,"*"&amp;$D219&amp;"*",'2026 AC'!M$3:M$254)</f>
        <v>0</v>
      </c>
      <c r="BL219" s="147">
        <f>SUMIF('2026 AC'!$B$3:$B$254,"*"&amp;$D219&amp;"*",'2026 AC'!N$3:N$254)</f>
        <v>0</v>
      </c>
      <c r="BM219" s="148">
        <f t="shared" si="207"/>
        <v>6207.9499999999998</v>
      </c>
      <c r="BN219" s="147">
        <f t="shared" si="234"/>
        <v>3418.9000000000001</v>
      </c>
      <c r="BO219" s="147">
        <f t="shared" si="235"/>
        <v>2789.0500000000002</v>
      </c>
      <c r="BP219" s="147">
        <f t="shared" si="236"/>
        <v>0</v>
      </c>
      <c r="BQ219" s="147">
        <f t="shared" si="237"/>
        <v>0</v>
      </c>
      <c r="BR219" s="148">
        <f t="shared" si="238"/>
        <v>6207.9500000000007</v>
      </c>
    </row>
    <row r="220">
      <c r="C220" s="34"/>
      <c r="D220" s="35"/>
      <c r="E220" s="153">
        <f t="shared" si="246"/>
        <v>0</v>
      </c>
      <c r="F220" s="153">
        <f t="shared" si="247"/>
        <v>0</v>
      </c>
      <c r="G220" s="154"/>
      <c r="H220" s="153">
        <f t="shared" si="248"/>
        <v>0</v>
      </c>
      <c r="I220" s="153">
        <f t="shared" si="249"/>
        <v>0</v>
      </c>
      <c r="J220" s="154"/>
      <c r="K220" s="153">
        <f t="shared" si="250"/>
        <v>0</v>
      </c>
      <c r="L220" s="153">
        <f t="shared" si="251"/>
        <v>0</v>
      </c>
      <c r="M220" s="155"/>
      <c r="O220" s="6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93"/>
      <c r="AA220" s="92"/>
      <c r="AB220" s="93">
        <f t="shared" si="224"/>
        <v>0</v>
      </c>
      <c r="AC220" s="93">
        <f t="shared" si="225"/>
        <v>0</v>
      </c>
      <c r="AD220" s="93">
        <f t="shared" si="226"/>
        <v>0</v>
      </c>
      <c r="AE220" s="93">
        <f t="shared" si="227"/>
        <v>0</v>
      </c>
      <c r="AF220" s="92">
        <f t="shared" si="228"/>
        <v>0</v>
      </c>
      <c r="AH220" s="6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94"/>
      <c r="AU220" s="93">
        <f t="shared" si="229"/>
        <v>0</v>
      </c>
      <c r="AV220" s="93">
        <f t="shared" si="230"/>
        <v>0</v>
      </c>
      <c r="AW220" s="93">
        <f t="shared" si="231"/>
        <v>0</v>
      </c>
      <c r="AX220" s="93">
        <f t="shared" si="232"/>
        <v>0</v>
      </c>
      <c r="AY220" s="92">
        <f t="shared" si="233"/>
        <v>0</v>
      </c>
      <c r="BA220" s="6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93"/>
      <c r="BM220" s="92"/>
      <c r="BN220" s="93">
        <f t="shared" si="234"/>
        <v>0</v>
      </c>
      <c r="BO220" s="93">
        <f t="shared" si="235"/>
        <v>0</v>
      </c>
      <c r="BP220" s="93">
        <f t="shared" si="236"/>
        <v>0</v>
      </c>
      <c r="BQ220" s="93">
        <f t="shared" si="237"/>
        <v>0</v>
      </c>
      <c r="BR220" s="92">
        <f t="shared" si="238"/>
        <v>0</v>
      </c>
    </row>
    <row r="221" s="190" customFormat="1" ht="15" customHeight="1">
      <c r="A221" s="174"/>
      <c r="C221" s="126" t="s">
        <v>551</v>
      </c>
      <c r="D221" s="191"/>
      <c r="E221" s="200">
        <f t="shared" si="246"/>
        <v>497185.71999999997</v>
      </c>
      <c r="F221" s="201">
        <f t="shared" si="247"/>
        <v>378457.56000000006</v>
      </c>
      <c r="G221" s="178">
        <f t="shared" si="245"/>
        <v>0.31371591572909763</v>
      </c>
      <c r="H221" s="192">
        <f t="shared" si="248"/>
        <v>1493399.99</v>
      </c>
      <c r="I221" s="192">
        <f t="shared" si="249"/>
        <v>1161070.23</v>
      </c>
      <c r="J221" s="178">
        <f t="shared" si="243"/>
        <v>0.28622709584070555</v>
      </c>
      <c r="K221" s="192">
        <f t="shared" si="250"/>
        <v>3159286.75</v>
      </c>
      <c r="L221" s="192">
        <f t="shared" si="251"/>
        <v>2458527.6699999999</v>
      </c>
      <c r="M221" s="179">
        <f t="shared" si="244"/>
        <v>0.28503200860863204</v>
      </c>
      <c r="O221" s="180">
        <f>O125+O155+O158+O159+O210+O212+O215+O216+O219</f>
        <v>539744.27000000002</v>
      </c>
      <c r="P221" s="181">
        <f t="shared" ref="P221:Z221" si="252">P125+P155+P158+P159+P210+P212+P215+P216+P219</f>
        <v>374025.78999999998</v>
      </c>
      <c r="Q221" s="181">
        <f t="shared" si="252"/>
        <v>426689.49000000005</v>
      </c>
      <c r="R221" s="181">
        <f t="shared" si="252"/>
        <v>389462.20000000001</v>
      </c>
      <c r="S221" s="181">
        <f t="shared" si="252"/>
        <v>445526.83000000002</v>
      </c>
      <c r="T221" s="181">
        <f t="shared" si="252"/>
        <v>410105.42999999999</v>
      </c>
      <c r="U221" s="181">
        <f t="shared" si="252"/>
        <v>642714.02000000002</v>
      </c>
      <c r="V221" s="181">
        <f t="shared" si="252"/>
        <v>535633.34999999998</v>
      </c>
      <c r="W221" s="181">
        <f t="shared" si="252"/>
        <v>412351.71999999997</v>
      </c>
      <c r="X221" s="181">
        <f t="shared" si="252"/>
        <v>428792.47999999998</v>
      </c>
      <c r="Y221" s="181">
        <f t="shared" si="252"/>
        <v>413128.45999999996</v>
      </c>
      <c r="Z221" s="182">
        <f t="shared" si="252"/>
        <v>461471.31000000006</v>
      </c>
      <c r="AA221" s="183">
        <f t="shared" si="223"/>
        <v>5479645.3499999996</v>
      </c>
      <c r="AB221" s="182">
        <f t="shared" si="224"/>
        <v>1340459.55</v>
      </c>
      <c r="AC221" s="182">
        <f t="shared" si="225"/>
        <v>1245094.46</v>
      </c>
      <c r="AD221" s="182">
        <f t="shared" si="226"/>
        <v>1590699.0900000001</v>
      </c>
      <c r="AE221" s="182">
        <f t="shared" si="227"/>
        <v>1303392.25</v>
      </c>
      <c r="AF221" s="183">
        <f t="shared" si="228"/>
        <v>5479645.3499999996</v>
      </c>
      <c r="AH221" s="180">
        <f>AH125+AH155+AH158+AH159+AH210+AH212+AH215+AH216+AH219</f>
        <v>514735.28999999998</v>
      </c>
      <c r="AI221" s="181">
        <f t="shared" ref="AI221:AS221" si="253">AI125+AI155+AI158+AI159+AI210+AI212+AI215+AI216+AI219</f>
        <v>407643.28999999998</v>
      </c>
      <c r="AJ221" s="181">
        <f t="shared" si="253"/>
        <v>375078.85999999999</v>
      </c>
      <c r="AK221" s="181">
        <f t="shared" si="253"/>
        <v>377631.31</v>
      </c>
      <c r="AL221" s="181">
        <f t="shared" si="253"/>
        <v>404981.35999999999</v>
      </c>
      <c r="AM221" s="181">
        <f t="shared" si="253"/>
        <v>378457.56000000006</v>
      </c>
      <c r="AN221" s="181">
        <f t="shared" si="253"/>
        <v>409415.66000000003</v>
      </c>
      <c r="AO221" s="181">
        <f t="shared" si="253"/>
        <v>685860.47999999998</v>
      </c>
      <c r="AP221" s="181">
        <f t="shared" si="253"/>
        <v>399454.54000000004</v>
      </c>
      <c r="AQ221" s="181">
        <f t="shared" si="253"/>
        <v>400309.25</v>
      </c>
      <c r="AR221" s="181">
        <f t="shared" si="253"/>
        <v>382192.34999999998</v>
      </c>
      <c r="AS221" s="181">
        <f t="shared" si="253"/>
        <v>1555281.4900000002</v>
      </c>
      <c r="AT221" s="184">
        <f t="shared" si="206"/>
        <v>6291041.4399999995</v>
      </c>
      <c r="AU221" s="182">
        <f t="shared" si="229"/>
        <v>1297457.4399999999</v>
      </c>
      <c r="AV221" s="182">
        <f t="shared" si="230"/>
        <v>1161070.23</v>
      </c>
      <c r="AW221" s="182">
        <f t="shared" si="231"/>
        <v>1494730.6800000002</v>
      </c>
      <c r="AX221" s="182">
        <f t="shared" si="232"/>
        <v>2337783.0900000003</v>
      </c>
      <c r="AY221" s="183">
        <f t="shared" si="233"/>
        <v>6291041.4400000004</v>
      </c>
      <c r="BA221" s="180">
        <f>BA125+BA155+BA158+BA159+BA210+BA212+BA215+BA216+BA219</f>
        <v>571740.27000000002</v>
      </c>
      <c r="BB221" s="181">
        <f t="shared" ref="BB221:BL221" si="254">BB125+BB155+BB158+BB159+BB210+BB212+BB215+BB216+BB219</f>
        <v>538986.28000000003</v>
      </c>
      <c r="BC221" s="181">
        <f t="shared" si="254"/>
        <v>555160.20999999996</v>
      </c>
      <c r="BD221" s="181">
        <f t="shared" si="254"/>
        <v>492879.86999999994</v>
      </c>
      <c r="BE221" s="181">
        <f t="shared" si="254"/>
        <v>503334.40000000002</v>
      </c>
      <c r="BF221" s="181">
        <f t="shared" si="254"/>
        <v>497185.71999999997</v>
      </c>
      <c r="BG221" s="181">
        <f t="shared" si="254"/>
        <v>0</v>
      </c>
      <c r="BH221" s="181">
        <f t="shared" si="254"/>
        <v>0</v>
      </c>
      <c r="BI221" s="181">
        <f t="shared" si="254"/>
        <v>0</v>
      </c>
      <c r="BJ221" s="181">
        <f t="shared" si="254"/>
        <v>0</v>
      </c>
      <c r="BK221" s="181">
        <f t="shared" si="254"/>
        <v>0</v>
      </c>
      <c r="BL221" s="182">
        <f t="shared" si="254"/>
        <v>0</v>
      </c>
      <c r="BM221" s="183">
        <f t="shared" si="207"/>
        <v>3159286.75</v>
      </c>
      <c r="BN221" s="182">
        <f t="shared" si="234"/>
        <v>1665886.76</v>
      </c>
      <c r="BO221" s="182">
        <f t="shared" si="235"/>
        <v>1493399.99</v>
      </c>
      <c r="BP221" s="182">
        <f t="shared" si="236"/>
        <v>0</v>
      </c>
      <c r="BQ221" s="182">
        <f t="shared" si="237"/>
        <v>0</v>
      </c>
      <c r="BR221" s="183">
        <f t="shared" si="238"/>
        <v>3159286.75</v>
      </c>
    </row>
    <row r="222">
      <c r="C222" s="34"/>
      <c r="D222" s="35"/>
      <c r="E222" s="153">
        <f t="shared" si="246"/>
        <v>0</v>
      </c>
      <c r="F222" s="153">
        <f t="shared" si="247"/>
        <v>0</v>
      </c>
      <c r="G222" s="154"/>
      <c r="H222" s="153">
        <f t="shared" si="248"/>
        <v>0</v>
      </c>
      <c r="I222" s="153">
        <f t="shared" si="249"/>
        <v>0</v>
      </c>
      <c r="J222" s="154"/>
      <c r="K222" s="153">
        <f t="shared" si="250"/>
        <v>0</v>
      </c>
      <c r="L222" s="153">
        <f t="shared" si="251"/>
        <v>0</v>
      </c>
      <c r="M222" s="155"/>
      <c r="O222" s="6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93"/>
      <c r="AA222" s="92"/>
      <c r="AB222" s="93">
        <f t="shared" si="224"/>
        <v>0</v>
      </c>
      <c r="AC222" s="93">
        <f t="shared" si="225"/>
        <v>0</v>
      </c>
      <c r="AD222" s="93">
        <f t="shared" si="226"/>
        <v>0</v>
      </c>
      <c r="AE222" s="93">
        <f t="shared" si="227"/>
        <v>0</v>
      </c>
      <c r="AF222" s="92">
        <f t="shared" si="228"/>
        <v>0</v>
      </c>
      <c r="AH222" s="6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94"/>
      <c r="AU222" s="93">
        <f t="shared" si="229"/>
        <v>0</v>
      </c>
      <c r="AV222" s="93">
        <f t="shared" si="230"/>
        <v>0</v>
      </c>
      <c r="AW222" s="93">
        <f t="shared" si="231"/>
        <v>0</v>
      </c>
      <c r="AX222" s="93">
        <f t="shared" si="232"/>
        <v>0</v>
      </c>
      <c r="AY222" s="92">
        <f t="shared" si="233"/>
        <v>0</v>
      </c>
      <c r="BA222" s="6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93"/>
      <c r="BM222" s="92"/>
      <c r="BN222" s="93">
        <f t="shared" si="234"/>
        <v>0</v>
      </c>
      <c r="BO222" s="93">
        <f t="shared" si="235"/>
        <v>0</v>
      </c>
      <c r="BP222" s="93">
        <f t="shared" si="236"/>
        <v>0</v>
      </c>
      <c r="BQ222" s="93">
        <f t="shared" si="237"/>
        <v>0</v>
      </c>
      <c r="BR222" s="92">
        <f t="shared" si="238"/>
        <v>0</v>
      </c>
    </row>
    <row r="223" s="164" customFormat="1" ht="15" customHeight="1">
      <c r="C223" s="165" t="s">
        <v>552</v>
      </c>
      <c r="D223" s="166"/>
      <c r="E223" s="202">
        <f t="shared" si="246"/>
        <v>-124230.70000000001</v>
      </c>
      <c r="F223" s="203">
        <f t="shared" si="247"/>
        <v>-31576.330000000016</v>
      </c>
      <c r="G223" s="54">
        <f t="shared" si="245"/>
        <v>2.9342982544203187</v>
      </c>
      <c r="H223" s="203">
        <f t="shared" si="248"/>
        <v>-336646.03999999998</v>
      </c>
      <c r="I223" s="203">
        <f t="shared" si="249"/>
        <v>-100649.83999999997</v>
      </c>
      <c r="J223" s="54">
        <f t="shared" si="243"/>
        <v>2.344725038807812</v>
      </c>
      <c r="K223" s="203">
        <f t="shared" si="250"/>
        <v>-877109.61999999988</v>
      </c>
      <c r="L223" s="203">
        <f t="shared" si="251"/>
        <v>-453997.84999999998</v>
      </c>
      <c r="M223" s="55">
        <f t="shared" si="244"/>
        <v>0.9319686646093146</v>
      </c>
      <c r="O223" s="168">
        <f>O110+O121-O221</f>
        <v>-321626.97999999998</v>
      </c>
      <c r="P223" s="169">
        <f t="shared" ref="P223:Z223" si="255">P110+P121-P221</f>
        <v>-30932.369999999937</v>
      </c>
      <c r="Q223" s="169">
        <f t="shared" si="255"/>
        <v>-182683.38999999998</v>
      </c>
      <c r="R223" s="169">
        <f t="shared" si="255"/>
        <v>-119909.97999999998</v>
      </c>
      <c r="S223" s="169">
        <f t="shared" si="255"/>
        <v>-51389.120000000054</v>
      </c>
      <c r="T223" s="169">
        <f t="shared" si="255"/>
        <v>-89360.150000000023</v>
      </c>
      <c r="U223" s="169">
        <f t="shared" si="255"/>
        <v>-245235.86000000004</v>
      </c>
      <c r="V223" s="169">
        <f t="shared" si="255"/>
        <v>-53667.869999999879</v>
      </c>
      <c r="W223" s="169">
        <f t="shared" si="255"/>
        <v>-62246.059999999939</v>
      </c>
      <c r="X223" s="169">
        <f t="shared" si="255"/>
        <v>-85816.880000000005</v>
      </c>
      <c r="Y223" s="169">
        <f t="shared" si="255"/>
        <v>-18168.77999999997</v>
      </c>
      <c r="Z223" s="170">
        <f t="shared" si="255"/>
        <v>-10942.070000000065</v>
      </c>
      <c r="AA223" s="171">
        <f t="shared" si="223"/>
        <v>-1271979.5099999998</v>
      </c>
      <c r="AB223" s="170">
        <f t="shared" si="224"/>
        <v>-535242.73999999987</v>
      </c>
      <c r="AC223" s="170">
        <f t="shared" si="225"/>
        <v>-260659.25000000006</v>
      </c>
      <c r="AD223" s="170">
        <f t="shared" si="226"/>
        <v>-361149.78999999986</v>
      </c>
      <c r="AE223" s="170">
        <f t="shared" si="227"/>
        <v>-114927.73000000004</v>
      </c>
      <c r="AF223" s="171">
        <f t="shared" si="228"/>
        <v>-1271979.5099999998</v>
      </c>
      <c r="AH223" s="168">
        <f>AH110+AH121-AH221</f>
        <v>-210880.14999999997</v>
      </c>
      <c r="AI223" s="169">
        <f t="shared" ref="AI223:AS223" si="256">AI110+AI121-AI221</f>
        <v>-79884.840000000026</v>
      </c>
      <c r="AJ223" s="169">
        <f t="shared" si="256"/>
        <v>-62583.020000000019</v>
      </c>
      <c r="AK223" s="169">
        <f t="shared" si="256"/>
        <v>-51632.549999999988</v>
      </c>
      <c r="AL223" s="169">
        <f t="shared" si="256"/>
        <v>-17440.959999999963</v>
      </c>
      <c r="AM223" s="169">
        <f t="shared" si="256"/>
        <v>-31576.330000000016</v>
      </c>
      <c r="AN223" s="169">
        <f t="shared" si="256"/>
        <v>-39083.48000000004</v>
      </c>
      <c r="AO223" s="169">
        <f t="shared" si="256"/>
        <v>-306415.56000000006</v>
      </c>
      <c r="AP223" s="169">
        <f t="shared" si="256"/>
        <v>-2943.3000000001048</v>
      </c>
      <c r="AQ223" s="169">
        <f t="shared" si="256"/>
        <v>-182021.44999999998</v>
      </c>
      <c r="AR223" s="169">
        <f t="shared" si="256"/>
        <v>-58053.039999999979</v>
      </c>
      <c r="AS223" s="169">
        <f t="shared" si="256"/>
        <v>-1008191.3500000002</v>
      </c>
      <c r="AT223" s="172">
        <f t="shared" si="206"/>
        <v>-2050706.0300000003</v>
      </c>
      <c r="AU223" s="170">
        <f t="shared" si="229"/>
        <v>-353348.01000000001</v>
      </c>
      <c r="AV223" s="170">
        <f t="shared" si="230"/>
        <v>-100649.83999999997</v>
      </c>
      <c r="AW223" s="170">
        <f t="shared" si="231"/>
        <v>-348442.3400000002</v>
      </c>
      <c r="AX223" s="170">
        <f t="shared" si="232"/>
        <v>-1248265.8400000001</v>
      </c>
      <c r="AY223" s="171">
        <f t="shared" si="233"/>
        <v>-2050706.0300000003</v>
      </c>
      <c r="BA223" s="168">
        <f>BA110+BA121-BA221</f>
        <v>-192045.33000000002</v>
      </c>
      <c r="BB223" s="169">
        <f t="shared" ref="BB223:BL223" si="257">BB110+BB121-BB221</f>
        <v>-182643.76000000001</v>
      </c>
      <c r="BC223" s="169">
        <f t="shared" si="257"/>
        <v>-165774.48999999999</v>
      </c>
      <c r="BD223" s="169">
        <f t="shared" si="257"/>
        <v>-84308.099999999919</v>
      </c>
      <c r="BE223" s="169">
        <f t="shared" si="257"/>
        <v>-128107.24000000005</v>
      </c>
      <c r="BF223" s="169">
        <f t="shared" si="257"/>
        <v>-124230.70000000001</v>
      </c>
      <c r="BG223" s="169">
        <f t="shared" si="257"/>
        <v>0</v>
      </c>
      <c r="BH223" s="169">
        <f t="shared" si="257"/>
        <v>0</v>
      </c>
      <c r="BI223" s="169">
        <f t="shared" si="257"/>
        <v>0</v>
      </c>
      <c r="BJ223" s="169">
        <f t="shared" si="257"/>
        <v>0</v>
      </c>
      <c r="BK223" s="169">
        <f t="shared" si="257"/>
        <v>0</v>
      </c>
      <c r="BL223" s="170">
        <f t="shared" si="257"/>
        <v>0</v>
      </c>
      <c r="BM223" s="171">
        <f t="shared" si="207"/>
        <v>-877109.61999999988</v>
      </c>
      <c r="BN223" s="170">
        <f t="shared" si="234"/>
        <v>-540463.58000000007</v>
      </c>
      <c r="BO223" s="170">
        <f t="shared" si="235"/>
        <v>-336646.03999999998</v>
      </c>
      <c r="BP223" s="170">
        <f t="shared" si="236"/>
        <v>0</v>
      </c>
      <c r="BQ223" s="170">
        <f t="shared" si="237"/>
        <v>0</v>
      </c>
      <c r="BR223" s="171">
        <f t="shared" si="238"/>
        <v>-877109.62000000011</v>
      </c>
    </row>
    <row r="224" ht="15" customHeight="1">
      <c r="C224" s="165"/>
      <c r="D224" s="35"/>
      <c r="E224" s="153">
        <f t="shared" si="246"/>
        <v>0</v>
      </c>
      <c r="F224" s="53">
        <f t="shared" si="247"/>
        <v>0</v>
      </c>
      <c r="G224" s="154"/>
      <c r="H224" s="153">
        <f t="shared" si="248"/>
        <v>0</v>
      </c>
      <c r="I224" s="153">
        <f t="shared" si="249"/>
        <v>0</v>
      </c>
      <c r="J224" s="154"/>
      <c r="K224" s="153">
        <f t="shared" si="250"/>
        <v>0</v>
      </c>
      <c r="L224" s="153">
        <f t="shared" si="251"/>
        <v>0</v>
      </c>
      <c r="M224" s="155"/>
      <c r="O224" s="6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93"/>
      <c r="AA224" s="92"/>
      <c r="AB224" s="93">
        <f t="shared" si="224"/>
        <v>0</v>
      </c>
      <c r="AC224" s="93">
        <f t="shared" si="225"/>
        <v>0</v>
      </c>
      <c r="AD224" s="93">
        <f t="shared" si="226"/>
        <v>0</v>
      </c>
      <c r="AE224" s="93">
        <f t="shared" si="227"/>
        <v>0</v>
      </c>
      <c r="AF224" s="92">
        <f t="shared" si="228"/>
        <v>0</v>
      </c>
      <c r="AH224" s="6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94"/>
      <c r="AU224" s="93">
        <f t="shared" si="229"/>
        <v>0</v>
      </c>
      <c r="AV224" s="93">
        <f t="shared" si="230"/>
        <v>0</v>
      </c>
      <c r="AW224" s="93">
        <f t="shared" si="231"/>
        <v>0</v>
      </c>
      <c r="AX224" s="93">
        <f t="shared" si="232"/>
        <v>0</v>
      </c>
      <c r="AY224" s="92">
        <f t="shared" si="233"/>
        <v>0</v>
      </c>
      <c r="BA224" s="6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93"/>
      <c r="BM224" s="92"/>
      <c r="BN224" s="93">
        <f t="shared" si="234"/>
        <v>0</v>
      </c>
      <c r="BO224" s="93">
        <f t="shared" si="235"/>
        <v>0</v>
      </c>
      <c r="BP224" s="93">
        <f t="shared" si="236"/>
        <v>0</v>
      </c>
      <c r="BQ224" s="93">
        <f t="shared" si="237"/>
        <v>0</v>
      </c>
      <c r="BR224" s="92">
        <f t="shared" si="238"/>
        <v>0</v>
      </c>
    </row>
    <row r="225" ht="15" customHeight="1">
      <c r="C225" s="165" t="s">
        <v>529</v>
      </c>
      <c r="D225" s="35"/>
      <c r="E225" s="153">
        <f t="shared" si="246"/>
        <v>0</v>
      </c>
      <c r="F225" s="153">
        <f t="shared" si="247"/>
        <v>0</v>
      </c>
      <c r="G225" s="154"/>
      <c r="H225" s="153">
        <f t="shared" si="248"/>
        <v>0</v>
      </c>
      <c r="I225" s="153">
        <f t="shared" si="249"/>
        <v>0</v>
      </c>
      <c r="J225" s="154"/>
      <c r="K225" s="153">
        <f t="shared" si="250"/>
        <v>0</v>
      </c>
      <c r="L225" s="153">
        <f t="shared" si="251"/>
        <v>0</v>
      </c>
      <c r="M225" s="155"/>
      <c r="O225" s="6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93"/>
      <c r="AA225" s="92"/>
      <c r="AB225" s="93">
        <f t="shared" si="224"/>
        <v>0</v>
      </c>
      <c r="AC225" s="93">
        <f t="shared" si="225"/>
        <v>0</v>
      </c>
      <c r="AD225" s="93">
        <f t="shared" si="226"/>
        <v>0</v>
      </c>
      <c r="AE225" s="93">
        <f t="shared" si="227"/>
        <v>0</v>
      </c>
      <c r="AF225" s="92">
        <f t="shared" si="228"/>
        <v>0</v>
      </c>
      <c r="AH225" s="6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94"/>
      <c r="AU225" s="93">
        <f t="shared" si="229"/>
        <v>0</v>
      </c>
      <c r="AV225" s="93">
        <f t="shared" si="230"/>
        <v>0</v>
      </c>
      <c r="AW225" s="93">
        <f t="shared" si="231"/>
        <v>0</v>
      </c>
      <c r="AX225" s="93">
        <f t="shared" si="232"/>
        <v>0</v>
      </c>
      <c r="AY225" s="92">
        <f t="shared" si="233"/>
        <v>0</v>
      </c>
      <c r="BA225" s="6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93"/>
      <c r="BM225" s="92"/>
      <c r="BN225" s="93">
        <f t="shared" si="234"/>
        <v>0</v>
      </c>
      <c r="BO225" s="93">
        <f t="shared" si="235"/>
        <v>0</v>
      </c>
      <c r="BP225" s="93">
        <f t="shared" si="236"/>
        <v>0</v>
      </c>
      <c r="BQ225" s="93">
        <f t="shared" si="237"/>
        <v>0</v>
      </c>
      <c r="BR225" s="92">
        <f t="shared" si="238"/>
        <v>0</v>
      </c>
    </row>
    <row r="226" s="137" customFormat="1">
      <c r="C226" s="173" t="s">
        <v>531</v>
      </c>
      <c r="D226" s="139" t="s">
        <v>532</v>
      </c>
      <c r="E226" s="143">
        <f t="shared" si="246"/>
        <v>0</v>
      </c>
      <c r="F226" s="143">
        <f t="shared" si="247"/>
        <v>0</v>
      </c>
      <c r="G226" s="161">
        <f>IFERROR((E226-F226)/F226,0)</f>
        <v>0</v>
      </c>
      <c r="H226" s="143">
        <f t="shared" si="248"/>
        <v>0</v>
      </c>
      <c r="I226" s="143">
        <f t="shared" si="249"/>
        <v>0</v>
      </c>
      <c r="J226" s="161">
        <f>IFERROR((H226-I226)/I226,0)</f>
        <v>0</v>
      </c>
      <c r="K226" s="143">
        <f t="shared" si="250"/>
        <v>0</v>
      </c>
      <c r="L226" s="143">
        <f t="shared" si="251"/>
        <v>0</v>
      </c>
      <c r="M226" s="163">
        <f>IFERROR((K226-L226)/L226,0)</f>
        <v>0</v>
      </c>
      <c r="O226" s="145">
        <f>SUMIF('2024 AC'!$B$3:$B$250,"*"&amp;$D226&amp;"*",'2024 AC'!C$3:C$250)</f>
        <v>0</v>
      </c>
      <c r="P226" s="146">
        <f>SUMIF('2024 AC'!$B$3:$B$250,"*"&amp;$D226&amp;"*",'2024 AC'!D$3:D$250)</f>
        <v>0</v>
      </c>
      <c r="Q226" s="146">
        <f>SUMIF('2024 AC'!$B$3:$B$250,"*"&amp;$D226&amp;"*",'2024 AC'!E$3:E$250)</f>
        <v>0</v>
      </c>
      <c r="R226" s="146">
        <f>SUMIF('2024 AC'!$B$3:$B$250,"*"&amp;$D226&amp;"*",'2024 AC'!F$3:F$250)</f>
        <v>0</v>
      </c>
      <c r="S226" s="146">
        <f>SUMIF('2024 AC'!$B$3:$B$250,"*"&amp;$D226&amp;"*",'2024 AC'!G$3:G$250)</f>
        <v>0</v>
      </c>
      <c r="T226" s="146">
        <f>SUMIF('2024 AC'!$B$3:$B$250,"*"&amp;$D226&amp;"*",'2024 AC'!H$3:H$250)</f>
        <v>0</v>
      </c>
      <c r="U226" s="146">
        <f>SUMIF('2024 AC'!$B$3:$B$250,"*"&amp;$D226&amp;"*",'2024 AC'!I$3:I$250)</f>
        <v>0</v>
      </c>
      <c r="V226" s="146">
        <f>SUMIF('2024 AC'!$B$3:$B$250,"*"&amp;$D226&amp;"*",'2024 AC'!J$3:J$250)</f>
        <v>0</v>
      </c>
      <c r="W226" s="146">
        <f>SUMIF('2024 AC'!$B$3:$B$250,"*"&amp;$D226&amp;"*",'2024 AC'!K$3:K$250)</f>
        <v>0</v>
      </c>
      <c r="X226" s="146">
        <f>SUMIF('2024 AC'!$B$3:$B$250,"*"&amp;$D226&amp;"*",'2024 AC'!L$3:L$250)</f>
        <v>0</v>
      </c>
      <c r="Y226" s="146">
        <f>SUMIF('2024 AC'!$B$3:$B$250,"*"&amp;$D226&amp;"*",'2024 AC'!M$3:M$250)</f>
        <v>0</v>
      </c>
      <c r="Z226" s="147">
        <f>SUMIF('2024 AC'!$B$3:$B$250,"*"&amp;$D226&amp;"*",'2024 AC'!N$3:N$250)</f>
        <v>0</v>
      </c>
      <c r="AA226" s="148">
        <f t="shared" si="223"/>
        <v>0</v>
      </c>
      <c r="AB226" s="147">
        <f t="shared" si="224"/>
        <v>0</v>
      </c>
      <c r="AC226" s="147">
        <f t="shared" si="225"/>
        <v>0</v>
      </c>
      <c r="AD226" s="147">
        <f t="shared" si="226"/>
        <v>0</v>
      </c>
      <c r="AE226" s="147">
        <f t="shared" si="227"/>
        <v>0</v>
      </c>
      <c r="AF226" s="148">
        <f t="shared" si="228"/>
        <v>0</v>
      </c>
      <c r="AH226" s="145">
        <f>SUMIF('2025 AC'!$B$3:$B$250,"*"&amp;$D226&amp;"*",'2025 AC'!C$3:C$250)</f>
        <v>0</v>
      </c>
      <c r="AI226" s="146">
        <f>SUMIF('2025 AC'!$B$3:$B$250,"*"&amp;$D226&amp;"*",'2025 AC'!D$3:D$250)</f>
        <v>0</v>
      </c>
      <c r="AJ226" s="146">
        <f>SUMIF('2025 AC'!$B$3:$B$250,"*"&amp;$D226&amp;"*",'2025 AC'!E$3:E$250)</f>
        <v>0</v>
      </c>
      <c r="AK226" s="146">
        <f>SUMIF('2025 AC'!$B$3:$B$250,"*"&amp;$D226&amp;"*",'2025 AC'!F$3:F$250)</f>
        <v>0</v>
      </c>
      <c r="AL226" s="146">
        <f>SUMIF('2025 AC'!$B$3:$B$250,"*"&amp;$D226&amp;"*",'2025 AC'!G$3:G$250)</f>
        <v>0</v>
      </c>
      <c r="AM226" s="146">
        <f>SUMIF('2025 AC'!$B$3:$B$250,"*"&amp;$D226&amp;"*",'2025 AC'!H$3:H$250)</f>
        <v>0</v>
      </c>
      <c r="AN226" s="146">
        <f>SUMIF('2025 AC'!$B$3:$B$250,"*"&amp;$D226&amp;"*",'2025 AC'!I$3:I$250)</f>
        <v>0</v>
      </c>
      <c r="AO226" s="146">
        <f>SUMIF('2025 AC'!$B$3:$B$250,"*"&amp;$D226&amp;"*",'2025 AC'!J$3:J$250)</f>
        <v>0</v>
      </c>
      <c r="AP226" s="146">
        <f>SUMIF('2025 AC'!$B$3:$B$250,"*"&amp;$D226&amp;"*",'2025 AC'!K$3:K$250)</f>
        <v>0</v>
      </c>
      <c r="AQ226" s="146">
        <f>SUMIF('2025 AC'!$B$3:$B$250,"*"&amp;$D226&amp;"*",'2025 AC'!L$3:L$250)</f>
        <v>0</v>
      </c>
      <c r="AR226" s="146">
        <f>SUMIF('2025 AC'!$B$3:$B$250,"*"&amp;$D226&amp;"*",'2025 AC'!M$3:M$250)</f>
        <v>0</v>
      </c>
      <c r="AS226" s="146">
        <f>SUMIF('2025 AC'!$B$3:$B$250,"*"&amp;$D226&amp;"*",'2025 AC'!N$3:N$250)</f>
        <v>0</v>
      </c>
      <c r="AT226" s="149">
        <f t="shared" si="206"/>
        <v>0</v>
      </c>
      <c r="AU226" s="147">
        <f t="shared" si="229"/>
        <v>0</v>
      </c>
      <c r="AV226" s="147">
        <f t="shared" si="230"/>
        <v>0</v>
      </c>
      <c r="AW226" s="147">
        <f t="shared" si="231"/>
        <v>0</v>
      </c>
      <c r="AX226" s="147">
        <f t="shared" si="232"/>
        <v>0</v>
      </c>
      <c r="AY226" s="148">
        <f t="shared" si="233"/>
        <v>0</v>
      </c>
      <c r="BA226" s="145">
        <f>SUMIF('2026 AC'!$B$3:$B$254,"*"&amp;$D226&amp;"*",'2026 AC'!C$3:C$254)</f>
        <v>0</v>
      </c>
      <c r="BB226" s="146">
        <f>SUMIF('2026 AC'!$B$3:$B$254,"*"&amp;$D226&amp;"*",'2026 AC'!D$3:D$254)</f>
        <v>0</v>
      </c>
      <c r="BC226" s="146">
        <f>SUMIF('2026 AC'!$B$3:$B$254,"*"&amp;$D226&amp;"*",'2026 AC'!E$3:E$254)</f>
        <v>0</v>
      </c>
      <c r="BD226" s="146">
        <f>SUMIF('2026 AC'!$B$3:$B$254,"*"&amp;$D226&amp;"*",'2026 AC'!F$3:F$254)</f>
        <v>0</v>
      </c>
      <c r="BE226" s="146">
        <f>SUMIF('2026 AC'!$B$3:$B$254,"*"&amp;$D226&amp;"*",'2026 AC'!G$3:G$254)</f>
        <v>0</v>
      </c>
      <c r="BF226" s="146">
        <f>SUMIF('2026 AC'!$B$3:$B$254,"*"&amp;$D226&amp;"*",'2026 AC'!H$3:H$254)</f>
        <v>0</v>
      </c>
      <c r="BG226" s="146">
        <f>SUMIF('2026 AC'!$B$3:$B$254,"*"&amp;$D226&amp;"*",'2026 AC'!I$3:I$254)</f>
        <v>0</v>
      </c>
      <c r="BH226" s="146">
        <f>SUMIF('2026 AC'!$B$3:$B$254,"*"&amp;$D226&amp;"*",'2026 AC'!J$3:J$254)</f>
        <v>0</v>
      </c>
      <c r="BI226" s="146">
        <f>SUMIF('2026 AC'!$B$3:$B$254,"*"&amp;$D226&amp;"*",'2026 AC'!K$3:K$254)</f>
        <v>0</v>
      </c>
      <c r="BJ226" s="146">
        <f>SUMIF('2026 AC'!$B$3:$B$254,"*"&amp;$D226&amp;"*",'2026 AC'!L$3:L$254)</f>
        <v>0</v>
      </c>
      <c r="BK226" s="146">
        <f>SUMIF('2026 AC'!$B$3:$B$254,"*"&amp;$D226&amp;"*",'2026 AC'!M$3:M$254)</f>
        <v>0</v>
      </c>
      <c r="BL226" s="147">
        <f>SUMIF('2026 AC'!$B$3:$B$254,"*"&amp;$D226&amp;"*",'2026 AC'!N$3:N$254)</f>
        <v>0</v>
      </c>
      <c r="BM226" s="148">
        <f t="shared" si="207"/>
        <v>0</v>
      </c>
      <c r="BN226" s="147">
        <f t="shared" si="234"/>
        <v>0</v>
      </c>
      <c r="BO226" s="147">
        <f t="shared" si="235"/>
        <v>0</v>
      </c>
      <c r="BP226" s="147">
        <f t="shared" si="236"/>
        <v>0</v>
      </c>
      <c r="BQ226" s="147">
        <f t="shared" si="237"/>
        <v>0</v>
      </c>
      <c r="BR226" s="148">
        <f t="shared" si="238"/>
        <v>0</v>
      </c>
    </row>
    <row r="227">
      <c r="C227" s="34"/>
      <c r="D227" s="35"/>
      <c r="E227" s="153">
        <f t="shared" si="246"/>
        <v>0</v>
      </c>
      <c r="F227" s="153">
        <f t="shared" si="247"/>
        <v>0</v>
      </c>
      <c r="G227" s="154"/>
      <c r="H227" s="153">
        <f t="shared" si="248"/>
        <v>0</v>
      </c>
      <c r="I227" s="153">
        <f t="shared" si="249"/>
        <v>0</v>
      </c>
      <c r="J227" s="154"/>
      <c r="K227" s="153">
        <f t="shared" si="250"/>
        <v>0</v>
      </c>
      <c r="L227" s="153">
        <f t="shared" si="251"/>
        <v>0</v>
      </c>
      <c r="M227" s="155"/>
      <c r="O227" s="6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93"/>
      <c r="AA227" s="92"/>
      <c r="AB227" s="93">
        <f t="shared" si="224"/>
        <v>0</v>
      </c>
      <c r="AC227" s="93">
        <f t="shared" si="225"/>
        <v>0</v>
      </c>
      <c r="AD227" s="93">
        <f t="shared" si="226"/>
        <v>0</v>
      </c>
      <c r="AE227" s="93">
        <f t="shared" si="227"/>
        <v>0</v>
      </c>
      <c r="AF227" s="92">
        <f t="shared" si="228"/>
        <v>0</v>
      </c>
      <c r="AH227" s="6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94"/>
      <c r="AU227" s="93">
        <f t="shared" si="229"/>
        <v>0</v>
      </c>
      <c r="AV227" s="93">
        <f t="shared" si="230"/>
        <v>0</v>
      </c>
      <c r="AW227" s="93">
        <f t="shared" si="231"/>
        <v>0</v>
      </c>
      <c r="AX227" s="93">
        <f t="shared" si="232"/>
        <v>0</v>
      </c>
      <c r="AY227" s="92">
        <f t="shared" si="233"/>
        <v>0</v>
      </c>
      <c r="BA227" s="6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93"/>
      <c r="BM227" s="92"/>
      <c r="BN227" s="93">
        <f t="shared" si="234"/>
        <v>0</v>
      </c>
      <c r="BO227" s="93">
        <f t="shared" si="235"/>
        <v>0</v>
      </c>
      <c r="BP227" s="93">
        <f t="shared" si="236"/>
        <v>0</v>
      </c>
      <c r="BQ227" s="93">
        <f t="shared" si="237"/>
        <v>0</v>
      </c>
      <c r="BR227" s="92">
        <f t="shared" si="238"/>
        <v>0</v>
      </c>
    </row>
    <row r="228" s="164" customFormat="1" ht="15" customHeight="1">
      <c r="C228" s="204" t="s">
        <v>536</v>
      </c>
      <c r="D228" s="205"/>
      <c r="E228" s="202">
        <f t="shared" si="246"/>
        <v>-124230.70000000001</v>
      </c>
      <c r="F228" s="202">
        <f t="shared" si="247"/>
        <v>-31576.330000000016</v>
      </c>
      <c r="G228" s="54">
        <f>(E228-F228)/F228</f>
        <v>2.9342982544203187</v>
      </c>
      <c r="H228" s="202">
        <f t="shared" si="248"/>
        <v>-336646.03999999998</v>
      </c>
      <c r="I228" s="202">
        <f t="shared" si="249"/>
        <v>-100649.83999999997</v>
      </c>
      <c r="J228" s="54">
        <f>(H228-I228)/I228</f>
        <v>2.344725038807812</v>
      </c>
      <c r="K228" s="202">
        <f t="shared" si="250"/>
        <v>-877109.61999999988</v>
      </c>
      <c r="L228" s="202">
        <f t="shared" si="251"/>
        <v>-453997.84999999998</v>
      </c>
      <c r="M228" s="55">
        <f>(K228-L228)/L228</f>
        <v>0.9319686646093146</v>
      </c>
      <c r="O228" s="206">
        <f>O223-O226</f>
        <v>-321626.97999999998</v>
      </c>
      <c r="P228" s="207">
        <f t="shared" ref="P228:Z228" si="258">P223-P226</f>
        <v>-30932.369999999937</v>
      </c>
      <c r="Q228" s="207">
        <f t="shared" si="258"/>
        <v>-182683.38999999998</v>
      </c>
      <c r="R228" s="207">
        <f t="shared" si="258"/>
        <v>-119909.97999999998</v>
      </c>
      <c r="S228" s="207">
        <f t="shared" si="258"/>
        <v>-51389.120000000054</v>
      </c>
      <c r="T228" s="207">
        <f t="shared" si="258"/>
        <v>-89360.150000000023</v>
      </c>
      <c r="U228" s="207">
        <f t="shared" si="258"/>
        <v>-245235.86000000004</v>
      </c>
      <c r="V228" s="207">
        <f t="shared" si="258"/>
        <v>-53667.869999999879</v>
      </c>
      <c r="W228" s="207">
        <f t="shared" si="258"/>
        <v>-62246.059999999939</v>
      </c>
      <c r="X228" s="207">
        <f t="shared" si="258"/>
        <v>-85816.880000000005</v>
      </c>
      <c r="Y228" s="207">
        <f t="shared" si="258"/>
        <v>-18168.77999999997</v>
      </c>
      <c r="Z228" s="208">
        <f t="shared" si="258"/>
        <v>-10942.070000000065</v>
      </c>
      <c r="AA228" s="209">
        <f t="shared" si="223"/>
        <v>-1271979.5099999998</v>
      </c>
      <c r="AB228" s="208">
        <f t="shared" si="224"/>
        <v>-535242.73999999987</v>
      </c>
      <c r="AC228" s="208">
        <f t="shared" si="225"/>
        <v>-260659.25000000006</v>
      </c>
      <c r="AD228" s="208">
        <f t="shared" si="226"/>
        <v>-361149.78999999986</v>
      </c>
      <c r="AE228" s="208">
        <f t="shared" si="227"/>
        <v>-114927.73000000004</v>
      </c>
      <c r="AF228" s="209">
        <f t="shared" si="228"/>
        <v>-1271979.5099999998</v>
      </c>
      <c r="AH228" s="206">
        <f>AH223-AH226</f>
        <v>-210880.14999999997</v>
      </c>
      <c r="AI228" s="207">
        <f t="shared" ref="AI228:AS228" si="259">AI223-AI226</f>
        <v>-79884.840000000026</v>
      </c>
      <c r="AJ228" s="207">
        <f t="shared" si="259"/>
        <v>-62583.020000000019</v>
      </c>
      <c r="AK228" s="207">
        <f t="shared" si="259"/>
        <v>-51632.549999999988</v>
      </c>
      <c r="AL228" s="207">
        <f t="shared" si="259"/>
        <v>-17440.959999999963</v>
      </c>
      <c r="AM228" s="207">
        <f t="shared" si="259"/>
        <v>-31576.330000000016</v>
      </c>
      <c r="AN228" s="207">
        <f t="shared" si="259"/>
        <v>-39083.48000000004</v>
      </c>
      <c r="AO228" s="207">
        <f t="shared" si="259"/>
        <v>-306415.56000000006</v>
      </c>
      <c r="AP228" s="207">
        <f t="shared" si="259"/>
        <v>-2943.3000000001048</v>
      </c>
      <c r="AQ228" s="207">
        <f t="shared" si="259"/>
        <v>-182021.44999999998</v>
      </c>
      <c r="AR228" s="207">
        <f t="shared" si="259"/>
        <v>-58053.039999999979</v>
      </c>
      <c r="AS228" s="207">
        <f t="shared" si="259"/>
        <v>-1008191.3500000002</v>
      </c>
      <c r="AT228" s="210">
        <f t="shared" si="206"/>
        <v>-2050706.0300000003</v>
      </c>
      <c r="AU228" s="208">
        <f t="shared" si="229"/>
        <v>-353348.01000000001</v>
      </c>
      <c r="AV228" s="208">
        <f t="shared" si="230"/>
        <v>-100649.83999999997</v>
      </c>
      <c r="AW228" s="208">
        <f t="shared" si="231"/>
        <v>-348442.3400000002</v>
      </c>
      <c r="AX228" s="208">
        <f t="shared" si="232"/>
        <v>-1248265.8400000001</v>
      </c>
      <c r="AY228" s="209">
        <f t="shared" si="233"/>
        <v>-2050706.0300000003</v>
      </c>
      <c r="BA228" s="206">
        <f>BA223-BA226</f>
        <v>-192045.33000000002</v>
      </c>
      <c r="BB228" s="207">
        <f t="shared" ref="BB228:BL228" si="260">BB223-BB226</f>
        <v>-182643.76000000001</v>
      </c>
      <c r="BC228" s="207">
        <f t="shared" si="260"/>
        <v>-165774.48999999999</v>
      </c>
      <c r="BD228" s="207">
        <f t="shared" si="260"/>
        <v>-84308.099999999919</v>
      </c>
      <c r="BE228" s="207">
        <f t="shared" si="260"/>
        <v>-128107.24000000005</v>
      </c>
      <c r="BF228" s="207">
        <f t="shared" si="260"/>
        <v>-124230.70000000001</v>
      </c>
      <c r="BG228" s="207">
        <f t="shared" si="260"/>
        <v>0</v>
      </c>
      <c r="BH228" s="207">
        <f t="shared" si="260"/>
        <v>0</v>
      </c>
      <c r="BI228" s="207">
        <f t="shared" si="260"/>
        <v>0</v>
      </c>
      <c r="BJ228" s="207">
        <f t="shared" si="260"/>
        <v>0</v>
      </c>
      <c r="BK228" s="207">
        <f t="shared" si="260"/>
        <v>0</v>
      </c>
      <c r="BL228" s="208">
        <f t="shared" si="260"/>
        <v>0</v>
      </c>
      <c r="BM228" s="209">
        <f t="shared" si="207"/>
        <v>-877109.61999999988</v>
      </c>
      <c r="BN228" s="208">
        <f t="shared" si="234"/>
        <v>-540463.58000000007</v>
      </c>
      <c r="BO228" s="208">
        <f t="shared" si="235"/>
        <v>-336646.03999999998</v>
      </c>
      <c r="BP228" s="208">
        <f t="shared" si="236"/>
        <v>0</v>
      </c>
      <c r="BQ228" s="208">
        <f t="shared" si="237"/>
        <v>0</v>
      </c>
      <c r="BR228" s="209">
        <f t="shared" si="238"/>
        <v>-877109.62000000011</v>
      </c>
    </row>
    <row r="229" ht="15" customHeight="1"/>
    <row r="230" ht="15" customHeight="1"/>
    <row r="231" ht="15" customHeight="1"/>
    <row r="233" ht="15" customHeight="1"/>
    <row r="234" ht="15" customHeight="1"/>
    <row r="237" ht="15" customHeight="1"/>
    <row r="238" ht="15" customHeight="1"/>
    <row r="239" ht="15" customHeight="1"/>
  </sheetData>
  <mergeCells count="4">
    <mergeCell ref="C4:M5"/>
    <mergeCell ref="O4:AF5"/>
    <mergeCell ref="AH4:AY5"/>
    <mergeCell ref="BA4:BR5"/>
  </mergeCells>
  <printOptions headings="0" gridLines="0"/>
  <pageMargins left="0.25" right="0.11944444444444396" top="0.59027777777777801" bottom="0.43263888888888891" header="0.29999999999999999" footer="0.078472222222222221"/>
  <pageSetup paperSize="9" scale="32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view="pageBreakPreview" topLeftCell="A1" zoomScale="55" workbookViewId="0">
      <pane ySplit="6" topLeftCell="A7" activePane="bottomLeft" state="frozen"/>
      <selection activeCell="J22" activeCellId="0" sqref="J22"/>
    </sheetView>
  </sheetViews>
  <sheetFormatPr defaultColWidth="9" defaultRowHeight="14.5" outlineLevelRow="1"/>
  <cols>
    <col customWidth="1" hidden="1" min="1" max="1" width="47.1796875"/>
    <col customWidth="1" hidden="1" min="2" max="2" width="12.81640625"/>
    <col customWidth="1" min="3" max="3" width="39.453125"/>
    <col customWidth="1" min="4" max="4" width="11.36328125"/>
    <col customWidth="1" min="5" max="5" style="1" width="14.54296875"/>
    <col customWidth="1" min="6" max="7" width="14.54296875"/>
    <col customWidth="1" min="8" max="8" width="15.453125"/>
    <col customWidth="1" min="9" max="9" width="15.7265625"/>
    <col customWidth="1" min="10" max="10" width="14.7265625"/>
    <col customWidth="1" min="11" max="12" width="15.453125"/>
    <col customWidth="1" min="13" max="15" width="14.7265625"/>
    <col customWidth="1" min="16" max="16" width="15.453125"/>
    <col customWidth="1" min="17" max="17" width="15.08984375"/>
    <col customWidth="1" min="18" max="22" width="13.26953125"/>
  </cols>
  <sheetData>
    <row r="1">
      <c r="C1" s="2" t="s">
        <v>0</v>
      </c>
    </row>
    <row r="2" ht="24.5">
      <c r="C2" s="3" t="s">
        <v>1</v>
      </c>
    </row>
    <row r="3" ht="15"/>
    <row r="4" ht="25.899999999999999" customHeight="1">
      <c r="C4" s="4" t="s">
        <v>2</v>
      </c>
      <c r="D4" s="5"/>
      <c r="E4" s="4" t="s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 ht="25.5" customHeight="1">
      <c r="C5" s="11"/>
      <c r="D5" s="12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0"/>
    </row>
    <row r="6" s="21" customFormat="1" ht="14.25" customHeight="1">
      <c r="C6" s="22"/>
      <c r="D6" s="23" t="s">
        <v>6</v>
      </c>
      <c r="E6" s="31">
        <v>46023</v>
      </c>
      <c r="F6" s="31">
        <v>46054</v>
      </c>
      <c r="G6" s="31">
        <v>46082</v>
      </c>
      <c r="H6" s="31">
        <v>46113</v>
      </c>
      <c r="I6" s="31">
        <v>46143</v>
      </c>
      <c r="J6" s="31">
        <v>46174</v>
      </c>
      <c r="K6" s="31">
        <v>46204</v>
      </c>
      <c r="L6" s="31">
        <v>46235</v>
      </c>
      <c r="M6" s="31">
        <v>46266</v>
      </c>
      <c r="N6" s="31">
        <v>46296</v>
      </c>
      <c r="O6" s="31">
        <v>46327</v>
      </c>
      <c r="P6" s="32">
        <v>46357</v>
      </c>
      <c r="Q6" s="33" t="s">
        <v>12</v>
      </c>
      <c r="R6" s="31" t="s">
        <v>20</v>
      </c>
      <c r="S6" s="31" t="s">
        <v>8</v>
      </c>
      <c r="T6" s="31" t="s">
        <v>21</v>
      </c>
      <c r="U6" s="32" t="s">
        <v>22</v>
      </c>
      <c r="V6" s="33" t="s">
        <v>12</v>
      </c>
    </row>
    <row r="7">
      <c r="C7" s="34"/>
      <c r="D7" s="35"/>
      <c r="E7" s="42"/>
      <c r="F7" s="39"/>
      <c r="G7" s="39"/>
      <c r="H7" s="39"/>
      <c r="I7" s="39"/>
      <c r="J7" s="39"/>
      <c r="K7" s="39"/>
      <c r="L7" s="39"/>
      <c r="M7" s="39"/>
      <c r="N7" s="39"/>
      <c r="O7" s="39"/>
      <c r="P7" s="40"/>
      <c r="Q7" s="41"/>
      <c r="R7" s="40"/>
      <c r="S7" s="40"/>
      <c r="T7" s="40"/>
      <c r="U7" s="40"/>
      <c r="V7" s="41"/>
    </row>
    <row r="8" ht="15.5">
      <c r="C8" s="44" t="s">
        <v>23</v>
      </c>
      <c r="D8" s="35"/>
      <c r="E8" s="50"/>
      <c r="F8" s="35"/>
      <c r="G8" s="35"/>
      <c r="H8" s="35"/>
      <c r="I8" s="35"/>
      <c r="J8" s="35"/>
      <c r="K8" s="35"/>
      <c r="L8" s="35"/>
      <c r="M8" s="35"/>
      <c r="N8" s="35"/>
      <c r="O8" s="35"/>
      <c r="P8" s="48"/>
      <c r="Q8" s="49"/>
      <c r="R8" s="48"/>
      <c r="S8" s="48"/>
      <c r="T8" s="48"/>
      <c r="U8" s="48"/>
      <c r="V8" s="49"/>
    </row>
    <row r="9">
      <c r="C9" s="34"/>
      <c r="D9" s="35"/>
      <c r="E9" s="50"/>
      <c r="F9" s="35"/>
      <c r="G9" s="35"/>
      <c r="H9" s="35"/>
      <c r="I9" s="35"/>
      <c r="J9" s="35"/>
      <c r="K9" s="35"/>
      <c r="L9" s="35"/>
      <c r="M9" s="35"/>
      <c r="N9" s="35"/>
      <c r="O9" s="35"/>
      <c r="P9" s="48"/>
      <c r="Q9" s="49"/>
      <c r="R9" s="48"/>
      <c r="S9" s="48"/>
      <c r="T9" s="48"/>
      <c r="U9" s="48"/>
      <c r="V9" s="49"/>
    </row>
    <row r="10">
      <c r="C10" s="52" t="s">
        <v>24</v>
      </c>
      <c r="D10" s="35"/>
      <c r="E10" s="63">
        <v>4588</v>
      </c>
      <c r="F10" s="53">
        <v>4144</v>
      </c>
      <c r="G10" s="53">
        <v>4588</v>
      </c>
      <c r="H10" s="53">
        <v>4440</v>
      </c>
      <c r="I10" s="53">
        <v>4588</v>
      </c>
      <c r="J10" s="53">
        <v>4440</v>
      </c>
      <c r="K10" s="53">
        <v>0</v>
      </c>
      <c r="L10" s="53">
        <v>0</v>
      </c>
      <c r="M10" s="53">
        <v>0</v>
      </c>
      <c r="N10" s="53">
        <v>0</v>
      </c>
      <c r="O10" s="53">
        <v>0</v>
      </c>
      <c r="P10" s="93">
        <v>0</v>
      </c>
      <c r="Q10" s="59">
        <f t="shared" ref="Q10:Q11" si="261">SUM(E10:P10)</f>
        <v>26788</v>
      </c>
      <c r="R10" s="58">
        <f t="shared" ref="R10:R73" si="262">SUM(E10:G10)</f>
        <v>13320</v>
      </c>
      <c r="S10" s="58">
        <f t="shared" ref="S10:S73" si="263">SUM(H10:J10)</f>
        <v>13468</v>
      </c>
      <c r="T10" s="58">
        <f t="shared" ref="T10:T73" si="264">SUM(K10:M10)</f>
        <v>0</v>
      </c>
      <c r="U10" s="58">
        <f t="shared" ref="U10:U73" si="265">SUM(N10:P10)</f>
        <v>0</v>
      </c>
      <c r="V10" s="59">
        <f t="shared" ref="V10:V73" si="266">SUM(R10:U10)</f>
        <v>26788</v>
      </c>
    </row>
    <row r="11">
      <c r="C11" s="52" t="s">
        <v>25</v>
      </c>
      <c r="D11" s="35"/>
      <c r="E11" s="63">
        <v>2681</v>
      </c>
      <c r="F11" s="53">
        <v>2313</v>
      </c>
      <c r="G11" s="53">
        <v>2085</v>
      </c>
      <c r="H11" s="53">
        <v>2418</v>
      </c>
      <c r="I11" s="53">
        <v>2469</v>
      </c>
      <c r="J11" s="53">
        <v>2397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93">
        <v>0</v>
      </c>
      <c r="Q11" s="59">
        <f t="shared" si="261"/>
        <v>14363</v>
      </c>
      <c r="R11" s="58">
        <f t="shared" si="262"/>
        <v>7079</v>
      </c>
      <c r="S11" s="58">
        <f t="shared" si="263"/>
        <v>7284</v>
      </c>
      <c r="T11" s="58">
        <f t="shared" si="264"/>
        <v>0</v>
      </c>
      <c r="U11" s="58">
        <f t="shared" si="265"/>
        <v>0</v>
      </c>
      <c r="V11" s="59">
        <f t="shared" si="266"/>
        <v>14363</v>
      </c>
    </row>
    <row r="12" s="65" customFormat="1">
      <c r="C12" s="66" t="s">
        <v>26</v>
      </c>
      <c r="D12" s="67"/>
      <c r="E12" s="70">
        <f>E11/E10</f>
        <v>0.58435047951176988</v>
      </c>
      <c r="F12" s="69">
        <f t="shared" ref="F12:J12" si="267">F11/F10</f>
        <v>0.55815637065637069</v>
      </c>
      <c r="G12" s="69">
        <f t="shared" si="267"/>
        <v>0.45444638186573671</v>
      </c>
      <c r="H12" s="69">
        <f t="shared" si="267"/>
        <v>0.54459459459459458</v>
      </c>
      <c r="I12" s="69">
        <f t="shared" si="267"/>
        <v>0.53814298169136876</v>
      </c>
      <c r="J12" s="69">
        <f t="shared" si="267"/>
        <v>0.53986486486486485</v>
      </c>
      <c r="K12" s="69"/>
      <c r="L12" s="69"/>
      <c r="M12" s="69"/>
      <c r="N12" s="69"/>
      <c r="O12" s="69"/>
      <c r="P12" s="211"/>
      <c r="Q12" s="212">
        <f>Q11/Q10</f>
        <v>0.53617291324473648</v>
      </c>
      <c r="R12" s="71">
        <f>R11/R10</f>
        <v>0.53145645645645645</v>
      </c>
      <c r="S12" s="71">
        <f>S11/S10</f>
        <v>0.54083754083754088</v>
      </c>
      <c r="T12" s="71"/>
      <c r="U12" s="71"/>
      <c r="V12" s="72">
        <f>V11/V10</f>
        <v>0.53617291324473648</v>
      </c>
      <c r="W12" s="65"/>
    </row>
    <row r="13">
      <c r="C13" s="52" t="s">
        <v>27</v>
      </c>
      <c r="D13" s="35"/>
      <c r="E13" s="63">
        <f t="shared" ref="E13:J13" si="268">SUM(E28:E29)/E11</f>
        <v>157.11885117493472</v>
      </c>
      <c r="F13" s="53">
        <f t="shared" si="268"/>
        <v>160.27401210549073</v>
      </c>
      <c r="G13" s="53">
        <f t="shared" si="268"/>
        <v>154.34087769784173</v>
      </c>
      <c r="H13" s="53">
        <f t="shared" si="268"/>
        <v>152.50554590570721</v>
      </c>
      <c r="I13" s="53">
        <f t="shared" si="268"/>
        <v>160.7800526528959</v>
      </c>
      <c r="J13" s="53">
        <f t="shared" si="268"/>
        <v>153.362131831456</v>
      </c>
      <c r="K13" s="53"/>
      <c r="L13" s="53"/>
      <c r="M13" s="53"/>
      <c r="N13" s="53"/>
      <c r="O13" s="53"/>
      <c r="P13" s="93"/>
      <c r="Q13" s="59">
        <f t="shared" ref="Q13:Q76" si="269">SUM(E13:P13)</f>
        <v>938.3814713683264</v>
      </c>
      <c r="R13" s="58">
        <f t="shared" si="262"/>
        <v>471.73374097826718</v>
      </c>
      <c r="S13" s="58">
        <f t="shared" si="263"/>
        <v>466.64773039005911</v>
      </c>
      <c r="T13" s="58">
        <f t="shared" si="264"/>
        <v>0</v>
      </c>
      <c r="U13" s="58">
        <f t="shared" si="265"/>
        <v>0</v>
      </c>
      <c r="V13" s="59">
        <f t="shared" si="266"/>
        <v>938.38147136832629</v>
      </c>
    </row>
    <row r="14">
      <c r="C14" s="52" t="s">
        <v>28</v>
      </c>
      <c r="D14" s="35"/>
      <c r="E14" s="63">
        <f>(E11/E10)*E13</f>
        <v>91.812476024411509</v>
      </c>
      <c r="F14" s="53">
        <f t="shared" ref="F14:H14" si="270">(F11/F10)*F13</f>
        <v>89.457960907335931</v>
      </c>
      <c r="G14" s="53">
        <f t="shared" si="270"/>
        <v>70.139653443766349</v>
      </c>
      <c r="H14" s="53">
        <f t="shared" si="270"/>
        <v>83.053695945945947</v>
      </c>
      <c r="I14" s="53">
        <f>(I11/I10)*I13</f>
        <v>86.522656931124672</v>
      </c>
      <c r="J14" s="53">
        <f>(J11/J10)*J13</f>
        <v>82.794826576576583</v>
      </c>
      <c r="K14" s="53"/>
      <c r="L14" s="53"/>
      <c r="M14" s="53"/>
      <c r="N14" s="53"/>
      <c r="O14" s="53"/>
      <c r="P14" s="93"/>
      <c r="Q14" s="59">
        <f t="shared" si="269"/>
        <v>503.78126982916103</v>
      </c>
      <c r="R14" s="58">
        <f t="shared" si="262"/>
        <v>251.41009037551379</v>
      </c>
      <c r="S14" s="58">
        <f t="shared" si="263"/>
        <v>252.37117945364722</v>
      </c>
      <c r="T14" s="58">
        <f t="shared" si="264"/>
        <v>0</v>
      </c>
      <c r="U14" s="58">
        <f t="shared" si="265"/>
        <v>0</v>
      </c>
      <c r="V14" s="59">
        <f t="shared" si="266"/>
        <v>503.78126982916103</v>
      </c>
    </row>
    <row r="15" s="75" customFormat="1" ht="15">
      <c r="C15" s="76"/>
      <c r="D15" s="77"/>
      <c r="E15" s="81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3"/>
      <c r="Q15" s="84"/>
      <c r="R15" s="83">
        <f t="shared" si="262"/>
        <v>0</v>
      </c>
      <c r="S15" s="83">
        <f t="shared" si="263"/>
        <v>0</v>
      </c>
      <c r="T15" s="83">
        <f t="shared" si="264"/>
        <v>0</v>
      </c>
      <c r="U15" s="83">
        <f t="shared" si="265"/>
        <v>0</v>
      </c>
      <c r="V15" s="84"/>
      <c r="W15"/>
    </row>
    <row r="16">
      <c r="C16" s="87" t="s">
        <v>29</v>
      </c>
      <c r="D16" s="39"/>
      <c r="E16" s="91">
        <f t="shared" ref="E16:P16" si="271">E108+E221</f>
        <v>704693.07000000007</v>
      </c>
      <c r="F16" s="88">
        <f t="shared" si="271"/>
        <v>642668.40000000002</v>
      </c>
      <c r="G16" s="88">
        <f t="shared" si="271"/>
        <v>665188.66999999993</v>
      </c>
      <c r="H16" s="88">
        <f t="shared" si="271"/>
        <v>572560.5199999999</v>
      </c>
      <c r="I16" s="88">
        <f t="shared" si="271"/>
        <v>587539.71999999997</v>
      </c>
      <c r="J16" s="88">
        <f>J108+J221</f>
        <v>587454.79000000004</v>
      </c>
      <c r="K16" s="88">
        <f t="shared" si="271"/>
        <v>0</v>
      </c>
      <c r="L16" s="88">
        <f t="shared" si="271"/>
        <v>0</v>
      </c>
      <c r="M16" s="88">
        <f t="shared" si="271"/>
        <v>0</v>
      </c>
      <c r="N16" s="88">
        <f t="shared" si="271"/>
        <v>0</v>
      </c>
      <c r="O16" s="88">
        <f t="shared" si="271"/>
        <v>0</v>
      </c>
      <c r="P16" s="88">
        <f t="shared" si="271"/>
        <v>0</v>
      </c>
      <c r="Q16" s="92">
        <f t="shared" si="269"/>
        <v>3760105.1699999999</v>
      </c>
      <c r="R16" s="93">
        <f t="shared" si="262"/>
        <v>2012550.1400000001</v>
      </c>
      <c r="S16" s="93">
        <f t="shared" si="263"/>
        <v>1747555.0299999998</v>
      </c>
      <c r="T16" s="93">
        <f t="shared" si="264"/>
        <v>0</v>
      </c>
      <c r="U16" s="93">
        <f t="shared" si="265"/>
        <v>0</v>
      </c>
      <c r="V16" s="92">
        <f t="shared" si="266"/>
        <v>3760105.1699999999</v>
      </c>
    </row>
    <row r="17" s="75" customFormat="1" ht="15">
      <c r="C17" s="95" t="s">
        <v>30</v>
      </c>
      <c r="D17" s="77"/>
      <c r="E17" s="100">
        <f t="shared" ref="E17:P17" si="272">E16/1</f>
        <v>704693.07000000007</v>
      </c>
      <c r="F17" s="96">
        <f t="shared" si="272"/>
        <v>642668.40000000002</v>
      </c>
      <c r="G17" s="96">
        <f t="shared" si="272"/>
        <v>665188.66999999993</v>
      </c>
      <c r="H17" s="96">
        <f t="shared" si="272"/>
        <v>572560.5199999999</v>
      </c>
      <c r="I17" s="96">
        <f t="shared" si="272"/>
        <v>587539.71999999997</v>
      </c>
      <c r="J17" s="96">
        <f t="shared" si="272"/>
        <v>587454.79000000004</v>
      </c>
      <c r="K17" s="96">
        <f t="shared" si="272"/>
        <v>0</v>
      </c>
      <c r="L17" s="96">
        <f t="shared" si="272"/>
        <v>0</v>
      </c>
      <c r="M17" s="96">
        <f t="shared" si="272"/>
        <v>0</v>
      </c>
      <c r="N17" s="96">
        <f t="shared" si="272"/>
        <v>0</v>
      </c>
      <c r="O17" s="96">
        <f t="shared" si="272"/>
        <v>0</v>
      </c>
      <c r="P17" s="96">
        <f t="shared" si="272"/>
        <v>0</v>
      </c>
      <c r="Q17" s="92">
        <f t="shared" si="269"/>
        <v>3760105.1699999999</v>
      </c>
      <c r="R17" s="93">
        <f t="shared" si="262"/>
        <v>2012550.1400000001</v>
      </c>
      <c r="S17" s="93">
        <f t="shared" si="263"/>
        <v>1747555.0299999998</v>
      </c>
      <c r="T17" s="93">
        <f t="shared" si="264"/>
        <v>0</v>
      </c>
      <c r="U17" s="93">
        <f t="shared" si="265"/>
        <v>0</v>
      </c>
      <c r="V17" s="92">
        <f t="shared" si="266"/>
        <v>3760105.1699999999</v>
      </c>
      <c r="W17"/>
    </row>
    <row r="18">
      <c r="C18" s="103"/>
      <c r="D18" s="39"/>
      <c r="E18" s="107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8"/>
      <c r="R18" s="109"/>
      <c r="S18" s="109"/>
      <c r="T18" s="109"/>
      <c r="U18" s="109"/>
      <c r="V18" s="108"/>
    </row>
    <row r="19">
      <c r="C19" s="111" t="s">
        <v>31</v>
      </c>
      <c r="D19" s="39"/>
      <c r="E19" s="107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8"/>
      <c r="R19" s="109"/>
      <c r="S19" s="109"/>
      <c r="T19" s="109"/>
      <c r="U19" s="109"/>
      <c r="V19" s="108"/>
    </row>
    <row r="20">
      <c r="C20" s="103" t="s">
        <v>32</v>
      </c>
      <c r="D20" s="39"/>
      <c r="E20" s="91">
        <f t="shared" ref="E20:P20" si="273">E39+E41+E43+E47</f>
        <v>42929.690000000002</v>
      </c>
      <c r="F20" s="88">
        <f t="shared" si="273"/>
        <v>48662.330000000002</v>
      </c>
      <c r="G20" s="88">
        <f t="shared" si="273"/>
        <v>145216.04999999999</v>
      </c>
      <c r="H20" s="88">
        <f>H39+H41+H43+H47</f>
        <v>45729.389999999999</v>
      </c>
      <c r="I20" s="88">
        <f t="shared" si="273"/>
        <v>32207.769999999997</v>
      </c>
      <c r="J20" s="88">
        <f>J39+J41+J43+J47</f>
        <v>47107.009999999995</v>
      </c>
      <c r="K20" s="88">
        <f t="shared" si="273"/>
        <v>0</v>
      </c>
      <c r="L20" s="88">
        <f t="shared" si="273"/>
        <v>0</v>
      </c>
      <c r="M20" s="88">
        <f t="shared" si="273"/>
        <v>0</v>
      </c>
      <c r="N20" s="88">
        <f t="shared" si="273"/>
        <v>0</v>
      </c>
      <c r="O20" s="88">
        <f t="shared" si="273"/>
        <v>0</v>
      </c>
      <c r="P20" s="88">
        <f t="shared" si="273"/>
        <v>0</v>
      </c>
      <c r="Q20" s="92">
        <f t="shared" si="269"/>
        <v>361852.24000000005</v>
      </c>
      <c r="R20" s="93">
        <f t="shared" si="262"/>
        <v>236808.07000000001</v>
      </c>
      <c r="S20" s="93">
        <f t="shared" si="263"/>
        <v>125044.17</v>
      </c>
      <c r="T20" s="93">
        <f t="shared" si="264"/>
        <v>0</v>
      </c>
      <c r="U20" s="93">
        <f t="shared" si="265"/>
        <v>0</v>
      </c>
      <c r="V20" s="92">
        <f t="shared" si="266"/>
        <v>361852.23999999999</v>
      </c>
    </row>
    <row r="21" s="75" customFormat="1" ht="15">
      <c r="C21" s="76" t="s">
        <v>33</v>
      </c>
      <c r="D21" s="77"/>
      <c r="E21" s="100">
        <f t="shared" ref="E21:P21" si="274">E83+E88+E89+E90+E91+E84</f>
        <v>36014.300000000003</v>
      </c>
      <c r="F21" s="96">
        <f t="shared" si="274"/>
        <v>50142.150000000001</v>
      </c>
      <c r="G21" s="96">
        <f t="shared" si="274"/>
        <v>51584.710000000006</v>
      </c>
      <c r="H21" s="96">
        <f t="shared" si="274"/>
        <v>32936.580000000002</v>
      </c>
      <c r="I21" s="96">
        <f t="shared" si="274"/>
        <v>22839.110000000001</v>
      </c>
      <c r="J21" s="96">
        <f>J83+J88+J89+J90+J91+J84</f>
        <v>28254.210000000003</v>
      </c>
      <c r="K21" s="96">
        <f t="shared" si="274"/>
        <v>0</v>
      </c>
      <c r="L21" s="96">
        <f t="shared" si="274"/>
        <v>0</v>
      </c>
      <c r="M21" s="96">
        <f t="shared" si="274"/>
        <v>0</v>
      </c>
      <c r="N21" s="96">
        <f t="shared" si="274"/>
        <v>0</v>
      </c>
      <c r="O21" s="96">
        <f t="shared" si="274"/>
        <v>0</v>
      </c>
      <c r="P21" s="96">
        <f t="shared" si="274"/>
        <v>0</v>
      </c>
      <c r="Q21" s="92">
        <f t="shared" si="269"/>
        <v>221771.06000000003</v>
      </c>
      <c r="R21" s="93">
        <f t="shared" si="262"/>
        <v>137741.16000000003</v>
      </c>
      <c r="S21" s="93">
        <f t="shared" si="263"/>
        <v>84029.900000000009</v>
      </c>
      <c r="T21" s="93">
        <f t="shared" si="264"/>
        <v>0</v>
      </c>
      <c r="U21" s="93">
        <f t="shared" si="265"/>
        <v>0</v>
      </c>
      <c r="V21" s="92">
        <f t="shared" si="266"/>
        <v>221771.06000000006</v>
      </c>
      <c r="W21"/>
    </row>
    <row r="22" s="114" customFormat="1" ht="15">
      <c r="C22" s="115" t="s">
        <v>34</v>
      </c>
      <c r="D22" s="116"/>
      <c r="E22" s="120">
        <f t="shared" ref="E22:P22" si="275">E20-E21</f>
        <v>6915.3899999999994</v>
      </c>
      <c r="F22" s="117">
        <f t="shared" si="275"/>
        <v>-1479.8199999999997</v>
      </c>
      <c r="G22" s="117">
        <f t="shared" si="275"/>
        <v>93631.339999999982</v>
      </c>
      <c r="H22" s="117">
        <f t="shared" si="275"/>
        <v>12792.809999999998</v>
      </c>
      <c r="I22" s="117">
        <f t="shared" si="275"/>
        <v>9368.6599999999962</v>
      </c>
      <c r="J22" s="117">
        <f t="shared" si="275"/>
        <v>18852.799999999992</v>
      </c>
      <c r="K22" s="117">
        <f t="shared" si="275"/>
        <v>0</v>
      </c>
      <c r="L22" s="117">
        <f t="shared" si="275"/>
        <v>0</v>
      </c>
      <c r="M22" s="117">
        <f t="shared" si="275"/>
        <v>0</v>
      </c>
      <c r="N22" s="117">
        <f t="shared" si="275"/>
        <v>0</v>
      </c>
      <c r="O22" s="117">
        <f t="shared" si="275"/>
        <v>0</v>
      </c>
      <c r="P22" s="117">
        <f t="shared" si="275"/>
        <v>0</v>
      </c>
      <c r="Q22" s="92">
        <f t="shared" si="269"/>
        <v>140081.17999999996</v>
      </c>
      <c r="R22" s="93">
        <f t="shared" si="262"/>
        <v>99066.909999999974</v>
      </c>
      <c r="S22" s="93">
        <f t="shared" si="263"/>
        <v>41014.26999999999</v>
      </c>
      <c r="T22" s="93">
        <f t="shared" si="264"/>
        <v>0</v>
      </c>
      <c r="U22" s="93">
        <f t="shared" si="265"/>
        <v>0</v>
      </c>
      <c r="V22" s="92">
        <f t="shared" si="266"/>
        <v>140081.17999999996</v>
      </c>
      <c r="W22"/>
    </row>
    <row r="23">
      <c r="C23" s="103"/>
      <c r="D23" s="39"/>
      <c r="E23" s="123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09"/>
      <c r="Q23" s="108"/>
      <c r="R23" s="109"/>
      <c r="S23" s="109"/>
      <c r="T23" s="109"/>
      <c r="U23" s="109"/>
      <c r="V23" s="108"/>
    </row>
    <row r="24">
      <c r="C24" s="52"/>
      <c r="D24" s="35"/>
      <c r="E24" s="6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93"/>
      <c r="Q24" s="92"/>
      <c r="R24" s="93"/>
      <c r="S24" s="93"/>
      <c r="T24" s="93"/>
      <c r="U24" s="93"/>
      <c r="V24" s="92"/>
    </row>
    <row r="25" s="125" customFormat="1">
      <c r="C25" s="126" t="s">
        <v>35</v>
      </c>
      <c r="D25" s="127"/>
      <c r="E25" s="130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Q25" s="133"/>
      <c r="R25" s="132">
        <f t="shared" si="262"/>
        <v>0</v>
      </c>
      <c r="S25" s="132">
        <f t="shared" si="263"/>
        <v>0</v>
      </c>
      <c r="T25" s="132">
        <f t="shared" si="264"/>
        <v>0</v>
      </c>
      <c r="U25" s="132">
        <f t="shared" si="265"/>
        <v>0</v>
      </c>
      <c r="V25" s="133"/>
    </row>
    <row r="26">
      <c r="C26" s="136"/>
      <c r="D26" s="35"/>
      <c r="E26" s="6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93"/>
      <c r="Q26" s="92"/>
      <c r="R26" s="93">
        <f t="shared" si="262"/>
        <v>0</v>
      </c>
      <c r="S26" s="93">
        <f t="shared" si="263"/>
        <v>0</v>
      </c>
      <c r="T26" s="93">
        <f t="shared" si="264"/>
        <v>0</v>
      </c>
      <c r="U26" s="93">
        <f t="shared" si="265"/>
        <v>0</v>
      </c>
      <c r="V26" s="92"/>
    </row>
    <row r="27" s="137" customFormat="1">
      <c r="A27" s="137" t="s">
        <v>36</v>
      </c>
      <c r="B27" s="137" t="s">
        <v>37</v>
      </c>
      <c r="C27" s="138" t="s">
        <v>38</v>
      </c>
      <c r="D27" s="139" t="s">
        <v>37</v>
      </c>
      <c r="E27" s="145">
        <f>SUMIF('2026 AC'!$B$3:$B$254,"*"&amp;$D27&amp;"*",'2026 AC'!C$3:C$254)</f>
        <v>435957.26000000001</v>
      </c>
      <c r="F27" s="146">
        <f>SUMIF('2026 AC'!$B$3:$B$254,"*"&amp;$D27&amp;"*",'2026 AC'!D$3:D$254)</f>
        <v>381267.34999999998</v>
      </c>
      <c r="G27" s="146">
        <f>SUMIF('2026 AC'!$B$3:$B$254,"*"&amp;$D27&amp;"*",'2026 AC'!E$3:E$254)</f>
        <v>333767.09999999998</v>
      </c>
      <c r="H27" s="146">
        <f>SUMIF('2026 AC'!$B$3:$B$254,"*"&amp;$D27&amp;"*",'2026 AC'!F$3:F$254)</f>
        <v>384752.75</v>
      </c>
      <c r="I27" s="146">
        <f>SUMIF('2026 AC'!$B$3:$B$254,"*"&amp;$D27&amp;"*",'2026 AC'!G$3:G$254)</f>
        <v>406390.26000000001</v>
      </c>
      <c r="J27" s="146">
        <f>SUMIF('2026 AC'!$B$3:$B$254,"*"&amp;$D27&amp;"*",'2026 AC'!H$3:H$254)</f>
        <v>380114.72999999998</v>
      </c>
      <c r="K27" s="146">
        <f>SUMIF('2026 AC'!$B$3:$B$254,"*"&amp;$D27&amp;"*",'2026 AC'!I$3:I$254)</f>
        <v>0</v>
      </c>
      <c r="L27" s="146">
        <f>SUMIF('2026 AC'!$B$3:$B$254,"*"&amp;$D27&amp;"*",'2026 AC'!J$3:J$254)</f>
        <v>0</v>
      </c>
      <c r="M27" s="146">
        <f>SUMIF('2026 AC'!$B$3:$B$254,"*"&amp;$D27&amp;"*",'2026 AC'!K$3:K$254)</f>
        <v>0</v>
      </c>
      <c r="N27" s="146">
        <f>SUMIF('2026 AC'!$B$3:$B$254,"*"&amp;$D27&amp;"*",'2026 AC'!L$3:L$254)</f>
        <v>0</v>
      </c>
      <c r="O27" s="146">
        <f>SUMIF('2026 AC'!$B$3:$B$254,"*"&amp;$D27&amp;"*",'2026 AC'!M$3:M$254)</f>
        <v>0</v>
      </c>
      <c r="P27" s="147">
        <f>SUMIF('2026 AC'!$B$3:$B$254,"*"&amp;$D27&amp;"*",'2026 AC'!N$3:N$254)</f>
        <v>0</v>
      </c>
      <c r="Q27" s="148">
        <f t="shared" si="269"/>
        <v>2322249.4500000002</v>
      </c>
      <c r="R27" s="147">
        <f t="shared" si="262"/>
        <v>1150991.71</v>
      </c>
      <c r="S27" s="147">
        <f t="shared" si="263"/>
        <v>1171257.74</v>
      </c>
      <c r="T27" s="147">
        <f t="shared" si="264"/>
        <v>0</v>
      </c>
      <c r="U27" s="147">
        <f t="shared" si="265"/>
        <v>0</v>
      </c>
      <c r="V27" s="148">
        <f t="shared" si="266"/>
        <v>2322249.4500000002</v>
      </c>
    </row>
    <row r="28" ht="15" customHeight="1" outlineLevel="1">
      <c r="A28" t="s">
        <v>39</v>
      </c>
      <c r="B28" t="s">
        <v>40</v>
      </c>
      <c r="C28" s="150" t="s">
        <v>41</v>
      </c>
      <c r="D28" s="35" t="s">
        <v>40</v>
      </c>
      <c r="E28" s="63">
        <f>SUMIF('2026 AC'!$B$3:$B$254,"*"&amp;$D28&amp;"*",'2026 AC'!C$3:C$254)</f>
        <v>72341.520000000004</v>
      </c>
      <c r="F28" s="53">
        <f>SUMIF('2026 AC'!$B$3:$B$254,"*"&amp;$D28&amp;"*",'2026 AC'!D$3:D$254)</f>
        <v>41920.269999999997</v>
      </c>
      <c r="G28" s="53">
        <f>SUMIF('2026 AC'!$B$3:$B$254,"*"&amp;$D28&amp;"*",'2026 AC'!E$3:E$254)</f>
        <v>47216.199999999997</v>
      </c>
      <c r="H28" s="53">
        <f>SUMIF('2026 AC'!$B$3:$B$254,"*"&amp;$D28&amp;"*",'2026 AC'!F$3:F$254)</f>
        <v>64930.400000000001</v>
      </c>
      <c r="I28" s="53">
        <f>SUMIF('2026 AC'!$B$3:$B$254,"*"&amp;$D28&amp;"*",'2026 AC'!G$3:G$254)</f>
        <v>39865.169999999998</v>
      </c>
      <c r="J28" s="53">
        <f>SUMIF('2026 AC'!$B$3:$B$254,"*"&amp;$D28&amp;"*",'2026 AC'!H$3:H$254)</f>
        <v>45375.879999999997</v>
      </c>
      <c r="K28" s="53">
        <f>SUMIF('2026 AC'!$B$3:$B$254,"*"&amp;$D28&amp;"*",'2026 AC'!I$3:I$254)</f>
        <v>0</v>
      </c>
      <c r="L28" s="53">
        <f>SUMIF('2026 AC'!$B$3:$B$254,"*"&amp;$D28&amp;"*",'2026 AC'!J$3:J$254)</f>
        <v>0</v>
      </c>
      <c r="M28" s="53">
        <f>SUMIF('2026 AC'!$B$3:$B$254,"*"&amp;$D28&amp;"*",'2026 AC'!K$3:K$254)</f>
        <v>0</v>
      </c>
      <c r="N28" s="53">
        <f>SUMIF('2026 AC'!$B$3:$B$254,"*"&amp;$D28&amp;"*",'2026 AC'!L$3:L$254)</f>
        <v>0</v>
      </c>
      <c r="O28" s="53">
        <f>SUMIF('2026 AC'!$B$3:$B$254,"*"&amp;$D28&amp;"*",'2026 AC'!M$3:M$254)</f>
        <v>0</v>
      </c>
      <c r="P28" s="93">
        <f>SUMIF('2026 AC'!$B$3:$B$254,"*"&amp;$D28&amp;"*",'2026 AC'!N$3:N$254)</f>
        <v>0</v>
      </c>
      <c r="Q28" s="92">
        <f t="shared" si="269"/>
        <v>311649.44</v>
      </c>
      <c r="R28" s="93">
        <f t="shared" si="262"/>
        <v>161477.98999999999</v>
      </c>
      <c r="S28" s="93">
        <f t="shared" si="263"/>
        <v>150171.45000000001</v>
      </c>
      <c r="T28" s="93">
        <f t="shared" si="264"/>
        <v>0</v>
      </c>
      <c r="U28" s="93">
        <f t="shared" si="265"/>
        <v>0</v>
      </c>
      <c r="V28" s="92">
        <f t="shared" si="266"/>
        <v>311649.44</v>
      </c>
    </row>
    <row r="29" ht="15" customHeight="1" outlineLevel="1">
      <c r="A29" t="s">
        <v>42</v>
      </c>
      <c r="B29" t="s">
        <v>43</v>
      </c>
      <c r="C29" s="150" t="s">
        <v>44</v>
      </c>
      <c r="D29" s="35" t="s">
        <v>43</v>
      </c>
      <c r="E29" s="63">
        <f>SUMIF('2026 AC'!$B$3:$B$254,"*"&amp;$D29&amp;"*",'2026 AC'!C$3:C$254)</f>
        <v>348894.12</v>
      </c>
      <c r="F29" s="53">
        <f>SUMIF('2026 AC'!$B$3:$B$254,"*"&amp;$D29&amp;"*",'2026 AC'!D$3:D$254)</f>
        <v>328793.52000000002</v>
      </c>
      <c r="G29" s="53">
        <f>SUMIF('2026 AC'!$B$3:$B$254,"*"&amp;$D29&amp;"*",'2026 AC'!E$3:E$254)</f>
        <v>274584.53000000003</v>
      </c>
      <c r="H29" s="53">
        <f>SUMIF('2026 AC'!$B$3:$B$254,"*"&amp;$D29&amp;"*",'2026 AC'!F$3:F$254)</f>
        <v>303828.01000000001</v>
      </c>
      <c r="I29" s="53">
        <f>SUMIF('2026 AC'!$B$3:$B$254,"*"&amp;$D29&amp;"*",'2026 AC'!G$3:G$254)</f>
        <v>357100.78000000003</v>
      </c>
      <c r="J29" s="53">
        <f>SUMIF('2026 AC'!$B$3:$B$254,"*"&amp;$D29&amp;"*",'2026 AC'!H$3:H$254)</f>
        <v>322233.15000000002</v>
      </c>
      <c r="K29" s="53">
        <f>SUMIF('2026 AC'!$B$3:$B$254,"*"&amp;$D29&amp;"*",'2026 AC'!I$3:I$254)</f>
        <v>0</v>
      </c>
      <c r="L29" s="53">
        <f>SUMIF('2026 AC'!$B$3:$B$254,"*"&amp;$D29&amp;"*",'2026 AC'!J$3:J$254)</f>
        <v>0</v>
      </c>
      <c r="M29" s="53">
        <f>SUMIF('2026 AC'!$B$3:$B$254,"*"&amp;$D29&amp;"*",'2026 AC'!K$3:K$254)</f>
        <v>0</v>
      </c>
      <c r="N29" s="53">
        <f>SUMIF('2026 AC'!$B$3:$B$254,"*"&amp;$D29&amp;"*",'2026 AC'!L$3:L$254)</f>
        <v>0</v>
      </c>
      <c r="O29" s="53">
        <f>SUMIF('2026 AC'!$B$3:$B$254,"*"&amp;$D29&amp;"*",'2026 AC'!M$3:M$254)</f>
        <v>0</v>
      </c>
      <c r="P29" s="93">
        <f>SUMIF('2026 AC'!$B$3:$B$254,"*"&amp;$D29&amp;"*",'2026 AC'!N$3:N$254)</f>
        <v>0</v>
      </c>
      <c r="Q29" s="92">
        <f t="shared" si="269"/>
        <v>1935434.1100000003</v>
      </c>
      <c r="R29" s="93">
        <f t="shared" si="262"/>
        <v>952272.17000000004</v>
      </c>
      <c r="S29" s="93">
        <f t="shared" si="263"/>
        <v>983161.94000000006</v>
      </c>
      <c r="T29" s="93">
        <f t="shared" si="264"/>
        <v>0</v>
      </c>
      <c r="U29" s="93">
        <f t="shared" si="265"/>
        <v>0</v>
      </c>
      <c r="V29" s="92">
        <f t="shared" si="266"/>
        <v>1935434.1100000001</v>
      </c>
    </row>
    <row r="30" ht="15" customHeight="1" outlineLevel="1">
      <c r="A30" t="s">
        <v>45</v>
      </c>
      <c r="B30" t="s">
        <v>46</v>
      </c>
      <c r="C30" s="34" t="s">
        <v>47</v>
      </c>
      <c r="D30" s="35" t="s">
        <v>46</v>
      </c>
      <c r="E30" s="63">
        <f>SUMIF('2026 AC'!$B$3:$B$254,"*"&amp;$D30&amp;"*",'2026 AC'!C$3:C$254)</f>
        <v>2122.9000000000001</v>
      </c>
      <c r="F30" s="53">
        <f>SUMIF('2026 AC'!$B$3:$B$254,"*"&amp;$D30&amp;"*",'2026 AC'!D$3:D$254)</f>
        <v>1652.6199999999999</v>
      </c>
      <c r="G30" s="53">
        <f>SUMIF('2026 AC'!$B$3:$B$254,"*"&amp;$D30&amp;"*",'2026 AC'!E$3:E$254)</f>
        <v>2279.7399999999998</v>
      </c>
      <c r="H30" s="53">
        <f>SUMIF('2026 AC'!$B$3:$B$254,"*"&amp;$D30&amp;"*",'2026 AC'!F$3:F$254)</f>
        <v>1355.96</v>
      </c>
      <c r="I30" s="53">
        <f>SUMIF('2026 AC'!$B$3:$B$254,"*"&amp;$D30&amp;"*",'2026 AC'!G$3:G$254)</f>
        <v>1813.6199999999999</v>
      </c>
      <c r="J30" s="53">
        <f>SUMIF('2026 AC'!$B$3:$B$254,"*"&amp;$D30&amp;"*",'2026 AC'!H$3:H$254)</f>
        <v>1881.4000000000001</v>
      </c>
      <c r="K30" s="53">
        <f>SUMIF('2026 AC'!$B$3:$B$254,"*"&amp;$D30&amp;"*",'2026 AC'!I$3:I$254)</f>
        <v>0</v>
      </c>
      <c r="L30" s="53">
        <f>SUMIF('2026 AC'!$B$3:$B$254,"*"&amp;$D30&amp;"*",'2026 AC'!J$3:J$254)</f>
        <v>0</v>
      </c>
      <c r="M30" s="53">
        <f>SUMIF('2026 AC'!$B$3:$B$254,"*"&amp;$D30&amp;"*",'2026 AC'!K$3:K$254)</f>
        <v>0</v>
      </c>
      <c r="N30" s="53">
        <f>SUMIF('2026 AC'!$B$3:$B$254,"*"&amp;$D30&amp;"*",'2026 AC'!L$3:L$254)</f>
        <v>0</v>
      </c>
      <c r="O30" s="53">
        <f>SUMIF('2026 AC'!$B$3:$B$254,"*"&amp;$D30&amp;"*",'2026 AC'!M$3:M$254)</f>
        <v>0</v>
      </c>
      <c r="P30" s="93">
        <f>SUMIF('2026 AC'!$B$3:$B$254,"*"&amp;$D30&amp;"*",'2026 AC'!N$3:N$254)</f>
        <v>0</v>
      </c>
      <c r="Q30" s="92">
        <f t="shared" si="269"/>
        <v>11106.24</v>
      </c>
      <c r="R30" s="93">
        <f t="shared" si="262"/>
        <v>6055.2600000000002</v>
      </c>
      <c r="S30" s="93">
        <f t="shared" si="263"/>
        <v>5050.9799999999996</v>
      </c>
      <c r="T30" s="93">
        <f t="shared" si="264"/>
        <v>0</v>
      </c>
      <c r="U30" s="93">
        <f t="shared" si="265"/>
        <v>0</v>
      </c>
      <c r="V30" s="92">
        <f t="shared" si="266"/>
        <v>11106.24</v>
      </c>
    </row>
    <row r="31" ht="15" customHeight="1" outlineLevel="1">
      <c r="A31" t="s">
        <v>48</v>
      </c>
      <c r="B31" t="s">
        <v>49</v>
      </c>
      <c r="C31" s="150" t="s">
        <v>50</v>
      </c>
      <c r="D31" s="35" t="s">
        <v>49</v>
      </c>
      <c r="E31" s="63">
        <f>SUMIF('2026 AC'!$B$3:$B$254,"*"&amp;$D31&amp;"*",'2026 AC'!C$3:C$254)</f>
        <v>308.00999999999999</v>
      </c>
      <c r="F31" s="53">
        <f>SUMIF('2026 AC'!$B$3:$B$254,"*"&amp;$D31&amp;"*",'2026 AC'!D$3:D$254)</f>
        <v>178.97999999999999</v>
      </c>
      <c r="G31" s="53">
        <f>SUMIF('2026 AC'!$B$3:$B$254,"*"&amp;$D31&amp;"*",'2026 AC'!E$3:E$254)</f>
        <v>0</v>
      </c>
      <c r="H31" s="53">
        <f>SUMIF('2026 AC'!$B$3:$B$254,"*"&amp;$D31&amp;"*",'2026 AC'!F$3:F$254)</f>
        <v>56.82</v>
      </c>
      <c r="I31" s="53">
        <f>SUMIF('2026 AC'!$B$3:$B$254,"*"&amp;$D31&amp;"*",'2026 AC'!G$3:G$254)</f>
        <v>146.99000000000001</v>
      </c>
      <c r="J31" s="53">
        <f>SUMIF('2026 AC'!$B$3:$B$254,"*"&amp;$D31&amp;"*",'2026 AC'!H$3:H$254)</f>
        <v>123.01000000000001</v>
      </c>
      <c r="K31" s="53">
        <f>SUMIF('2026 AC'!$B$3:$B$254,"*"&amp;$D31&amp;"*",'2026 AC'!I$3:I$254)</f>
        <v>0</v>
      </c>
      <c r="L31" s="53">
        <f>SUMIF('2026 AC'!$B$3:$B$254,"*"&amp;$D31&amp;"*",'2026 AC'!J$3:J$254)</f>
        <v>0</v>
      </c>
      <c r="M31" s="53">
        <f>SUMIF('2026 AC'!$B$3:$B$254,"*"&amp;$D31&amp;"*",'2026 AC'!K$3:K$254)</f>
        <v>0</v>
      </c>
      <c r="N31" s="53">
        <f>SUMIF('2026 AC'!$B$3:$B$254,"*"&amp;$D31&amp;"*",'2026 AC'!L$3:L$254)</f>
        <v>0</v>
      </c>
      <c r="O31" s="53">
        <f>SUMIF('2026 AC'!$B$3:$B$254,"*"&amp;$D31&amp;"*",'2026 AC'!M$3:M$254)</f>
        <v>0</v>
      </c>
      <c r="P31" s="93">
        <f>SUMIF('2026 AC'!$B$3:$B$254,"*"&amp;$D31&amp;"*",'2026 AC'!N$3:N$254)</f>
        <v>0</v>
      </c>
      <c r="Q31" s="92">
        <f t="shared" si="269"/>
        <v>813.81000000000006</v>
      </c>
      <c r="R31" s="93">
        <f t="shared" si="262"/>
        <v>486.99000000000001</v>
      </c>
      <c r="S31" s="93">
        <f t="shared" si="263"/>
        <v>326.81999999999999</v>
      </c>
      <c r="T31" s="93">
        <f t="shared" si="264"/>
        <v>0</v>
      </c>
      <c r="U31" s="93">
        <f t="shared" si="265"/>
        <v>0</v>
      </c>
      <c r="V31" s="92">
        <f t="shared" si="266"/>
        <v>813.80999999999995</v>
      </c>
    </row>
    <row r="32" ht="15" customHeight="1" outlineLevel="1">
      <c r="A32" t="s">
        <v>51</v>
      </c>
      <c r="B32" t="s">
        <v>52</v>
      </c>
      <c r="C32" s="150" t="s">
        <v>53</v>
      </c>
      <c r="D32" s="35" t="s">
        <v>52</v>
      </c>
      <c r="E32" s="63">
        <f>SUMIF('2026 AC'!$B$3:$B$254,"*"&amp;$D32&amp;"*",'2026 AC'!C$3:C$254)</f>
        <v>0</v>
      </c>
      <c r="F32" s="53">
        <f>SUMIF('2026 AC'!$B$3:$B$254,"*"&amp;$D32&amp;"*",'2026 AC'!D$3:D$254)</f>
        <v>0</v>
      </c>
      <c r="G32" s="53">
        <f>SUMIF('2026 AC'!$B$3:$B$254,"*"&amp;$D32&amp;"*",'2026 AC'!E$3:E$254)</f>
        <v>0</v>
      </c>
      <c r="H32" s="53">
        <f>SUMIF('2026 AC'!$B$3:$B$254,"*"&amp;$D32&amp;"*",'2026 AC'!F$3:F$254)</f>
        <v>0</v>
      </c>
      <c r="I32" s="53">
        <f>SUMIF('2026 AC'!$B$3:$B$254,"*"&amp;$D32&amp;"*",'2026 AC'!G$3:G$254)</f>
        <v>0</v>
      </c>
      <c r="J32" s="53">
        <f>SUMIF('2026 AC'!$B$3:$B$254,"*"&amp;$D32&amp;"*",'2026 AC'!H$3:H$254)</f>
        <v>0</v>
      </c>
      <c r="K32" s="53">
        <f>SUMIF('2026 AC'!$B$3:$B$254,"*"&amp;$D32&amp;"*",'2026 AC'!I$3:I$254)</f>
        <v>0</v>
      </c>
      <c r="L32" s="53">
        <f>SUMIF('2026 AC'!$B$3:$B$254,"*"&amp;$D32&amp;"*",'2026 AC'!J$3:J$254)</f>
        <v>0</v>
      </c>
      <c r="M32" s="53">
        <f>SUMIF('2026 AC'!$B$3:$B$254,"*"&amp;$D32&amp;"*",'2026 AC'!K$3:K$254)</f>
        <v>0</v>
      </c>
      <c r="N32" s="53">
        <f>SUMIF('2026 AC'!$B$3:$B$254,"*"&amp;$D32&amp;"*",'2026 AC'!L$3:L$254)</f>
        <v>0</v>
      </c>
      <c r="O32" s="53">
        <f>SUMIF('2026 AC'!$B$3:$B$254,"*"&amp;$D32&amp;"*",'2026 AC'!M$3:M$254)</f>
        <v>0</v>
      </c>
      <c r="P32" s="93">
        <f>SUMIF('2026 AC'!$B$3:$B$254,"*"&amp;$D32&amp;"*",'2026 AC'!N$3:N$254)</f>
        <v>0</v>
      </c>
      <c r="Q32" s="92">
        <f t="shared" si="269"/>
        <v>0</v>
      </c>
      <c r="R32" s="93">
        <f t="shared" si="262"/>
        <v>0</v>
      </c>
      <c r="S32" s="93">
        <f t="shared" si="263"/>
        <v>0</v>
      </c>
      <c r="T32" s="93">
        <f t="shared" si="264"/>
        <v>0</v>
      </c>
      <c r="U32" s="93">
        <f t="shared" si="265"/>
        <v>0</v>
      </c>
      <c r="V32" s="92">
        <f t="shared" si="266"/>
        <v>0</v>
      </c>
    </row>
    <row r="33" ht="15" customHeight="1" outlineLevel="1">
      <c r="A33" t="s">
        <v>54</v>
      </c>
      <c r="B33" t="s">
        <v>55</v>
      </c>
      <c r="C33" s="150" t="s">
        <v>56</v>
      </c>
      <c r="D33" s="35" t="s">
        <v>55</v>
      </c>
      <c r="E33" s="63">
        <f>SUMIF('2026 AC'!$B$3:$B$254,"*"&amp;$D33&amp;"*",'2026 AC'!C$3:C$254)</f>
        <v>0</v>
      </c>
      <c r="F33" s="53">
        <f>SUMIF('2026 AC'!$B$3:$B$254,"*"&amp;$D33&amp;"*",'2026 AC'!D$3:D$254)</f>
        <v>42.369999999999997</v>
      </c>
      <c r="G33" s="53">
        <f>SUMIF('2026 AC'!$B$3:$B$254,"*"&amp;$D33&amp;"*",'2026 AC'!E$3:E$254)</f>
        <v>0</v>
      </c>
      <c r="H33" s="53">
        <f>SUMIF('2026 AC'!$B$3:$B$254,"*"&amp;$D33&amp;"*",'2026 AC'!F$3:F$254)</f>
        <v>0</v>
      </c>
      <c r="I33" s="53">
        <f>SUMIF('2026 AC'!$B$3:$B$254,"*"&amp;$D33&amp;"*",'2026 AC'!G$3:G$254)</f>
        <v>0</v>
      </c>
      <c r="J33" s="53">
        <f>SUMIF('2026 AC'!$B$3:$B$254,"*"&amp;$D33&amp;"*",'2026 AC'!H$3:H$254)</f>
        <v>0</v>
      </c>
      <c r="K33" s="53">
        <f>SUMIF('2026 AC'!$B$3:$B$254,"*"&amp;$D33&amp;"*",'2026 AC'!I$3:I$254)</f>
        <v>0</v>
      </c>
      <c r="L33" s="53">
        <f>SUMIF('2026 AC'!$B$3:$B$254,"*"&amp;$D33&amp;"*",'2026 AC'!J$3:J$254)</f>
        <v>0</v>
      </c>
      <c r="M33" s="53">
        <f>SUMIF('2026 AC'!$B$3:$B$254,"*"&amp;$D33&amp;"*",'2026 AC'!K$3:K$254)</f>
        <v>0</v>
      </c>
      <c r="N33" s="53">
        <f>SUMIF('2026 AC'!$B$3:$B$254,"*"&amp;$D33&amp;"*",'2026 AC'!L$3:L$254)</f>
        <v>0</v>
      </c>
      <c r="O33" s="53">
        <f>SUMIF('2026 AC'!$B$3:$B$254,"*"&amp;$D33&amp;"*",'2026 AC'!M$3:M$254)</f>
        <v>0</v>
      </c>
      <c r="P33" s="93">
        <f>SUMIF('2026 AC'!$B$3:$B$254,"*"&amp;$D33&amp;"*",'2026 AC'!N$3:N$254)</f>
        <v>0</v>
      </c>
      <c r="Q33" s="92">
        <f t="shared" si="269"/>
        <v>42.369999999999997</v>
      </c>
      <c r="R33" s="93">
        <f t="shared" si="262"/>
        <v>42.369999999999997</v>
      </c>
      <c r="S33" s="93">
        <f t="shared" si="263"/>
        <v>0</v>
      </c>
      <c r="T33" s="93">
        <f t="shared" si="264"/>
        <v>0</v>
      </c>
      <c r="U33" s="93">
        <f t="shared" si="265"/>
        <v>0</v>
      </c>
      <c r="V33" s="92">
        <f t="shared" si="266"/>
        <v>42.369999999999997</v>
      </c>
    </row>
    <row r="34" ht="15" customHeight="1" outlineLevel="1">
      <c r="A34" t="s">
        <v>57</v>
      </c>
      <c r="B34" t="s">
        <v>58</v>
      </c>
      <c r="C34" s="150" t="s">
        <v>59</v>
      </c>
      <c r="D34" s="35" t="s">
        <v>58</v>
      </c>
      <c r="E34" s="63">
        <f>SUMIF('2026 AC'!$B$3:$B$254,"*"&amp;$D34&amp;"*",'2026 AC'!C$3:C$254)</f>
        <v>0</v>
      </c>
      <c r="F34" s="53">
        <f>SUMIF('2026 AC'!$B$3:$B$254,"*"&amp;$D34&amp;"*",'2026 AC'!D$3:D$254)</f>
        <v>0</v>
      </c>
      <c r="G34" s="53">
        <f>SUMIF('2026 AC'!$B$3:$B$254,"*"&amp;$D34&amp;"*",'2026 AC'!E$3:E$254)</f>
        <v>0</v>
      </c>
      <c r="H34" s="53">
        <f>SUMIF('2026 AC'!$B$3:$B$254,"*"&amp;$D34&amp;"*",'2026 AC'!F$3:F$254)</f>
        <v>0</v>
      </c>
      <c r="I34" s="53">
        <f>SUMIF('2026 AC'!$B$3:$B$254,"*"&amp;$D34&amp;"*",'2026 AC'!G$3:G$254)</f>
        <v>0</v>
      </c>
      <c r="J34" s="53">
        <f>SUMIF('2026 AC'!$B$3:$B$254,"*"&amp;$D34&amp;"*",'2026 AC'!H$3:H$254)</f>
        <v>0</v>
      </c>
      <c r="K34" s="53">
        <f>SUMIF('2026 AC'!$B$3:$B$254,"*"&amp;$D34&amp;"*",'2026 AC'!I$3:I$254)</f>
        <v>0</v>
      </c>
      <c r="L34" s="53">
        <f>SUMIF('2026 AC'!$B$3:$B$254,"*"&amp;$D34&amp;"*",'2026 AC'!J$3:J$254)</f>
        <v>0</v>
      </c>
      <c r="M34" s="53">
        <f>SUMIF('2026 AC'!$B$3:$B$254,"*"&amp;$D34&amp;"*",'2026 AC'!K$3:K$254)</f>
        <v>0</v>
      </c>
      <c r="N34" s="53">
        <f>SUMIF('2026 AC'!$B$3:$B$254,"*"&amp;$D34&amp;"*",'2026 AC'!L$3:L$254)</f>
        <v>0</v>
      </c>
      <c r="O34" s="53">
        <f>SUMIF('2026 AC'!$B$3:$B$254,"*"&amp;$D34&amp;"*",'2026 AC'!M$3:M$254)</f>
        <v>0</v>
      </c>
      <c r="P34" s="93">
        <f>SUMIF('2026 AC'!$B$3:$B$254,"*"&amp;$D34&amp;"*",'2026 AC'!N$3:N$254)</f>
        <v>0</v>
      </c>
      <c r="Q34" s="92">
        <f t="shared" si="269"/>
        <v>0</v>
      </c>
      <c r="R34" s="93">
        <f t="shared" si="262"/>
        <v>0</v>
      </c>
      <c r="S34" s="93">
        <f t="shared" si="263"/>
        <v>0</v>
      </c>
      <c r="T34" s="93">
        <f t="shared" si="264"/>
        <v>0</v>
      </c>
      <c r="U34" s="93">
        <f t="shared" si="265"/>
        <v>0</v>
      </c>
      <c r="V34" s="92">
        <f t="shared" si="266"/>
        <v>0</v>
      </c>
    </row>
    <row r="35" ht="15" customHeight="1" outlineLevel="1">
      <c r="A35" t="s">
        <v>60</v>
      </c>
      <c r="B35" t="s">
        <v>61</v>
      </c>
      <c r="C35" s="150" t="s">
        <v>62</v>
      </c>
      <c r="D35" s="35" t="s">
        <v>61</v>
      </c>
      <c r="E35" s="63">
        <f>SUMIF('2026 AC'!$B$3:$B$254,"*"&amp;$D35&amp;"*",'2026 AC'!C$3:C$254)</f>
        <v>254.25</v>
      </c>
      <c r="F35" s="53">
        <f>SUMIF('2026 AC'!$B$3:$B$254,"*"&amp;$D35&amp;"*",'2026 AC'!D$3:D$254)</f>
        <v>0</v>
      </c>
      <c r="G35" s="53">
        <f>SUMIF('2026 AC'!$B$3:$B$254,"*"&amp;$D35&amp;"*",'2026 AC'!E$3:E$254)</f>
        <v>0</v>
      </c>
      <c r="H35" s="53">
        <f>SUMIF('2026 AC'!$B$3:$B$254,"*"&amp;$D35&amp;"*",'2026 AC'!F$3:F$254)</f>
        <v>0</v>
      </c>
      <c r="I35" s="53">
        <f>SUMIF('2026 AC'!$B$3:$B$254,"*"&amp;$D35&amp;"*",'2026 AC'!G$3:G$254)</f>
        <v>0</v>
      </c>
      <c r="J35" s="53">
        <f>SUMIF('2026 AC'!$B$3:$B$254,"*"&amp;$D35&amp;"*",'2026 AC'!H$3:H$254)</f>
        <v>0</v>
      </c>
      <c r="K35" s="53">
        <f>SUMIF('2026 AC'!$B$3:$B$254,"*"&amp;$D35&amp;"*",'2026 AC'!I$3:I$254)</f>
        <v>0</v>
      </c>
      <c r="L35" s="53">
        <f>SUMIF('2026 AC'!$B$3:$B$254,"*"&amp;$D35&amp;"*",'2026 AC'!J$3:J$254)</f>
        <v>0</v>
      </c>
      <c r="M35" s="53">
        <f>SUMIF('2026 AC'!$B$3:$B$254,"*"&amp;$D35&amp;"*",'2026 AC'!K$3:K$254)</f>
        <v>0</v>
      </c>
      <c r="N35" s="53">
        <f>SUMIF('2026 AC'!$B$3:$B$254,"*"&amp;$D35&amp;"*",'2026 AC'!L$3:L$254)</f>
        <v>0</v>
      </c>
      <c r="O35" s="53">
        <f>SUMIF('2026 AC'!$B$3:$B$254,"*"&amp;$D35&amp;"*",'2026 AC'!M$3:M$254)</f>
        <v>0</v>
      </c>
      <c r="P35" s="93">
        <f>SUMIF('2026 AC'!$B$3:$B$254,"*"&amp;$D35&amp;"*",'2026 AC'!N$3:N$254)</f>
        <v>0</v>
      </c>
      <c r="Q35" s="92">
        <f t="shared" si="269"/>
        <v>254.25</v>
      </c>
      <c r="R35" s="93">
        <f t="shared" si="262"/>
        <v>254.25</v>
      </c>
      <c r="S35" s="93">
        <f t="shared" si="263"/>
        <v>0</v>
      </c>
      <c r="T35" s="93">
        <f t="shared" si="264"/>
        <v>0</v>
      </c>
      <c r="U35" s="93">
        <f t="shared" si="265"/>
        <v>0</v>
      </c>
      <c r="V35" s="92">
        <f t="shared" si="266"/>
        <v>254.25</v>
      </c>
    </row>
    <row r="36" ht="15" customHeight="1" outlineLevel="1">
      <c r="A36" t="s">
        <v>63</v>
      </c>
      <c r="B36" t="s">
        <v>64</v>
      </c>
      <c r="C36" s="150" t="s">
        <v>65</v>
      </c>
      <c r="D36" s="35" t="s">
        <v>64</v>
      </c>
      <c r="E36" s="63">
        <f>SUMIF('2026 AC'!$B$3:$B$254,"*"&amp;$D36&amp;"*",'2026 AC'!C$3:C$254)</f>
        <v>0</v>
      </c>
      <c r="F36" s="53">
        <f>SUMIF('2026 AC'!$B$3:$B$254,"*"&amp;$D36&amp;"*",'2026 AC'!D$3:D$254)</f>
        <v>0</v>
      </c>
      <c r="G36" s="53">
        <f>SUMIF('2026 AC'!$B$3:$B$254,"*"&amp;$D36&amp;"*",'2026 AC'!E$3:E$254)</f>
        <v>0</v>
      </c>
      <c r="H36" s="53">
        <f>SUMIF('2026 AC'!$B$3:$B$254,"*"&amp;$D36&amp;"*",'2026 AC'!F$3:F$254)</f>
        <v>0</v>
      </c>
      <c r="I36" s="53">
        <f>SUMIF('2026 AC'!$B$3:$B$254,"*"&amp;$D36&amp;"*",'2026 AC'!G$3:G$254)</f>
        <v>10</v>
      </c>
      <c r="J36" s="53">
        <f>SUMIF('2026 AC'!$B$3:$B$254,"*"&amp;$D36&amp;"*",'2026 AC'!H$3:H$254)</f>
        <v>0</v>
      </c>
      <c r="K36" s="53">
        <f>SUMIF('2026 AC'!$B$3:$B$254,"*"&amp;$D36&amp;"*",'2026 AC'!I$3:I$254)</f>
        <v>0</v>
      </c>
      <c r="L36" s="53">
        <f>SUMIF('2026 AC'!$B$3:$B$254,"*"&amp;$D36&amp;"*",'2026 AC'!J$3:J$254)</f>
        <v>0</v>
      </c>
      <c r="M36" s="53">
        <f>SUMIF('2026 AC'!$B$3:$B$254,"*"&amp;$D36&amp;"*",'2026 AC'!K$3:K$254)</f>
        <v>0</v>
      </c>
      <c r="N36" s="53">
        <f>SUMIF('2026 AC'!$B$3:$B$254,"*"&amp;$D36&amp;"*",'2026 AC'!L$3:L$254)</f>
        <v>0</v>
      </c>
      <c r="O36" s="53">
        <f>SUMIF('2026 AC'!$B$3:$B$254,"*"&amp;$D36&amp;"*",'2026 AC'!M$3:M$254)</f>
        <v>0</v>
      </c>
      <c r="P36" s="93">
        <f>SUMIF('2026 AC'!$B$3:$B$254,"*"&amp;$D36&amp;"*",'2026 AC'!N$3:N$254)</f>
        <v>0</v>
      </c>
      <c r="Q36" s="92">
        <f t="shared" si="269"/>
        <v>10</v>
      </c>
      <c r="R36" s="93">
        <f t="shared" si="262"/>
        <v>0</v>
      </c>
      <c r="S36" s="93">
        <f t="shared" si="263"/>
        <v>10</v>
      </c>
      <c r="T36" s="93">
        <f t="shared" si="264"/>
        <v>0</v>
      </c>
      <c r="U36" s="93">
        <f t="shared" si="265"/>
        <v>0</v>
      </c>
      <c r="V36" s="92">
        <f t="shared" si="266"/>
        <v>10</v>
      </c>
    </row>
    <row r="37" ht="15" customHeight="1" outlineLevel="1">
      <c r="A37" t="s">
        <v>66</v>
      </c>
      <c r="B37" t="s">
        <v>67</v>
      </c>
      <c r="C37" s="150" t="s">
        <v>68</v>
      </c>
      <c r="D37" s="156" t="s">
        <v>67</v>
      </c>
      <c r="E37" s="63">
        <f>SUMIF('2026 AC'!$B$3:$B$254,"*"&amp;$D37&amp;"*",'2026 AC'!C$3:C$254)</f>
        <v>12036.459999999999</v>
      </c>
      <c r="F37" s="53">
        <f>SUMIF('2026 AC'!$B$3:$B$254,"*"&amp;$D37&amp;"*",'2026 AC'!D$3:D$254)</f>
        <v>8679.5900000000001</v>
      </c>
      <c r="G37" s="53">
        <f>SUMIF('2026 AC'!$B$3:$B$254,"*"&amp;$D37&amp;"*",'2026 AC'!E$3:E$254)</f>
        <v>9686.6299999999992</v>
      </c>
      <c r="H37" s="53">
        <f>SUMIF('2026 AC'!$B$3:$B$254,"*"&amp;$D37&amp;"*",'2026 AC'!F$3:F$254)</f>
        <v>14581.559999999999</v>
      </c>
      <c r="I37" s="53">
        <f>SUMIF('2026 AC'!$B$3:$B$254,"*"&amp;$D37&amp;"*",'2026 AC'!G$3:G$254)</f>
        <v>7453.6999999999998</v>
      </c>
      <c r="J37" s="53">
        <f>SUMIF('2026 AC'!$B$3:$B$254,"*"&amp;$D37&amp;"*",'2026 AC'!H$3:H$254)</f>
        <v>10501.290000000001</v>
      </c>
      <c r="K37" s="53">
        <f>SUMIF('2026 AC'!$B$3:$B$254,"*"&amp;$D37&amp;"*",'2026 AC'!I$3:I$254)</f>
        <v>0</v>
      </c>
      <c r="L37" s="53">
        <f>SUMIF('2026 AC'!$B$3:$B$254,"*"&amp;$D37&amp;"*",'2026 AC'!J$3:J$254)</f>
        <v>0</v>
      </c>
      <c r="M37" s="53">
        <f>SUMIF('2026 AC'!$B$3:$B$254,"*"&amp;$D37&amp;"*",'2026 AC'!K$3:K$254)</f>
        <v>0</v>
      </c>
      <c r="N37" s="53">
        <f>SUMIF('2026 AC'!$B$3:$B$254,"*"&amp;$D37&amp;"*",'2026 AC'!L$3:L$254)</f>
        <v>0</v>
      </c>
      <c r="O37" s="53">
        <f>SUMIF('2026 AC'!$B$3:$B$254,"*"&amp;$D37&amp;"*",'2026 AC'!M$3:M$254)</f>
        <v>0</v>
      </c>
      <c r="P37" s="93">
        <f>SUMIF('2026 AC'!$B$3:$B$254,"*"&amp;$D37&amp;"*",'2026 AC'!N$3:N$254)</f>
        <v>0</v>
      </c>
      <c r="Q37" s="92">
        <f t="shared" si="269"/>
        <v>62939.229999999996</v>
      </c>
      <c r="R37" s="93">
        <f t="shared" si="262"/>
        <v>30402.68</v>
      </c>
      <c r="S37" s="93">
        <f t="shared" si="263"/>
        <v>32536.549999999999</v>
      </c>
      <c r="T37" s="93">
        <f t="shared" si="264"/>
        <v>0</v>
      </c>
      <c r="U37" s="93">
        <f t="shared" si="265"/>
        <v>0</v>
      </c>
      <c r="V37" s="92">
        <f t="shared" si="266"/>
        <v>62939.229999999996</v>
      </c>
    </row>
    <row r="38" s="137" customFormat="1">
      <c r="A38" s="137" t="s">
        <v>69</v>
      </c>
      <c r="B38" s="137" t="s">
        <v>70</v>
      </c>
      <c r="C38" s="138" t="s">
        <v>71</v>
      </c>
      <c r="D38" s="139" t="s">
        <v>70</v>
      </c>
      <c r="E38" s="145">
        <f>SUMIF('2026 AC'!$B$3:$B$254,"*"&amp;$D38&amp;"*",'2026 AC'!C$3:C$254)</f>
        <v>18794.09</v>
      </c>
      <c r="F38" s="146">
        <f>SUMIF('2026 AC'!$B$3:$B$254,"*"&amp;$D38&amp;"*",'2026 AC'!D$3:D$254)</f>
        <v>27030.970000000001</v>
      </c>
      <c r="G38" s="146">
        <f>SUMIF('2026 AC'!$B$3:$B$254,"*"&amp;$D38&amp;"*",'2026 AC'!E$3:E$254)</f>
        <v>110045.72</v>
      </c>
      <c r="H38" s="146">
        <f>SUMIF('2026 AC'!$B$3:$B$254,"*"&amp;$D38&amp;"*",'2026 AC'!F$3:F$254)</f>
        <v>10962.42</v>
      </c>
      <c r="I38" s="146">
        <f>SUMIF('2026 AC'!$B$3:$B$254,"*"&amp;$D38&amp;"*",'2026 AC'!G$3:G$254)</f>
        <v>9606.0599999999995</v>
      </c>
      <c r="J38" s="146">
        <f>SUMIF('2026 AC'!$B$3:$B$254,"*"&amp;$D38&amp;"*",'2026 AC'!H$3:H$254)</f>
        <v>17895.139999999999</v>
      </c>
      <c r="K38" s="146">
        <f>SUMIF('2026 AC'!$B$3:$B$254,"*"&amp;$D38&amp;"*",'2026 AC'!I$3:I$254)</f>
        <v>0</v>
      </c>
      <c r="L38" s="146">
        <f>SUMIF('2026 AC'!$B$3:$B$254,"*"&amp;$D38&amp;"*",'2026 AC'!J$3:J$254)</f>
        <v>0</v>
      </c>
      <c r="M38" s="146">
        <f>SUMIF('2026 AC'!$B$3:$B$254,"*"&amp;$D38&amp;"*",'2026 AC'!K$3:K$254)</f>
        <v>0</v>
      </c>
      <c r="N38" s="146">
        <f>SUMIF('2026 AC'!$B$3:$B$254,"*"&amp;$D38&amp;"*",'2026 AC'!L$3:L$254)</f>
        <v>0</v>
      </c>
      <c r="O38" s="146">
        <f>SUMIF('2026 AC'!$B$3:$B$254,"*"&amp;$D38&amp;"*",'2026 AC'!M$3:M$254)</f>
        <v>0</v>
      </c>
      <c r="P38" s="147">
        <f>SUMIF('2026 AC'!$B$3:$B$254,"*"&amp;$D38&amp;"*",'2026 AC'!N$3:N$254)</f>
        <v>0</v>
      </c>
      <c r="Q38" s="148">
        <f t="shared" si="269"/>
        <v>194334.40000000002</v>
      </c>
      <c r="R38" s="147">
        <f t="shared" si="262"/>
        <v>155870.78</v>
      </c>
      <c r="S38" s="147">
        <f t="shared" si="263"/>
        <v>38463.619999999995</v>
      </c>
      <c r="T38" s="147">
        <f t="shared" si="264"/>
        <v>0</v>
      </c>
      <c r="U38" s="147">
        <f t="shared" si="265"/>
        <v>0</v>
      </c>
      <c r="V38" s="148">
        <f t="shared" si="266"/>
        <v>194334.39999999999</v>
      </c>
    </row>
    <row r="39" ht="15" customHeight="1" outlineLevel="1">
      <c r="A39" t="s">
        <v>72</v>
      </c>
      <c r="B39" t="s">
        <v>73</v>
      </c>
      <c r="C39" s="34" t="s">
        <v>74</v>
      </c>
      <c r="D39" s="35" t="s">
        <v>73</v>
      </c>
      <c r="E39" s="63">
        <f>SUMIF('2026 AC'!$B$3:$B$254,"*"&amp;$D39&amp;"*",'2026 AC'!C$3:C$254)</f>
        <v>6606.96</v>
      </c>
      <c r="F39" s="53">
        <f>SUMIF('2026 AC'!$B$3:$B$254,"*"&amp;$D39&amp;"*",'2026 AC'!D$3:D$254)</f>
        <v>6051.21</v>
      </c>
      <c r="G39" s="53">
        <f>SUMIF('2026 AC'!$B$3:$B$254,"*"&amp;$D39&amp;"*",'2026 AC'!E$3:E$254)</f>
        <v>8556.0100000000002</v>
      </c>
      <c r="H39" s="53">
        <f>SUMIF('2026 AC'!$B$3:$B$254,"*"&amp;$D39&amp;"*",'2026 AC'!F$3:F$254)</f>
        <v>6467.9700000000003</v>
      </c>
      <c r="I39" s="53">
        <f>SUMIF('2026 AC'!$B$3:$B$254,"*"&amp;$D39&amp;"*",'2026 AC'!G$3:G$254)</f>
        <v>3578.8899999999999</v>
      </c>
      <c r="J39" s="53">
        <f>SUMIF('2026 AC'!$B$3:$B$254,"*"&amp;$D39&amp;"*",'2026 AC'!H$3:H$254)</f>
        <v>9060.8099999999995</v>
      </c>
      <c r="K39" s="53">
        <f>SUMIF('2026 AC'!$B$3:$B$254,"*"&amp;$D39&amp;"*",'2026 AC'!I$3:I$254)</f>
        <v>0</v>
      </c>
      <c r="L39" s="53">
        <f>SUMIF('2026 AC'!$B$3:$B$254,"*"&amp;$D39&amp;"*",'2026 AC'!J$3:J$254)</f>
        <v>0</v>
      </c>
      <c r="M39" s="53">
        <f>SUMIF('2026 AC'!$B$3:$B$254,"*"&amp;$D39&amp;"*",'2026 AC'!K$3:K$254)</f>
        <v>0</v>
      </c>
      <c r="N39" s="53">
        <f>SUMIF('2026 AC'!$B$3:$B$254,"*"&amp;$D39&amp;"*",'2026 AC'!L$3:L$254)</f>
        <v>0</v>
      </c>
      <c r="O39" s="53">
        <f>SUMIF('2026 AC'!$B$3:$B$254,"*"&amp;$D39&amp;"*",'2026 AC'!M$3:M$254)</f>
        <v>0</v>
      </c>
      <c r="P39" s="93">
        <f>SUMIF('2026 AC'!$B$3:$B$254,"*"&amp;$D39&amp;"*",'2026 AC'!N$3:N$254)</f>
        <v>0</v>
      </c>
      <c r="Q39" s="92">
        <f t="shared" si="269"/>
        <v>40321.849999999999</v>
      </c>
      <c r="R39" s="93">
        <f t="shared" si="262"/>
        <v>21214.18</v>
      </c>
      <c r="S39" s="93">
        <f t="shared" si="263"/>
        <v>19107.669999999998</v>
      </c>
      <c r="T39" s="93">
        <f t="shared" si="264"/>
        <v>0</v>
      </c>
      <c r="U39" s="93">
        <f t="shared" si="265"/>
        <v>0</v>
      </c>
      <c r="V39" s="92">
        <f t="shared" si="266"/>
        <v>40321.849999999999</v>
      </c>
    </row>
    <row r="40" ht="15" customHeight="1" outlineLevel="1">
      <c r="A40" t="s">
        <v>75</v>
      </c>
      <c r="B40" t="s">
        <v>76</v>
      </c>
      <c r="C40" s="157" t="s">
        <v>77</v>
      </c>
      <c r="D40" s="156" t="s">
        <v>76</v>
      </c>
      <c r="E40" s="63">
        <f>SUMIF('2026 AC'!$B$3:$B$254,"*"&amp;$D40&amp;"*",'2026 AC'!C$3:C$254)</f>
        <v>0</v>
      </c>
      <c r="F40" s="53">
        <f>SUMIF('2026 AC'!$B$3:$B$254,"*"&amp;$D40&amp;"*",'2026 AC'!D$3:D$254)</f>
        <v>0</v>
      </c>
      <c r="G40" s="53">
        <f>SUMIF('2026 AC'!$B$3:$B$254,"*"&amp;$D40&amp;"*",'2026 AC'!E$3:E$254)</f>
        <v>0</v>
      </c>
      <c r="H40" s="53">
        <f>SUMIF('2026 AC'!$B$3:$B$254,"*"&amp;$D40&amp;"*",'2026 AC'!F$3:F$254)</f>
        <v>0</v>
      </c>
      <c r="I40" s="53">
        <f>SUMIF('2026 AC'!$B$3:$B$254,"*"&amp;$D40&amp;"*",'2026 AC'!G$3:G$254)</f>
        <v>0</v>
      </c>
      <c r="J40" s="53">
        <f>SUMIF('2026 AC'!$B$3:$B$254,"*"&amp;$D40&amp;"*",'2026 AC'!H$3:H$254)</f>
        <v>0</v>
      </c>
      <c r="K40" s="53">
        <f>SUMIF('2026 AC'!$B$3:$B$254,"*"&amp;$D40&amp;"*",'2026 AC'!I$3:I$254)</f>
        <v>0</v>
      </c>
      <c r="L40" s="53">
        <f>SUMIF('2026 AC'!$B$3:$B$254,"*"&amp;$D40&amp;"*",'2026 AC'!J$3:J$254)</f>
        <v>0</v>
      </c>
      <c r="M40" s="53">
        <f>SUMIF('2026 AC'!$B$3:$B$254,"*"&amp;$D40&amp;"*",'2026 AC'!K$3:K$254)</f>
        <v>0</v>
      </c>
      <c r="N40" s="53">
        <f>SUMIF('2026 AC'!$B$3:$B$254,"*"&amp;$D40&amp;"*",'2026 AC'!L$3:L$254)</f>
        <v>0</v>
      </c>
      <c r="O40" s="53">
        <f>SUMIF('2026 AC'!$B$3:$B$254,"*"&amp;$D40&amp;"*",'2026 AC'!M$3:M$254)</f>
        <v>0</v>
      </c>
      <c r="P40" s="93">
        <f>SUMIF('2026 AC'!$B$3:$B$254,"*"&amp;$D40&amp;"*",'2026 AC'!N$3:N$254)</f>
        <v>0</v>
      </c>
      <c r="Q40" s="92">
        <f t="shared" si="269"/>
        <v>0</v>
      </c>
      <c r="R40" s="93">
        <f t="shared" si="262"/>
        <v>0</v>
      </c>
      <c r="S40" s="93">
        <f t="shared" si="263"/>
        <v>0</v>
      </c>
      <c r="T40" s="93">
        <f t="shared" si="264"/>
        <v>0</v>
      </c>
      <c r="U40" s="93">
        <f t="shared" si="265"/>
        <v>0</v>
      </c>
      <c r="V40" s="92">
        <f t="shared" si="266"/>
        <v>0</v>
      </c>
    </row>
    <row r="41" ht="15" customHeight="1" outlineLevel="1">
      <c r="A41" t="s">
        <v>78</v>
      </c>
      <c r="B41" t="s">
        <v>79</v>
      </c>
      <c r="C41" s="34" t="s">
        <v>80</v>
      </c>
      <c r="D41" s="35" t="s">
        <v>79</v>
      </c>
      <c r="E41" s="63">
        <f>SUMIF('2026 AC'!$B$3:$B$254,"*"&amp;$D41&amp;"*",'2026 AC'!C$3:C$254)</f>
        <v>0</v>
      </c>
      <c r="F41" s="53">
        <f>SUMIF('2026 AC'!$B$3:$B$254,"*"&amp;$D41&amp;"*",'2026 AC'!D$3:D$254)</f>
        <v>0</v>
      </c>
      <c r="G41" s="53">
        <f>SUMIF('2026 AC'!$B$3:$B$254,"*"&amp;$D41&amp;"*",'2026 AC'!E$3:E$254)</f>
        <v>0</v>
      </c>
      <c r="H41" s="53">
        <f>SUMIF('2026 AC'!$B$3:$B$254,"*"&amp;$D41&amp;"*",'2026 AC'!F$3:F$254)</f>
        <v>0</v>
      </c>
      <c r="I41" s="53">
        <f>SUMIF('2026 AC'!$B$3:$B$254,"*"&amp;$D41&amp;"*",'2026 AC'!G$3:G$254)</f>
        <v>0</v>
      </c>
      <c r="J41" s="53">
        <f>SUMIF('2026 AC'!$B$3:$B$254,"*"&amp;$D41&amp;"*",'2026 AC'!H$3:H$254)</f>
        <v>0</v>
      </c>
      <c r="K41" s="53">
        <f>SUMIF('2026 AC'!$B$3:$B$254,"*"&amp;$D41&amp;"*",'2026 AC'!I$3:I$254)</f>
        <v>0</v>
      </c>
      <c r="L41" s="53">
        <f>SUMIF('2026 AC'!$B$3:$B$254,"*"&amp;$D41&amp;"*",'2026 AC'!J$3:J$254)</f>
        <v>0</v>
      </c>
      <c r="M41" s="53">
        <f>SUMIF('2026 AC'!$B$3:$B$254,"*"&amp;$D41&amp;"*",'2026 AC'!K$3:K$254)</f>
        <v>0</v>
      </c>
      <c r="N41" s="53">
        <f>SUMIF('2026 AC'!$B$3:$B$254,"*"&amp;$D41&amp;"*",'2026 AC'!L$3:L$254)</f>
        <v>0</v>
      </c>
      <c r="O41" s="53">
        <f>SUMIF('2026 AC'!$B$3:$B$254,"*"&amp;$D41&amp;"*",'2026 AC'!M$3:M$254)</f>
        <v>0</v>
      </c>
      <c r="P41" s="93">
        <f>SUMIF('2026 AC'!$B$3:$B$254,"*"&amp;$D41&amp;"*",'2026 AC'!N$3:N$254)</f>
        <v>0</v>
      </c>
      <c r="Q41" s="92">
        <f t="shared" si="269"/>
        <v>0</v>
      </c>
      <c r="R41" s="93">
        <f t="shared" si="262"/>
        <v>0</v>
      </c>
      <c r="S41" s="93">
        <f t="shared" si="263"/>
        <v>0</v>
      </c>
      <c r="T41" s="93">
        <f t="shared" si="264"/>
        <v>0</v>
      </c>
      <c r="U41" s="93">
        <f t="shared" si="265"/>
        <v>0</v>
      </c>
      <c r="V41" s="92">
        <f t="shared" si="266"/>
        <v>0</v>
      </c>
    </row>
    <row r="42" ht="15" customHeight="1" outlineLevel="1">
      <c r="A42" t="s">
        <v>81</v>
      </c>
      <c r="B42" t="s">
        <v>82</v>
      </c>
      <c r="C42" s="34" t="s">
        <v>83</v>
      </c>
      <c r="D42" s="35" t="s">
        <v>82</v>
      </c>
      <c r="E42" s="63">
        <f>SUMIF('2026 AC'!$B$3:$B$254,"*"&amp;$D42&amp;"*",'2026 AC'!C$3:C$254)</f>
        <v>0</v>
      </c>
      <c r="F42" s="53">
        <f>SUMIF('2026 AC'!$B$3:$B$254,"*"&amp;$D42&amp;"*",'2026 AC'!D$3:D$254)</f>
        <v>0</v>
      </c>
      <c r="G42" s="53">
        <f>SUMIF('2026 AC'!$B$3:$B$254,"*"&amp;$D42&amp;"*",'2026 AC'!E$3:E$254)</f>
        <v>0</v>
      </c>
      <c r="H42" s="53">
        <f>SUMIF('2026 AC'!$B$3:$B$254,"*"&amp;$D42&amp;"*",'2026 AC'!F$3:F$254)</f>
        <v>0</v>
      </c>
      <c r="I42" s="53">
        <f>SUMIF('2026 AC'!$B$3:$B$254,"*"&amp;$D42&amp;"*",'2026 AC'!G$3:G$254)</f>
        <v>0</v>
      </c>
      <c r="J42" s="53">
        <f>SUMIF('2026 AC'!$B$3:$B$254,"*"&amp;$D42&amp;"*",'2026 AC'!H$3:H$254)</f>
        <v>0</v>
      </c>
      <c r="K42" s="53">
        <f>SUMIF('2026 AC'!$B$3:$B$254,"*"&amp;$D42&amp;"*",'2026 AC'!I$3:I$254)</f>
        <v>0</v>
      </c>
      <c r="L42" s="53">
        <f>SUMIF('2026 AC'!$B$3:$B$254,"*"&amp;$D42&amp;"*",'2026 AC'!J$3:J$254)</f>
        <v>0</v>
      </c>
      <c r="M42" s="53">
        <f>SUMIF('2026 AC'!$B$3:$B$254,"*"&amp;$D42&amp;"*",'2026 AC'!K$3:K$254)</f>
        <v>0</v>
      </c>
      <c r="N42" s="53">
        <f>SUMIF('2026 AC'!$B$3:$B$254,"*"&amp;$D42&amp;"*",'2026 AC'!L$3:L$254)</f>
        <v>0</v>
      </c>
      <c r="O42" s="53">
        <f>SUMIF('2026 AC'!$B$3:$B$254,"*"&amp;$D42&amp;"*",'2026 AC'!M$3:M$254)</f>
        <v>0</v>
      </c>
      <c r="P42" s="93">
        <f>SUMIF('2026 AC'!$B$3:$B$254,"*"&amp;$D42&amp;"*",'2026 AC'!N$3:N$254)</f>
        <v>0</v>
      </c>
      <c r="Q42" s="92">
        <f t="shared" si="269"/>
        <v>0</v>
      </c>
      <c r="R42" s="93">
        <f t="shared" si="262"/>
        <v>0</v>
      </c>
      <c r="S42" s="93">
        <f t="shared" si="263"/>
        <v>0</v>
      </c>
      <c r="T42" s="93">
        <f t="shared" si="264"/>
        <v>0</v>
      </c>
      <c r="U42" s="93">
        <f t="shared" si="265"/>
        <v>0</v>
      </c>
      <c r="V42" s="92">
        <f t="shared" si="266"/>
        <v>0</v>
      </c>
    </row>
    <row r="43" ht="15" customHeight="1" outlineLevel="1">
      <c r="A43" t="s">
        <v>84</v>
      </c>
      <c r="B43" t="s">
        <v>85</v>
      </c>
      <c r="C43" s="34" t="s">
        <v>86</v>
      </c>
      <c r="D43" s="35" t="s">
        <v>85</v>
      </c>
      <c r="E43" s="63">
        <f>SUMIF('2026 AC'!$B$3:$B$254,"*"&amp;$D43&amp;"*",'2026 AC'!C$3:C$254)</f>
        <v>12187.129999999999</v>
      </c>
      <c r="F43" s="53">
        <f>SUMIF('2026 AC'!$B$3:$B$254,"*"&amp;$D43&amp;"*",'2026 AC'!D$3:D$254)</f>
        <v>20979.759999999998</v>
      </c>
      <c r="G43" s="53">
        <f>SUMIF('2026 AC'!$B$3:$B$254,"*"&amp;$D43&amp;"*",'2026 AC'!E$3:E$254)</f>
        <v>101489.71000000001</v>
      </c>
      <c r="H43" s="53">
        <f>SUMIF('2026 AC'!$B$3:$B$254,"*"&amp;$D43&amp;"*",'2026 AC'!F$3:F$254)</f>
        <v>4494.4499999999998</v>
      </c>
      <c r="I43" s="53">
        <f>SUMIF('2026 AC'!$B$3:$B$254,"*"&amp;$D43&amp;"*",'2026 AC'!G$3:G$254)</f>
        <v>6027.1700000000001</v>
      </c>
      <c r="J43" s="53">
        <f>SUMIF('2026 AC'!$B$3:$B$254,"*"&amp;$D43&amp;"*",'2026 AC'!H$3:H$254)</f>
        <v>8834.3299999999999</v>
      </c>
      <c r="K43" s="53">
        <f>SUMIF('2026 AC'!$B$3:$B$254,"*"&amp;$D43&amp;"*",'2026 AC'!I$3:I$254)</f>
        <v>0</v>
      </c>
      <c r="L43" s="53">
        <f>SUMIF('2026 AC'!$B$3:$B$254,"*"&amp;$D43&amp;"*",'2026 AC'!J$3:J$254)</f>
        <v>0</v>
      </c>
      <c r="M43" s="53">
        <f>SUMIF('2026 AC'!$B$3:$B$254,"*"&amp;$D43&amp;"*",'2026 AC'!K$3:K$254)</f>
        <v>0</v>
      </c>
      <c r="N43" s="53">
        <f>SUMIF('2026 AC'!$B$3:$B$254,"*"&amp;$D43&amp;"*",'2026 AC'!L$3:L$254)</f>
        <v>0</v>
      </c>
      <c r="O43" s="53">
        <f>SUMIF('2026 AC'!$B$3:$B$254,"*"&amp;$D43&amp;"*",'2026 AC'!M$3:M$254)</f>
        <v>0</v>
      </c>
      <c r="P43" s="93">
        <f>SUMIF('2026 AC'!$B$3:$B$254,"*"&amp;$D43&amp;"*",'2026 AC'!N$3:N$254)</f>
        <v>0</v>
      </c>
      <c r="Q43" s="92">
        <f t="shared" si="269"/>
        <v>154012.55000000002</v>
      </c>
      <c r="R43" s="93">
        <f t="shared" si="262"/>
        <v>134656.60000000001</v>
      </c>
      <c r="S43" s="93">
        <f t="shared" si="263"/>
        <v>19355.949999999997</v>
      </c>
      <c r="T43" s="93">
        <f t="shared" si="264"/>
        <v>0</v>
      </c>
      <c r="U43" s="93">
        <f t="shared" si="265"/>
        <v>0</v>
      </c>
      <c r="V43" s="92">
        <f t="shared" si="266"/>
        <v>154012.54999999999</v>
      </c>
    </row>
    <row r="44" ht="15" customHeight="1" outlineLevel="1">
      <c r="A44" t="s">
        <v>87</v>
      </c>
      <c r="B44" t="s">
        <v>88</v>
      </c>
      <c r="C44" s="34" t="s">
        <v>89</v>
      </c>
      <c r="D44" s="156" t="s">
        <v>88</v>
      </c>
      <c r="E44" s="63">
        <f>SUMIF('2026 AC'!$B$3:$B$254,"*"&amp;$D44&amp;"*",'2026 AC'!C$3:C$254)</f>
        <v>0</v>
      </c>
      <c r="F44" s="53">
        <f>SUMIF('2026 AC'!$B$3:$B$254,"*"&amp;$D44&amp;"*",'2026 AC'!D$3:D$254)</f>
        <v>0</v>
      </c>
      <c r="G44" s="53">
        <f>SUMIF('2026 AC'!$B$3:$B$254,"*"&amp;$D44&amp;"*",'2026 AC'!E$3:E$254)</f>
        <v>0</v>
      </c>
      <c r="H44" s="53">
        <f>SUMIF('2026 AC'!$B$3:$B$254,"*"&amp;$D44&amp;"*",'2026 AC'!F$3:F$254)</f>
        <v>0</v>
      </c>
      <c r="I44" s="53">
        <f>SUMIF('2026 AC'!$B$3:$B$254,"*"&amp;$D44&amp;"*",'2026 AC'!G$3:G$254)</f>
        <v>0</v>
      </c>
      <c r="J44" s="53">
        <f>SUMIF('2026 AC'!$B$3:$B$254,"*"&amp;$D44&amp;"*",'2026 AC'!H$3:H$254)</f>
        <v>0</v>
      </c>
      <c r="K44" s="53">
        <f>SUMIF('2026 AC'!$B$3:$B$254,"*"&amp;$D44&amp;"*",'2026 AC'!I$3:I$254)</f>
        <v>0</v>
      </c>
      <c r="L44" s="53">
        <f>SUMIF('2026 AC'!$B$3:$B$254,"*"&amp;$D44&amp;"*",'2026 AC'!J$3:J$254)</f>
        <v>0</v>
      </c>
      <c r="M44" s="53">
        <f>SUMIF('2026 AC'!$B$3:$B$254,"*"&amp;$D44&amp;"*",'2026 AC'!K$3:K$254)</f>
        <v>0</v>
      </c>
      <c r="N44" s="53">
        <f>SUMIF('2026 AC'!$B$3:$B$254,"*"&amp;$D44&amp;"*",'2026 AC'!L$3:L$254)</f>
        <v>0</v>
      </c>
      <c r="O44" s="53">
        <f>SUMIF('2026 AC'!$B$3:$B$254,"*"&amp;$D44&amp;"*",'2026 AC'!M$3:M$254)</f>
        <v>0</v>
      </c>
      <c r="P44" s="93">
        <f>SUMIF('2026 AC'!$B$3:$B$254,"*"&amp;$D44&amp;"*",'2026 AC'!N$3:N$254)</f>
        <v>0</v>
      </c>
      <c r="Q44" s="92">
        <f t="shared" si="269"/>
        <v>0</v>
      </c>
      <c r="R44" s="93">
        <f t="shared" si="262"/>
        <v>0</v>
      </c>
      <c r="S44" s="93">
        <f t="shared" si="263"/>
        <v>0</v>
      </c>
      <c r="T44" s="93">
        <f t="shared" si="264"/>
        <v>0</v>
      </c>
      <c r="U44" s="93">
        <f t="shared" si="265"/>
        <v>0</v>
      </c>
      <c r="V44" s="92">
        <f t="shared" si="266"/>
        <v>0</v>
      </c>
    </row>
    <row r="45" s="137" customFormat="1">
      <c r="A45" s="137" t="s">
        <v>90</v>
      </c>
      <c r="B45" s="137" t="s">
        <v>91</v>
      </c>
      <c r="C45" s="158" t="s">
        <v>92</v>
      </c>
      <c r="D45" s="139" t="s">
        <v>91</v>
      </c>
      <c r="E45" s="145">
        <f>SUMIF('2026 AC'!$B$3:$B$254,"*"&amp;$D45&amp;"*",'2026 AC'!C$3:C$254)</f>
        <v>45334.790000000001</v>
      </c>
      <c r="F45" s="146">
        <f>SUMIF('2026 AC'!$B$3:$B$254,"*"&amp;$D45&amp;"*",'2026 AC'!D$3:D$254)</f>
        <v>43000.029999999999</v>
      </c>
      <c r="G45" s="146">
        <f>SUMIF('2026 AC'!$B$3:$B$254,"*"&amp;$D45&amp;"*",'2026 AC'!E$3:E$254)</f>
        <v>47369.480000000003</v>
      </c>
      <c r="H45" s="146">
        <f>SUMIF('2026 AC'!$B$3:$B$254,"*"&amp;$D45&amp;"*",'2026 AC'!F$3:F$254)</f>
        <v>79461.970000000001</v>
      </c>
      <c r="I45" s="146">
        <f>SUMIF('2026 AC'!$B$3:$B$254,"*"&amp;$D45&amp;"*",'2026 AC'!G$3:G$254)</f>
        <v>32711.919999999998</v>
      </c>
      <c r="J45" s="146">
        <f>SUMIF('2026 AC'!$B$3:$B$254,"*"&amp;$D45&amp;"*",'2026 AC'!H$3:H$254)</f>
        <v>57628.849999999999</v>
      </c>
      <c r="K45" s="146">
        <f>SUMIF('2026 AC'!$B$3:$B$254,"*"&amp;$D45&amp;"*",'2026 AC'!I$3:I$254)</f>
        <v>0</v>
      </c>
      <c r="L45" s="146">
        <f>SUMIF('2026 AC'!$B$3:$B$254,"*"&amp;$D45&amp;"*",'2026 AC'!J$3:J$254)</f>
        <v>0</v>
      </c>
      <c r="M45" s="146">
        <f>SUMIF('2026 AC'!$B$3:$B$254,"*"&amp;$D45&amp;"*",'2026 AC'!K$3:K$254)</f>
        <v>0</v>
      </c>
      <c r="N45" s="146">
        <f>SUMIF('2026 AC'!$B$3:$B$254,"*"&amp;$D45&amp;"*",'2026 AC'!L$3:L$254)</f>
        <v>0</v>
      </c>
      <c r="O45" s="146">
        <f>SUMIF('2026 AC'!$B$3:$B$254,"*"&amp;$D45&amp;"*",'2026 AC'!M$3:M$254)</f>
        <v>0</v>
      </c>
      <c r="P45" s="147">
        <f>SUMIF('2026 AC'!$B$3:$B$254,"*"&amp;$D45&amp;"*",'2026 AC'!N$3:N$254)</f>
        <v>0</v>
      </c>
      <c r="Q45" s="148">
        <f t="shared" si="269"/>
        <v>305507.03999999998</v>
      </c>
      <c r="R45" s="147">
        <f t="shared" si="262"/>
        <v>135704.30000000002</v>
      </c>
      <c r="S45" s="147">
        <f t="shared" si="263"/>
        <v>169802.73999999999</v>
      </c>
      <c r="T45" s="147">
        <f t="shared" si="264"/>
        <v>0</v>
      </c>
      <c r="U45" s="147">
        <f t="shared" si="265"/>
        <v>0</v>
      </c>
      <c r="V45" s="148">
        <f t="shared" si="266"/>
        <v>305507.04000000004</v>
      </c>
    </row>
    <row r="46" outlineLevel="1">
      <c r="A46" t="s">
        <v>93</v>
      </c>
      <c r="B46" t="s">
        <v>94</v>
      </c>
      <c r="C46" s="52" t="s">
        <v>92</v>
      </c>
      <c r="D46" s="35" t="s">
        <v>94</v>
      </c>
      <c r="E46" s="63">
        <f>SUMIF('2026 AC'!$B$3:$B$254,"*"&amp;$D46&amp;"*",'2026 AC'!C$3:C$254)</f>
        <v>0</v>
      </c>
      <c r="F46" s="53">
        <f>SUMIF('2026 AC'!$B$3:$B$254,"*"&amp;$D46&amp;"*",'2026 AC'!D$3:D$254)</f>
        <v>0</v>
      </c>
      <c r="G46" s="53">
        <f>SUMIF('2026 AC'!$B$3:$B$254,"*"&amp;$D46&amp;"*",'2026 AC'!E$3:E$254)</f>
        <v>0</v>
      </c>
      <c r="H46" s="53">
        <f>SUMIF('2026 AC'!$B$3:$B$254,"*"&amp;$D46&amp;"*",'2026 AC'!F$3:F$254)</f>
        <v>0</v>
      </c>
      <c r="I46" s="53">
        <f>SUMIF('2026 AC'!$B$3:$B$254,"*"&amp;$D46&amp;"*",'2026 AC'!G$3:G$254)</f>
        <v>0</v>
      </c>
      <c r="J46" s="53">
        <f>SUMIF('2026 AC'!$B$3:$B$254,"*"&amp;$D46&amp;"*",'2026 AC'!H$3:H$254)</f>
        <v>0</v>
      </c>
      <c r="K46" s="53">
        <f>SUMIF('2026 AC'!$B$3:$B$254,"*"&amp;$D46&amp;"*",'2026 AC'!I$3:I$254)</f>
        <v>0</v>
      </c>
      <c r="L46" s="53">
        <f>SUMIF('2026 AC'!$B$3:$B$254,"*"&amp;$D46&amp;"*",'2026 AC'!J$3:J$254)</f>
        <v>0</v>
      </c>
      <c r="M46" s="53">
        <f>SUMIF('2026 AC'!$B$3:$B$254,"*"&amp;$D46&amp;"*",'2026 AC'!K$3:K$254)</f>
        <v>0</v>
      </c>
      <c r="N46" s="53">
        <f>SUMIF('2026 AC'!$B$3:$B$254,"*"&amp;$D46&amp;"*",'2026 AC'!L$3:L$254)</f>
        <v>0</v>
      </c>
      <c r="O46" s="53">
        <f>SUMIF('2026 AC'!$B$3:$B$254,"*"&amp;$D46&amp;"*",'2026 AC'!M$3:M$254)</f>
        <v>0</v>
      </c>
      <c r="P46" s="93">
        <f>SUMIF('2026 AC'!$B$3:$B$254,"*"&amp;$D46&amp;"*",'2026 AC'!N$3:N$254)</f>
        <v>0</v>
      </c>
      <c r="Q46" s="92">
        <f t="shared" si="269"/>
        <v>0</v>
      </c>
      <c r="R46" s="93">
        <f t="shared" si="262"/>
        <v>0</v>
      </c>
      <c r="S46" s="93">
        <f t="shared" si="263"/>
        <v>0</v>
      </c>
      <c r="T46" s="93">
        <f t="shared" si="264"/>
        <v>0</v>
      </c>
      <c r="U46" s="93">
        <f t="shared" si="265"/>
        <v>0</v>
      </c>
      <c r="V46" s="92">
        <f t="shared" si="266"/>
        <v>0</v>
      </c>
    </row>
    <row r="47" ht="15" customHeight="1" outlineLevel="1">
      <c r="A47" t="s">
        <v>95</v>
      </c>
      <c r="B47" t="s">
        <v>96</v>
      </c>
      <c r="C47" s="52" t="s">
        <v>97</v>
      </c>
      <c r="D47" s="35" t="s">
        <v>98</v>
      </c>
      <c r="E47" s="63">
        <f>SUMIF('2026 AC'!$B$3:$B$254,"*"&amp;$D47&amp;"*",'2026 AC'!C$3:C$254)</f>
        <v>24135.599999999999</v>
      </c>
      <c r="F47" s="53">
        <f>SUMIF('2026 AC'!$B$3:$B$254,"*"&amp;$D47&amp;"*",'2026 AC'!D$3:D$254)</f>
        <v>21631.360000000001</v>
      </c>
      <c r="G47" s="53">
        <f>SUMIF('2026 AC'!$B$3:$B$254,"*"&amp;$D47&amp;"*",'2026 AC'!E$3:E$254)</f>
        <v>35170.330000000002</v>
      </c>
      <c r="H47" s="53">
        <f>SUMIF('2026 AC'!$B$3:$B$254,"*"&amp;$D47&amp;"*",'2026 AC'!F$3:F$254)</f>
        <v>34766.970000000001</v>
      </c>
      <c r="I47" s="53">
        <f>SUMIF('2026 AC'!$B$3:$B$254,"*"&amp;$D47&amp;"*",'2026 AC'!G$3:G$254)</f>
        <v>22601.709999999999</v>
      </c>
      <c r="J47" s="53">
        <f>SUMIF('2026 AC'!$B$3:$B$254,"*"&amp;$D47&amp;"*",'2026 AC'!H$3:H$254)</f>
        <v>29211.869999999999</v>
      </c>
      <c r="K47" s="53">
        <f>SUMIF('2026 AC'!$B$3:$B$254,"*"&amp;$D47&amp;"*",'2026 AC'!I$3:I$254)</f>
        <v>0</v>
      </c>
      <c r="L47" s="53">
        <f>SUMIF('2026 AC'!$B$3:$B$254,"*"&amp;$D47&amp;"*",'2026 AC'!J$3:J$254)</f>
        <v>0</v>
      </c>
      <c r="M47" s="53">
        <f>SUMIF('2026 AC'!$B$3:$B$254,"*"&amp;$D47&amp;"*",'2026 AC'!K$3:K$254)</f>
        <v>0</v>
      </c>
      <c r="N47" s="53">
        <f>SUMIF('2026 AC'!$B$3:$B$254,"*"&amp;$D47&amp;"*",'2026 AC'!L$3:L$254)</f>
        <v>0</v>
      </c>
      <c r="O47" s="53">
        <f>SUMIF('2026 AC'!$B$3:$B$254,"*"&amp;$D47&amp;"*",'2026 AC'!M$3:M$254)</f>
        <v>0</v>
      </c>
      <c r="P47" s="93">
        <f>SUMIF('2026 AC'!$B$3:$B$254,"*"&amp;$D47&amp;"*",'2026 AC'!N$3:N$254)</f>
        <v>0</v>
      </c>
      <c r="Q47" s="92">
        <f t="shared" si="269"/>
        <v>167517.84</v>
      </c>
      <c r="R47" s="93">
        <f t="shared" si="262"/>
        <v>80937.290000000008</v>
      </c>
      <c r="S47" s="93">
        <f t="shared" si="263"/>
        <v>86580.550000000003</v>
      </c>
      <c r="T47" s="93">
        <f t="shared" si="264"/>
        <v>0</v>
      </c>
      <c r="U47" s="93">
        <f t="shared" si="265"/>
        <v>0</v>
      </c>
      <c r="V47" s="92">
        <f t="shared" si="266"/>
        <v>167517.84000000003</v>
      </c>
    </row>
    <row r="48" ht="15" customHeight="1" outlineLevel="1">
      <c r="A48" t="s">
        <v>95</v>
      </c>
      <c r="B48" t="s">
        <v>96</v>
      </c>
      <c r="C48" s="52" t="s">
        <v>99</v>
      </c>
      <c r="D48" s="35" t="s">
        <v>100</v>
      </c>
      <c r="E48" s="63">
        <f>SUMIF('2026 AC'!$B$3:$B$254,"*"&amp;$D48&amp;"*",'2026 AC'!C$3:C$254)</f>
        <v>1059.3599999999999</v>
      </c>
      <c r="F48" s="53">
        <f>SUMIF('2026 AC'!$B$3:$B$254,"*"&amp;$D48&amp;"*",'2026 AC'!D$3:D$254)</f>
        <v>635.62</v>
      </c>
      <c r="G48" s="53">
        <f>SUMIF('2026 AC'!$B$3:$B$254,"*"&amp;$D48&amp;"*",'2026 AC'!E$3:E$254)</f>
        <v>550.87</v>
      </c>
      <c r="H48" s="53">
        <f>SUMIF('2026 AC'!$B$3:$B$254,"*"&amp;$D48&amp;"*",'2026 AC'!F$3:F$254)</f>
        <v>1864.49</v>
      </c>
      <c r="I48" s="53">
        <f>SUMIF('2026 AC'!$B$3:$B$254,"*"&amp;$D48&amp;"*",'2026 AC'!G$3:G$254)</f>
        <v>720.37</v>
      </c>
      <c r="J48" s="53">
        <f>SUMIF('2026 AC'!$B$3:$B$254,"*"&amp;$D48&amp;"*",'2026 AC'!H$3:H$254)</f>
        <v>1271.23</v>
      </c>
      <c r="K48" s="53">
        <f>SUMIF('2026 AC'!$B$3:$B$254,"*"&amp;$D48&amp;"*",'2026 AC'!I$3:I$254)</f>
        <v>0</v>
      </c>
      <c r="L48" s="53">
        <f>SUMIF('2026 AC'!$B$3:$B$254,"*"&amp;$D48&amp;"*",'2026 AC'!J$3:J$254)</f>
        <v>0</v>
      </c>
      <c r="M48" s="53">
        <f>SUMIF('2026 AC'!$B$3:$B$254,"*"&amp;$D48&amp;"*",'2026 AC'!K$3:K$254)</f>
        <v>0</v>
      </c>
      <c r="N48" s="53">
        <f>SUMIF('2026 AC'!$B$3:$B$254,"*"&amp;$D48&amp;"*",'2026 AC'!L$3:L$254)</f>
        <v>0</v>
      </c>
      <c r="O48" s="53">
        <f>SUMIF('2026 AC'!$B$3:$B$254,"*"&amp;$D48&amp;"*",'2026 AC'!M$3:M$254)</f>
        <v>0</v>
      </c>
      <c r="P48" s="93">
        <f>SUMIF('2026 AC'!$B$3:$B$254,"*"&amp;$D48&amp;"*",'2026 AC'!N$3:N$254)</f>
        <v>0</v>
      </c>
      <c r="Q48" s="92">
        <f t="shared" si="269"/>
        <v>6101.9400000000005</v>
      </c>
      <c r="R48" s="93">
        <f t="shared" si="262"/>
        <v>2245.8499999999999</v>
      </c>
      <c r="S48" s="93">
        <f t="shared" si="263"/>
        <v>3856.0900000000001</v>
      </c>
      <c r="T48" s="93">
        <f t="shared" si="264"/>
        <v>0</v>
      </c>
      <c r="U48" s="93">
        <f t="shared" si="265"/>
        <v>0</v>
      </c>
      <c r="V48" s="92">
        <f t="shared" si="266"/>
        <v>6101.9400000000005</v>
      </c>
    </row>
    <row r="49" ht="15" customHeight="1" outlineLevel="1">
      <c r="A49" t="s">
        <v>95</v>
      </c>
      <c r="B49" t="s">
        <v>96</v>
      </c>
      <c r="C49" s="52" t="s">
        <v>101</v>
      </c>
      <c r="D49" s="35" t="s">
        <v>102</v>
      </c>
      <c r="E49" s="63">
        <f>SUMIF('2026 AC'!$B$3:$B$254,"*"&amp;$D49&amp;"*",'2026 AC'!C$3:C$254)</f>
        <v>20139.830000000002</v>
      </c>
      <c r="F49" s="53">
        <f>SUMIF('2026 AC'!$B$3:$B$254,"*"&amp;$D49&amp;"*",'2026 AC'!D$3:D$254)</f>
        <v>20733.049999999999</v>
      </c>
      <c r="G49" s="53">
        <f>SUMIF('2026 AC'!$B$3:$B$254,"*"&amp;$D49&amp;"*",'2026 AC'!E$3:E$254)</f>
        <v>11203.360000000001</v>
      </c>
      <c r="H49" s="53">
        <f>SUMIF('2026 AC'!$B$3:$B$254,"*"&amp;$D49&amp;"*",'2026 AC'!F$3:F$254)</f>
        <v>42830.510000000002</v>
      </c>
      <c r="I49" s="53">
        <f>SUMIF('2026 AC'!$B$3:$B$254,"*"&amp;$D49&amp;"*",'2026 AC'!G$3:G$254)</f>
        <v>9389.8400000000001</v>
      </c>
      <c r="J49" s="53">
        <f>SUMIF('2026 AC'!$B$3:$B$254,"*"&amp;$D49&amp;"*",'2026 AC'!H$3:H$254)</f>
        <v>27145.75</v>
      </c>
      <c r="K49" s="53">
        <f>SUMIF('2026 AC'!$B$3:$B$254,"*"&amp;$D49&amp;"*",'2026 AC'!I$3:I$254)</f>
        <v>0</v>
      </c>
      <c r="L49" s="53">
        <f>SUMIF('2026 AC'!$B$3:$B$254,"*"&amp;$D49&amp;"*",'2026 AC'!J$3:J$254)</f>
        <v>0</v>
      </c>
      <c r="M49" s="53">
        <f>SUMIF('2026 AC'!$B$3:$B$254,"*"&amp;$D49&amp;"*",'2026 AC'!K$3:K$254)</f>
        <v>0</v>
      </c>
      <c r="N49" s="53">
        <f>SUMIF('2026 AC'!$B$3:$B$254,"*"&amp;$D49&amp;"*",'2026 AC'!L$3:L$254)</f>
        <v>0</v>
      </c>
      <c r="O49" s="53">
        <f>SUMIF('2026 AC'!$B$3:$B$254,"*"&amp;$D49&amp;"*",'2026 AC'!M$3:M$254)</f>
        <v>0</v>
      </c>
      <c r="P49" s="93">
        <f>SUMIF('2026 AC'!$B$3:$B$254,"*"&amp;$D49&amp;"*",'2026 AC'!N$3:N$254)</f>
        <v>0</v>
      </c>
      <c r="Q49" s="92">
        <f t="shared" si="269"/>
        <v>131442.34</v>
      </c>
      <c r="R49" s="93">
        <f t="shared" si="262"/>
        <v>52076.240000000005</v>
      </c>
      <c r="S49" s="93">
        <f t="shared" si="263"/>
        <v>79366.100000000006</v>
      </c>
      <c r="T49" s="93">
        <f t="shared" si="264"/>
        <v>0</v>
      </c>
      <c r="U49" s="93">
        <f t="shared" si="265"/>
        <v>0</v>
      </c>
      <c r="V49" s="92">
        <f t="shared" si="266"/>
        <v>131442.34000000003</v>
      </c>
    </row>
    <row r="50" ht="15" customHeight="1" outlineLevel="1">
      <c r="A50" t="s">
        <v>95</v>
      </c>
      <c r="B50" t="s">
        <v>96</v>
      </c>
      <c r="C50" s="52" t="s">
        <v>103</v>
      </c>
      <c r="D50" s="35" t="s">
        <v>104</v>
      </c>
      <c r="E50" s="63">
        <f>SUMIF('2026 AC'!$B$3:$B$254,"*"&amp;$D50&amp;"*",'2026 AC'!C$3:C$254)</f>
        <v>0</v>
      </c>
      <c r="F50" s="53">
        <f>SUMIF('2026 AC'!$B$3:$B$254,"*"&amp;$D50&amp;"*",'2026 AC'!D$3:D$254)</f>
        <v>0</v>
      </c>
      <c r="G50" s="53">
        <f>SUMIF('2026 AC'!$B$3:$B$254,"*"&amp;$D50&amp;"*",'2026 AC'!E$3:E$254)</f>
        <v>444.92000000000002</v>
      </c>
      <c r="H50" s="53">
        <f>SUMIF('2026 AC'!$B$3:$B$254,"*"&amp;$D50&amp;"*",'2026 AC'!F$3:F$254)</f>
        <v>0</v>
      </c>
      <c r="I50" s="53">
        <f>SUMIF('2026 AC'!$B$3:$B$254,"*"&amp;$D50&amp;"*",'2026 AC'!G$3:G$254)</f>
        <v>0</v>
      </c>
      <c r="J50" s="53">
        <f>SUMIF('2026 AC'!$B$3:$B$254,"*"&amp;$D50&amp;"*",'2026 AC'!H$3:H$254)</f>
        <v>0</v>
      </c>
      <c r="K50" s="53">
        <f>SUMIF('2026 AC'!$B$3:$B$254,"*"&amp;$D50&amp;"*",'2026 AC'!I$3:I$254)</f>
        <v>0</v>
      </c>
      <c r="L50" s="53">
        <f>SUMIF('2026 AC'!$B$3:$B$254,"*"&amp;$D50&amp;"*",'2026 AC'!J$3:J$254)</f>
        <v>0</v>
      </c>
      <c r="M50" s="53">
        <f>SUMIF('2026 AC'!$B$3:$B$254,"*"&amp;$D50&amp;"*",'2026 AC'!K$3:K$254)</f>
        <v>0</v>
      </c>
      <c r="N50" s="53">
        <f>SUMIF('2026 AC'!$B$3:$B$254,"*"&amp;$D50&amp;"*",'2026 AC'!L$3:L$254)</f>
        <v>0</v>
      </c>
      <c r="O50" s="53">
        <f>SUMIF('2026 AC'!$B$3:$B$254,"*"&amp;$D50&amp;"*",'2026 AC'!M$3:M$254)</f>
        <v>0</v>
      </c>
      <c r="P50" s="93">
        <f>SUMIF('2026 AC'!$B$3:$B$254,"*"&amp;$D50&amp;"*",'2026 AC'!N$3:N$254)</f>
        <v>0</v>
      </c>
      <c r="Q50" s="92">
        <f t="shared" si="269"/>
        <v>444.92000000000002</v>
      </c>
      <c r="R50" s="93">
        <f t="shared" si="262"/>
        <v>444.92000000000002</v>
      </c>
      <c r="S50" s="93">
        <f t="shared" si="263"/>
        <v>0</v>
      </c>
      <c r="T50" s="93">
        <f t="shared" si="264"/>
        <v>0</v>
      </c>
      <c r="U50" s="93">
        <f t="shared" si="265"/>
        <v>0</v>
      </c>
      <c r="V50" s="92">
        <f t="shared" si="266"/>
        <v>444.92000000000002</v>
      </c>
    </row>
    <row r="51" ht="15" customHeight="1" outlineLevel="1">
      <c r="A51" t="s">
        <v>95</v>
      </c>
      <c r="B51" t="s">
        <v>96</v>
      </c>
      <c r="C51" s="52" t="s">
        <v>105</v>
      </c>
      <c r="D51" s="35" t="s">
        <v>96</v>
      </c>
      <c r="E51" s="63">
        <f>SUMIF('2026 AC'!$B$3:$B$254,"*"&amp;$D51&amp;"*",'2026 AC'!C$3:C$254)</f>
        <v>0</v>
      </c>
      <c r="F51" s="53">
        <f>SUMIF('2026 AC'!$B$3:$B$254,"*"&amp;$D51&amp;"*",'2026 AC'!D$3:D$254)</f>
        <v>0</v>
      </c>
      <c r="G51" s="53">
        <f>SUMIF('2026 AC'!$B$3:$B$254,"*"&amp;$D51&amp;"*",'2026 AC'!E$3:E$254)</f>
        <v>0</v>
      </c>
      <c r="H51" s="53">
        <f>SUMIF('2026 AC'!$B$3:$B$254,"*"&amp;$D51&amp;"*",'2026 AC'!F$3:F$254)</f>
        <v>0</v>
      </c>
      <c r="I51" s="53">
        <f>SUMIF('2026 AC'!$B$3:$B$254,"*"&amp;$D51&amp;"*",'2026 AC'!G$3:G$254)</f>
        <v>0</v>
      </c>
      <c r="J51" s="53">
        <f>SUMIF('2026 AC'!$B$3:$B$254,"*"&amp;$D51&amp;"*",'2026 AC'!H$3:H$254)</f>
        <v>0</v>
      </c>
      <c r="K51" s="53">
        <f>SUMIF('2026 AC'!$B$3:$B$254,"*"&amp;$D51&amp;"*",'2026 AC'!I$3:I$254)</f>
        <v>0</v>
      </c>
      <c r="L51" s="53">
        <f>SUMIF('2026 AC'!$B$3:$B$254,"*"&amp;$D51&amp;"*",'2026 AC'!J$3:J$254)</f>
        <v>0</v>
      </c>
      <c r="M51" s="53">
        <f>SUMIF('2026 AC'!$B$3:$B$254,"*"&amp;$D51&amp;"*",'2026 AC'!K$3:K$254)</f>
        <v>0</v>
      </c>
      <c r="N51" s="53">
        <f>SUMIF('2026 AC'!$B$3:$B$254,"*"&amp;$D51&amp;"*",'2026 AC'!L$3:L$254)</f>
        <v>0</v>
      </c>
      <c r="O51" s="53">
        <f>SUMIF('2026 AC'!$B$3:$B$254,"*"&amp;$D51&amp;"*",'2026 AC'!M$3:M$254)</f>
        <v>0</v>
      </c>
      <c r="P51" s="93">
        <f>SUMIF('2026 AC'!$B$3:$B$254,"*"&amp;$D51&amp;"*",'2026 AC'!N$3:N$254)</f>
        <v>0</v>
      </c>
      <c r="Q51" s="92">
        <f t="shared" si="269"/>
        <v>0</v>
      </c>
      <c r="R51" s="93">
        <f t="shared" si="262"/>
        <v>0</v>
      </c>
      <c r="S51" s="93">
        <f t="shared" si="263"/>
        <v>0</v>
      </c>
      <c r="T51" s="93">
        <f t="shared" si="264"/>
        <v>0</v>
      </c>
      <c r="U51" s="93">
        <f t="shared" si="265"/>
        <v>0</v>
      </c>
      <c r="V51" s="92">
        <f t="shared" si="266"/>
        <v>0</v>
      </c>
    </row>
    <row r="52" s="137" customFormat="1">
      <c r="A52" s="137" t="s">
        <v>106</v>
      </c>
      <c r="B52" s="137" t="s">
        <v>107</v>
      </c>
      <c r="C52" s="138" t="s">
        <v>108</v>
      </c>
      <c r="D52" s="139" t="s">
        <v>107</v>
      </c>
      <c r="E52" s="145">
        <f>SUMIF('2026 AC'!$B$3:$B$254,"*"&amp;$D52&amp;"*",'2026 AC'!C$3:C$254)</f>
        <v>8556.6000000000004</v>
      </c>
      <c r="F52" s="146">
        <f>SUMIF('2026 AC'!$B$3:$B$254,"*"&amp;$D52&amp;"*",'2026 AC'!D$3:D$254)</f>
        <v>4878.29</v>
      </c>
      <c r="G52" s="146">
        <f>SUMIF('2026 AC'!$B$3:$B$254,"*"&amp;$D52&amp;"*",'2026 AC'!E$3:E$254)</f>
        <v>4501.8800000000001</v>
      </c>
      <c r="H52" s="146">
        <f>SUMIF('2026 AC'!$B$3:$B$254,"*"&amp;$D52&amp;"*",'2026 AC'!F$3:F$254)</f>
        <v>8695.2800000000007</v>
      </c>
      <c r="I52" s="146">
        <f>SUMIF('2026 AC'!$B$3:$B$254,"*"&amp;$D52&amp;"*",'2026 AC'!G$3:G$254)</f>
        <v>5929.2399999999998</v>
      </c>
      <c r="J52" s="146">
        <f>SUMIF('2026 AC'!$B$3:$B$254,"*"&amp;$D52&amp;"*",'2026 AC'!H$3:H$254)</f>
        <v>3860.3699999999999</v>
      </c>
      <c r="K52" s="146">
        <f>SUMIF('2026 AC'!$B$3:$B$254,"*"&amp;$D52&amp;"*",'2026 AC'!I$3:I$254)</f>
        <v>0</v>
      </c>
      <c r="L52" s="146">
        <f>SUMIF('2026 AC'!$B$3:$B$254,"*"&amp;$D52&amp;"*",'2026 AC'!J$3:J$254)</f>
        <v>0</v>
      </c>
      <c r="M52" s="146">
        <f>SUMIF('2026 AC'!$B$3:$B$254,"*"&amp;$D52&amp;"*",'2026 AC'!K$3:K$254)</f>
        <v>0</v>
      </c>
      <c r="N52" s="146">
        <f>SUMIF('2026 AC'!$B$3:$B$254,"*"&amp;$D52&amp;"*",'2026 AC'!L$3:L$254)</f>
        <v>0</v>
      </c>
      <c r="O52" s="146">
        <f>SUMIF('2026 AC'!$B$3:$B$254,"*"&amp;$D52&amp;"*",'2026 AC'!M$3:M$254)</f>
        <v>0</v>
      </c>
      <c r="P52" s="147">
        <f>SUMIF('2026 AC'!$B$3:$B$254,"*"&amp;$D52&amp;"*",'2026 AC'!N$3:N$254)</f>
        <v>0</v>
      </c>
      <c r="Q52" s="148">
        <f t="shared" si="269"/>
        <v>36421.660000000003</v>
      </c>
      <c r="R52" s="147">
        <f t="shared" si="262"/>
        <v>17936.77</v>
      </c>
      <c r="S52" s="147">
        <f t="shared" si="263"/>
        <v>18484.889999999999</v>
      </c>
      <c r="T52" s="147">
        <f t="shared" si="264"/>
        <v>0</v>
      </c>
      <c r="U52" s="147">
        <f t="shared" si="265"/>
        <v>0</v>
      </c>
      <c r="V52" s="148">
        <f t="shared" si="266"/>
        <v>36421.660000000003</v>
      </c>
    </row>
    <row r="53" outlineLevel="1">
      <c r="A53" t="s">
        <v>106</v>
      </c>
      <c r="B53" t="s">
        <v>107</v>
      </c>
      <c r="C53" s="160" t="s">
        <v>109</v>
      </c>
      <c r="D53" s="35" t="s">
        <v>110</v>
      </c>
      <c r="E53" s="63">
        <f>SUMIF('2026 AC'!$B$3:$B$254,"*"&amp;$D53&amp;"*",'2026 AC'!C$3:C$254)</f>
        <v>8556.6000000000004</v>
      </c>
      <c r="F53" s="53">
        <f>SUMIF('2026 AC'!$B$3:$B$254,"*"&amp;$D53&amp;"*",'2026 AC'!D$3:D$254)</f>
        <v>4878.29</v>
      </c>
      <c r="G53" s="53">
        <f>SUMIF('2026 AC'!$B$3:$B$254,"*"&amp;$D53&amp;"*",'2026 AC'!E$3:E$254)</f>
        <v>4501.8800000000001</v>
      </c>
      <c r="H53" s="53">
        <f>SUMIF('2026 AC'!$B$3:$B$254,"*"&amp;$D53&amp;"*",'2026 AC'!F$3:F$254)</f>
        <v>8695.2800000000007</v>
      </c>
      <c r="I53" s="53">
        <f>SUMIF('2026 AC'!$B$3:$B$254,"*"&amp;$D53&amp;"*",'2026 AC'!G$3:G$254)</f>
        <v>5929.2399999999998</v>
      </c>
      <c r="J53" s="53">
        <f>SUMIF('2026 AC'!$B$3:$B$254,"*"&amp;$D53&amp;"*",'2026 AC'!H$3:H$254)</f>
        <v>3860.3699999999999</v>
      </c>
      <c r="K53" s="53">
        <f>SUMIF('2026 AC'!$B$3:$B$254,"*"&amp;$D53&amp;"*",'2026 AC'!I$3:I$254)</f>
        <v>0</v>
      </c>
      <c r="L53" s="53">
        <f>SUMIF('2026 AC'!$B$3:$B$254,"*"&amp;$D53&amp;"*",'2026 AC'!J$3:J$254)</f>
        <v>0</v>
      </c>
      <c r="M53" s="53">
        <f>SUMIF('2026 AC'!$B$3:$B$254,"*"&amp;$D53&amp;"*",'2026 AC'!K$3:K$254)</f>
        <v>0</v>
      </c>
      <c r="N53" s="53">
        <f>SUMIF('2026 AC'!$B$3:$B$254,"*"&amp;$D53&amp;"*",'2026 AC'!L$3:L$254)</f>
        <v>0</v>
      </c>
      <c r="O53" s="53">
        <f>SUMIF('2026 AC'!$B$3:$B$254,"*"&amp;$D53&amp;"*",'2026 AC'!M$3:M$254)</f>
        <v>0</v>
      </c>
      <c r="P53" s="93">
        <f>SUMIF('2026 AC'!$B$3:$B$254,"*"&amp;$D53&amp;"*",'2026 AC'!N$3:N$254)</f>
        <v>0</v>
      </c>
      <c r="Q53" s="92">
        <f t="shared" si="269"/>
        <v>36421.660000000003</v>
      </c>
      <c r="R53" s="93">
        <f t="shared" si="262"/>
        <v>17936.77</v>
      </c>
      <c r="S53" s="93">
        <f t="shared" si="263"/>
        <v>18484.889999999999</v>
      </c>
      <c r="T53" s="93">
        <f t="shared" si="264"/>
        <v>0</v>
      </c>
      <c r="U53" s="93">
        <f t="shared" si="265"/>
        <v>0</v>
      </c>
      <c r="V53" s="92">
        <f t="shared" si="266"/>
        <v>36421.660000000003</v>
      </c>
    </row>
    <row r="54" outlineLevel="1">
      <c r="A54" t="s">
        <v>106</v>
      </c>
      <c r="B54" t="s">
        <v>107</v>
      </c>
      <c r="C54" s="160" t="s">
        <v>111</v>
      </c>
      <c r="D54" s="35" t="s">
        <v>112</v>
      </c>
      <c r="E54" s="63">
        <f>SUMIF('2026 AC'!$B$3:$B$254,"*"&amp;$D54&amp;"*",'2026 AC'!C$3:C$254)</f>
        <v>0</v>
      </c>
      <c r="F54" s="53">
        <f>SUMIF('2026 AC'!$B$3:$B$254,"*"&amp;$D54&amp;"*",'2026 AC'!D$3:D$254)</f>
        <v>0</v>
      </c>
      <c r="G54" s="53">
        <f>SUMIF('2026 AC'!$B$3:$B$254,"*"&amp;$D54&amp;"*",'2026 AC'!E$3:E$254)</f>
        <v>0</v>
      </c>
      <c r="H54" s="53">
        <f>SUMIF('2026 AC'!$B$3:$B$254,"*"&amp;$D54&amp;"*",'2026 AC'!F$3:F$254)</f>
        <v>0</v>
      </c>
      <c r="I54" s="53">
        <f>SUMIF('2026 AC'!$B$3:$B$254,"*"&amp;$D54&amp;"*",'2026 AC'!G$3:G$254)</f>
        <v>0</v>
      </c>
      <c r="J54" s="53">
        <f>SUMIF('2026 AC'!$B$3:$B$254,"*"&amp;$D54&amp;"*",'2026 AC'!H$3:H$254)</f>
        <v>0</v>
      </c>
      <c r="K54" s="53">
        <f>SUMIF('2026 AC'!$B$3:$B$254,"*"&amp;$D54&amp;"*",'2026 AC'!I$3:I$254)</f>
        <v>0</v>
      </c>
      <c r="L54" s="53">
        <f>SUMIF('2026 AC'!$B$3:$B$254,"*"&amp;$D54&amp;"*",'2026 AC'!J$3:J$254)</f>
        <v>0</v>
      </c>
      <c r="M54" s="53">
        <f>SUMIF('2026 AC'!$B$3:$B$254,"*"&amp;$D54&amp;"*",'2026 AC'!K$3:K$254)</f>
        <v>0</v>
      </c>
      <c r="N54" s="53">
        <f>SUMIF('2026 AC'!$B$3:$B$254,"*"&amp;$D54&amp;"*",'2026 AC'!L$3:L$254)</f>
        <v>0</v>
      </c>
      <c r="O54" s="53">
        <f>SUMIF('2026 AC'!$B$3:$B$254,"*"&amp;$D54&amp;"*",'2026 AC'!M$3:M$254)</f>
        <v>0</v>
      </c>
      <c r="P54" s="93">
        <f>SUMIF('2026 AC'!$B$3:$B$254,"*"&amp;$D54&amp;"*",'2026 AC'!N$3:N$254)</f>
        <v>0</v>
      </c>
      <c r="Q54" s="92">
        <f t="shared" si="269"/>
        <v>0</v>
      </c>
      <c r="R54" s="93">
        <f t="shared" si="262"/>
        <v>0</v>
      </c>
      <c r="S54" s="93">
        <f t="shared" si="263"/>
        <v>0</v>
      </c>
      <c r="T54" s="93">
        <f t="shared" si="264"/>
        <v>0</v>
      </c>
      <c r="U54" s="93">
        <f t="shared" si="265"/>
        <v>0</v>
      </c>
      <c r="V54" s="92">
        <f t="shared" si="266"/>
        <v>0</v>
      </c>
    </row>
    <row r="55" s="137" customFormat="1">
      <c r="A55" s="137" t="s">
        <v>113</v>
      </c>
      <c r="B55" s="137" t="s">
        <v>110</v>
      </c>
      <c r="C55" s="158" t="s">
        <v>114</v>
      </c>
      <c r="D55" s="139" t="s">
        <v>115</v>
      </c>
      <c r="E55" s="145">
        <f>SUMIF('2026 AC'!$B$3:$B$254,"*"&amp;$D55&amp;"*",'2026 AC'!C$3:C$254)</f>
        <v>1000</v>
      </c>
      <c r="F55" s="146">
        <f>SUMIF('2026 AC'!$B$3:$B$254,"*"&amp;$D55&amp;"*",'2026 AC'!D$3:D$254)</f>
        <v>1000</v>
      </c>
      <c r="G55" s="146">
        <f>SUMIF('2026 AC'!$B$3:$B$254,"*"&amp;$D55&amp;"*",'2026 AC'!E$3:E$254)</f>
        <v>1000</v>
      </c>
      <c r="H55" s="146">
        <f>SUMIF('2026 AC'!$B$3:$B$254,"*"&amp;$D55&amp;"*",'2026 AC'!F$3:F$254)</f>
        <v>1000</v>
      </c>
      <c r="I55" s="146">
        <f>SUMIF('2026 AC'!$B$3:$B$254,"*"&amp;$D55&amp;"*",'2026 AC'!G$3:G$254)</f>
        <v>1000</v>
      </c>
      <c r="J55" s="146">
        <f>SUMIF('2026 AC'!$B$3:$B$254,"*"&amp;$D55&amp;"*",'2026 AC'!H$3:H$254)</f>
        <v>1000</v>
      </c>
      <c r="K55" s="146">
        <f>SUMIF('2026 AC'!$B$3:$B$254,"*"&amp;$D55&amp;"*",'2026 AC'!I$3:I$254)</f>
        <v>0</v>
      </c>
      <c r="L55" s="146">
        <f>SUMIF('2026 AC'!$B$3:$B$254,"*"&amp;$D55&amp;"*",'2026 AC'!J$3:J$254)</f>
        <v>0</v>
      </c>
      <c r="M55" s="146">
        <f>SUMIF('2026 AC'!$B$3:$B$254,"*"&amp;$D55&amp;"*",'2026 AC'!K$3:K$254)</f>
        <v>0</v>
      </c>
      <c r="N55" s="146">
        <f>SUMIF('2026 AC'!$B$3:$B$254,"*"&amp;$D55&amp;"*",'2026 AC'!L$3:L$254)</f>
        <v>0</v>
      </c>
      <c r="O55" s="146">
        <f>SUMIF('2026 AC'!$B$3:$B$254,"*"&amp;$D55&amp;"*",'2026 AC'!M$3:M$254)</f>
        <v>0</v>
      </c>
      <c r="P55" s="147">
        <f>SUMIF('2026 AC'!$B$3:$B$254,"*"&amp;$D55&amp;"*",'2026 AC'!N$3:N$254)</f>
        <v>0</v>
      </c>
      <c r="Q55" s="148">
        <f t="shared" si="269"/>
        <v>6000</v>
      </c>
      <c r="R55" s="147">
        <f t="shared" si="262"/>
        <v>3000</v>
      </c>
      <c r="S55" s="147">
        <f t="shared" si="263"/>
        <v>3000</v>
      </c>
      <c r="T55" s="147">
        <f t="shared" si="264"/>
        <v>0</v>
      </c>
      <c r="U55" s="147">
        <f t="shared" si="265"/>
        <v>0</v>
      </c>
      <c r="V55" s="148">
        <f t="shared" si="266"/>
        <v>6000</v>
      </c>
    </row>
    <row r="56" ht="15" customHeight="1" outlineLevel="1">
      <c r="A56" t="s">
        <v>116</v>
      </c>
      <c r="B56" t="s">
        <v>117</v>
      </c>
      <c r="C56" s="150" t="s">
        <v>114</v>
      </c>
      <c r="D56" s="35" t="s">
        <v>117</v>
      </c>
      <c r="E56" s="63">
        <f>SUMIF('2026 AC'!$B$3:$B$254,"*"&amp;$D56&amp;"*",'2026 AC'!C$3:C$254)</f>
        <v>1000</v>
      </c>
      <c r="F56" s="53">
        <f>SUMIF('2026 AC'!$B$3:$B$254,"*"&amp;$D56&amp;"*",'2026 AC'!D$3:D$254)</f>
        <v>1000</v>
      </c>
      <c r="G56" s="53">
        <f>SUMIF('2026 AC'!$B$3:$B$254,"*"&amp;$D56&amp;"*",'2026 AC'!E$3:E$254)</f>
        <v>1000</v>
      </c>
      <c r="H56" s="53">
        <f>SUMIF('2026 AC'!$B$3:$B$254,"*"&amp;$D56&amp;"*",'2026 AC'!F$3:F$254)</f>
        <v>1000</v>
      </c>
      <c r="I56" s="53">
        <f>SUMIF('2026 AC'!$B$3:$B$254,"*"&amp;$D56&amp;"*",'2026 AC'!G$3:G$254)</f>
        <v>1000</v>
      </c>
      <c r="J56" s="53">
        <f>SUMIF('2026 AC'!$B$3:$B$254,"*"&amp;$D56&amp;"*",'2026 AC'!H$3:H$254)</f>
        <v>1000</v>
      </c>
      <c r="K56" s="53">
        <f>SUMIF('2026 AC'!$B$3:$B$254,"*"&amp;$D56&amp;"*",'2026 AC'!I$3:I$254)</f>
        <v>0</v>
      </c>
      <c r="L56" s="53">
        <f>SUMIF('2026 AC'!$B$3:$B$254,"*"&amp;$D56&amp;"*",'2026 AC'!J$3:J$254)</f>
        <v>0</v>
      </c>
      <c r="M56" s="53">
        <f>SUMIF('2026 AC'!$B$3:$B$254,"*"&amp;$D56&amp;"*",'2026 AC'!K$3:K$254)</f>
        <v>0</v>
      </c>
      <c r="N56" s="53">
        <f>SUMIF('2026 AC'!$B$3:$B$254,"*"&amp;$D56&amp;"*",'2026 AC'!L$3:L$254)</f>
        <v>0</v>
      </c>
      <c r="O56" s="53">
        <f>SUMIF('2026 AC'!$B$3:$B$254,"*"&amp;$D56&amp;"*",'2026 AC'!M$3:M$254)</f>
        <v>0</v>
      </c>
      <c r="P56" s="93">
        <f>SUMIF('2026 AC'!$B$3:$B$254,"*"&amp;$D56&amp;"*",'2026 AC'!N$3:N$254)</f>
        <v>0</v>
      </c>
      <c r="Q56" s="92">
        <f t="shared" si="269"/>
        <v>6000</v>
      </c>
      <c r="R56" s="93">
        <f t="shared" si="262"/>
        <v>3000</v>
      </c>
      <c r="S56" s="93">
        <f t="shared" si="263"/>
        <v>3000</v>
      </c>
      <c r="T56" s="93">
        <f t="shared" si="264"/>
        <v>0</v>
      </c>
      <c r="U56" s="93">
        <f t="shared" si="265"/>
        <v>0</v>
      </c>
      <c r="V56" s="92">
        <f t="shared" si="266"/>
        <v>6000</v>
      </c>
    </row>
    <row r="57" s="137" customFormat="1" ht="15" customHeight="1">
      <c r="A57" s="137" t="s">
        <v>118</v>
      </c>
      <c r="B57" s="137" t="s">
        <v>115</v>
      </c>
      <c r="C57" s="138" t="s">
        <v>119</v>
      </c>
      <c r="D57" s="139" t="s">
        <v>120</v>
      </c>
      <c r="E57" s="145">
        <f>SUMIF('2026 AC'!$B$3:$B$254,"*"&amp;$D57&amp;"*",'2026 AC'!C$3:C$254)</f>
        <v>15</v>
      </c>
      <c r="F57" s="146">
        <f>SUMIF('2026 AC'!$B$3:$B$254,"*"&amp;$D57&amp;"*",'2026 AC'!D$3:D$254)</f>
        <v>0</v>
      </c>
      <c r="G57" s="146">
        <f>SUMIF('2026 AC'!$B$3:$B$254,"*"&amp;$D57&amp;"*",'2026 AC'!E$3:E$254)</f>
        <v>30</v>
      </c>
      <c r="H57" s="146">
        <f>SUMIF('2026 AC'!$B$3:$B$254,"*"&amp;$D57&amp;"*",'2026 AC'!F$3:F$254)</f>
        <v>0</v>
      </c>
      <c r="I57" s="146">
        <f>SUMIF('2026 AC'!$B$3:$B$254,"*"&amp;$D57&amp;"*",'2026 AC'!G$3:G$254)</f>
        <v>0</v>
      </c>
      <c r="J57" s="146">
        <f>SUMIF('2026 AC'!$B$3:$B$254,"*"&amp;$D57&amp;"*",'2026 AC'!H$3:H$254)</f>
        <v>0</v>
      </c>
      <c r="K57" s="146">
        <f>SUMIF('2026 AC'!$B$3:$B$254,"*"&amp;$D57&amp;"*",'2026 AC'!I$3:I$254)</f>
        <v>0</v>
      </c>
      <c r="L57" s="146">
        <f>SUMIF('2026 AC'!$B$3:$B$254,"*"&amp;$D57&amp;"*",'2026 AC'!J$3:J$254)</f>
        <v>0</v>
      </c>
      <c r="M57" s="146">
        <f>SUMIF('2026 AC'!$B$3:$B$254,"*"&amp;$D57&amp;"*",'2026 AC'!K$3:K$254)</f>
        <v>0</v>
      </c>
      <c r="N57" s="146">
        <f>SUMIF('2026 AC'!$B$3:$B$254,"*"&amp;$D57&amp;"*",'2026 AC'!L$3:L$254)</f>
        <v>0</v>
      </c>
      <c r="O57" s="146">
        <f>SUMIF('2026 AC'!$B$3:$B$254,"*"&amp;$D57&amp;"*",'2026 AC'!M$3:M$254)</f>
        <v>0</v>
      </c>
      <c r="P57" s="147">
        <f>SUMIF('2026 AC'!$B$3:$B$254,"*"&amp;$D57&amp;"*",'2026 AC'!N$3:N$254)</f>
        <v>0</v>
      </c>
      <c r="Q57" s="148">
        <f t="shared" si="269"/>
        <v>45</v>
      </c>
      <c r="R57" s="147">
        <f t="shared" si="262"/>
        <v>45</v>
      </c>
      <c r="S57" s="147">
        <f t="shared" si="263"/>
        <v>0</v>
      </c>
      <c r="T57" s="147">
        <f t="shared" si="264"/>
        <v>0</v>
      </c>
      <c r="U57" s="147">
        <f t="shared" si="265"/>
        <v>0</v>
      </c>
      <c r="V57" s="148">
        <f t="shared" si="266"/>
        <v>45</v>
      </c>
    </row>
    <row r="58" ht="15" customHeight="1" outlineLevel="1">
      <c r="A58" t="s">
        <v>121</v>
      </c>
      <c r="B58" t="s">
        <v>122</v>
      </c>
      <c r="C58" s="150" t="s">
        <v>123</v>
      </c>
      <c r="D58" s="35" t="s">
        <v>122</v>
      </c>
      <c r="E58" s="63">
        <f>SUMIF('2026 AC'!$B$3:$B$254,"*"&amp;$D58&amp;"*",'2026 AC'!C$3:C$254)</f>
        <v>0</v>
      </c>
      <c r="F58" s="53">
        <f>SUMIF('2026 AC'!$B$3:$B$254,"*"&amp;$D58&amp;"*",'2026 AC'!D$3:D$254)</f>
        <v>0</v>
      </c>
      <c r="G58" s="53">
        <f>SUMIF('2026 AC'!$B$3:$B$254,"*"&amp;$D58&amp;"*",'2026 AC'!E$3:E$254)</f>
        <v>0</v>
      </c>
      <c r="H58" s="53">
        <f>SUMIF('2026 AC'!$B$3:$B$254,"*"&amp;$D58&amp;"*",'2026 AC'!F$3:F$254)</f>
        <v>0</v>
      </c>
      <c r="I58" s="53">
        <f>SUMIF('2026 AC'!$B$3:$B$254,"*"&amp;$D58&amp;"*",'2026 AC'!G$3:G$254)</f>
        <v>0</v>
      </c>
      <c r="J58" s="53">
        <f>SUMIF('2026 AC'!$B$3:$B$254,"*"&amp;$D58&amp;"*",'2026 AC'!H$3:H$254)</f>
        <v>0</v>
      </c>
      <c r="K58" s="53">
        <f>SUMIF('2026 AC'!$B$3:$B$254,"*"&amp;$D58&amp;"*",'2026 AC'!I$3:I$254)</f>
        <v>0</v>
      </c>
      <c r="L58" s="53">
        <f>SUMIF('2026 AC'!$B$3:$B$254,"*"&amp;$D58&amp;"*",'2026 AC'!J$3:J$254)</f>
        <v>0</v>
      </c>
      <c r="M58" s="53">
        <f>SUMIF('2026 AC'!$B$3:$B$254,"*"&amp;$D58&amp;"*",'2026 AC'!K$3:K$254)</f>
        <v>0</v>
      </c>
      <c r="N58" s="53">
        <f>SUMIF('2026 AC'!$B$3:$B$254,"*"&amp;$D58&amp;"*",'2026 AC'!L$3:L$254)</f>
        <v>0</v>
      </c>
      <c r="O58" s="53">
        <f>SUMIF('2026 AC'!$B$3:$B$254,"*"&amp;$D58&amp;"*",'2026 AC'!M$3:M$254)</f>
        <v>0</v>
      </c>
      <c r="P58" s="93">
        <f>SUMIF('2026 AC'!$B$3:$B$254,"*"&amp;$D58&amp;"*",'2026 AC'!N$3:N$254)</f>
        <v>0</v>
      </c>
      <c r="Q58" s="92">
        <f t="shared" si="269"/>
        <v>0</v>
      </c>
      <c r="R58" s="93">
        <f t="shared" si="262"/>
        <v>0</v>
      </c>
      <c r="S58" s="93">
        <f t="shared" si="263"/>
        <v>0</v>
      </c>
      <c r="T58" s="93">
        <f t="shared" si="264"/>
        <v>0</v>
      </c>
      <c r="U58" s="93">
        <f t="shared" si="265"/>
        <v>0</v>
      </c>
      <c r="V58" s="92">
        <f t="shared" si="266"/>
        <v>0</v>
      </c>
    </row>
    <row r="59" ht="15" customHeight="1" outlineLevel="1">
      <c r="A59" t="s">
        <v>124</v>
      </c>
      <c r="B59" t="s">
        <v>125</v>
      </c>
      <c r="C59" s="150" t="s">
        <v>126</v>
      </c>
      <c r="D59" s="35" t="s">
        <v>125</v>
      </c>
      <c r="E59" s="63">
        <f>SUMIF('2026 AC'!$B$3:$B$254,"*"&amp;$D59&amp;"*",'2026 AC'!C$3:C$254)</f>
        <v>15</v>
      </c>
      <c r="F59" s="53">
        <f>SUMIF('2026 AC'!$B$3:$B$254,"*"&amp;$D59&amp;"*",'2026 AC'!D$3:D$254)</f>
        <v>0</v>
      </c>
      <c r="G59" s="53">
        <f>SUMIF('2026 AC'!$B$3:$B$254,"*"&amp;$D59&amp;"*",'2026 AC'!E$3:E$254)</f>
        <v>30</v>
      </c>
      <c r="H59" s="53">
        <f>SUMIF('2026 AC'!$B$3:$B$254,"*"&amp;$D59&amp;"*",'2026 AC'!F$3:F$254)</f>
        <v>0</v>
      </c>
      <c r="I59" s="53">
        <f>SUMIF('2026 AC'!$B$3:$B$254,"*"&amp;$D59&amp;"*",'2026 AC'!G$3:G$254)</f>
        <v>0</v>
      </c>
      <c r="J59" s="53">
        <f>SUMIF('2026 AC'!$B$3:$B$254,"*"&amp;$D59&amp;"*",'2026 AC'!H$3:H$254)</f>
        <v>0</v>
      </c>
      <c r="K59" s="53">
        <f>SUMIF('2026 AC'!$B$3:$B$254,"*"&amp;$D59&amp;"*",'2026 AC'!I$3:I$254)</f>
        <v>0</v>
      </c>
      <c r="L59" s="53">
        <f>SUMIF('2026 AC'!$B$3:$B$254,"*"&amp;$D59&amp;"*",'2026 AC'!J$3:J$254)</f>
        <v>0</v>
      </c>
      <c r="M59" s="53">
        <f>SUMIF('2026 AC'!$B$3:$B$254,"*"&amp;$D59&amp;"*",'2026 AC'!K$3:K$254)</f>
        <v>0</v>
      </c>
      <c r="N59" s="53">
        <f>SUMIF('2026 AC'!$B$3:$B$254,"*"&amp;$D59&amp;"*",'2026 AC'!L$3:L$254)</f>
        <v>0</v>
      </c>
      <c r="O59" s="53">
        <f>SUMIF('2026 AC'!$B$3:$B$254,"*"&amp;$D59&amp;"*",'2026 AC'!M$3:M$254)</f>
        <v>0</v>
      </c>
      <c r="P59" s="93">
        <f>SUMIF('2026 AC'!$B$3:$B$254,"*"&amp;$D59&amp;"*",'2026 AC'!N$3:N$254)</f>
        <v>0</v>
      </c>
      <c r="Q59" s="92">
        <f t="shared" si="269"/>
        <v>45</v>
      </c>
      <c r="R59" s="93">
        <f t="shared" si="262"/>
        <v>45</v>
      </c>
      <c r="S59" s="93">
        <f t="shared" si="263"/>
        <v>0</v>
      </c>
      <c r="T59" s="93">
        <f t="shared" si="264"/>
        <v>0</v>
      </c>
      <c r="U59" s="93">
        <f t="shared" si="265"/>
        <v>0</v>
      </c>
      <c r="V59" s="92">
        <f t="shared" si="266"/>
        <v>45</v>
      </c>
    </row>
    <row r="60" s="137" customFormat="1" ht="15" customHeight="1">
      <c r="A60" s="137" t="s">
        <v>118</v>
      </c>
      <c r="B60" s="137" t="s">
        <v>115</v>
      </c>
      <c r="C60" s="138" t="s">
        <v>127</v>
      </c>
      <c r="D60" s="139" t="s">
        <v>128</v>
      </c>
      <c r="E60" s="145">
        <f>SUMIF('2026 AC'!$B$3:$B$254,"*"&amp;$D60&amp;"*",'2026 AC'!C$3:C$254)</f>
        <v>2500</v>
      </c>
      <c r="F60" s="146">
        <f>SUMIF('2026 AC'!$B$3:$B$254,"*"&amp;$D60&amp;"*",'2026 AC'!D$3:D$254)</f>
        <v>2500</v>
      </c>
      <c r="G60" s="146">
        <f>SUMIF('2026 AC'!$B$3:$B$254,"*"&amp;$D60&amp;"*",'2026 AC'!E$3:E$254)</f>
        <v>2500</v>
      </c>
      <c r="H60" s="146">
        <f>SUMIF('2026 AC'!$B$3:$B$254,"*"&amp;$D60&amp;"*",'2026 AC'!F$3:F$254)</f>
        <v>2500</v>
      </c>
      <c r="I60" s="146">
        <f>SUMIF('2026 AC'!$B$3:$B$254,"*"&amp;$D60&amp;"*",'2026 AC'!G$3:G$254)</f>
        <v>2500</v>
      </c>
      <c r="J60" s="146">
        <f>SUMIF('2026 AC'!$B$3:$B$254,"*"&amp;$D60&amp;"*",'2026 AC'!H$3:H$254)</f>
        <v>2500</v>
      </c>
      <c r="K60" s="146">
        <f>SUMIF('2026 AC'!$B$3:$B$254,"*"&amp;$D60&amp;"*",'2026 AC'!I$3:I$254)</f>
        <v>0</v>
      </c>
      <c r="L60" s="146">
        <f>SUMIF('2026 AC'!$B$3:$B$254,"*"&amp;$D60&amp;"*",'2026 AC'!J$3:J$254)</f>
        <v>0</v>
      </c>
      <c r="M60" s="146">
        <f>SUMIF('2026 AC'!$B$3:$B$254,"*"&amp;$D60&amp;"*",'2026 AC'!K$3:K$254)</f>
        <v>0</v>
      </c>
      <c r="N60" s="146">
        <f>SUMIF('2026 AC'!$B$3:$B$254,"*"&amp;$D60&amp;"*",'2026 AC'!L$3:L$254)</f>
        <v>0</v>
      </c>
      <c r="O60" s="146">
        <f>SUMIF('2026 AC'!$B$3:$B$254,"*"&amp;$D60&amp;"*",'2026 AC'!M$3:M$254)</f>
        <v>0</v>
      </c>
      <c r="P60" s="147">
        <f>SUMIF('2026 AC'!$B$3:$B$254,"*"&amp;$D60&amp;"*",'2026 AC'!N$3:N$254)</f>
        <v>0</v>
      </c>
      <c r="Q60" s="148">
        <f t="shared" si="269"/>
        <v>15000</v>
      </c>
      <c r="R60" s="147">
        <f t="shared" si="262"/>
        <v>7500</v>
      </c>
      <c r="S60" s="147">
        <f t="shared" si="263"/>
        <v>7500</v>
      </c>
      <c r="T60" s="147">
        <f t="shared" si="264"/>
        <v>0</v>
      </c>
      <c r="U60" s="147">
        <f t="shared" si="265"/>
        <v>0</v>
      </c>
      <c r="V60" s="148">
        <f t="shared" si="266"/>
        <v>15000</v>
      </c>
    </row>
    <row r="61" outlineLevel="1">
      <c r="C61" s="34" t="s">
        <v>129</v>
      </c>
      <c r="D61" s="35" t="s">
        <v>130</v>
      </c>
      <c r="E61" s="63">
        <f>SUMIF('2026 AC'!$B$3:$B$254,"*"&amp;$D61&amp;"*",'2026 AC'!C$3:C$254)</f>
        <v>2500</v>
      </c>
      <c r="F61" s="53">
        <f>SUMIF('2026 AC'!$B$3:$B$254,"*"&amp;$D61&amp;"*",'2026 AC'!D$3:D$254)</f>
        <v>2500</v>
      </c>
      <c r="G61" s="53">
        <f>SUMIF('2026 AC'!$B$3:$B$254,"*"&amp;$D61&amp;"*",'2026 AC'!E$3:E$254)</f>
        <v>2500</v>
      </c>
      <c r="H61" s="53">
        <f>SUMIF('2026 AC'!$B$3:$B$254,"*"&amp;$D61&amp;"*",'2026 AC'!F$3:F$254)</f>
        <v>2500</v>
      </c>
      <c r="I61" s="53">
        <f>SUMIF('2026 AC'!$B$3:$B$254,"*"&amp;$D61&amp;"*",'2026 AC'!G$3:G$254)</f>
        <v>2500</v>
      </c>
      <c r="J61" s="53">
        <f>SUMIF('2026 AC'!$B$3:$B$254,"*"&amp;$D61&amp;"*",'2026 AC'!H$3:H$254)</f>
        <v>2500</v>
      </c>
      <c r="K61" s="53">
        <f>SUMIF('2026 AC'!$B$3:$B$254,"*"&amp;$D61&amp;"*",'2026 AC'!I$3:I$254)</f>
        <v>0</v>
      </c>
      <c r="L61" s="53">
        <f>SUMIF('2026 AC'!$B$3:$B$254,"*"&amp;$D61&amp;"*",'2026 AC'!J$3:J$254)</f>
        <v>0</v>
      </c>
      <c r="M61" s="53">
        <f>SUMIF('2026 AC'!$B$3:$B$254,"*"&amp;$D61&amp;"*",'2026 AC'!K$3:K$254)</f>
        <v>0</v>
      </c>
      <c r="N61" s="53">
        <f>SUMIF('2026 AC'!$B$3:$B$254,"*"&amp;$D61&amp;"*",'2026 AC'!L$3:L$254)</f>
        <v>0</v>
      </c>
      <c r="O61" s="53">
        <f>SUMIF('2026 AC'!$B$3:$B$254,"*"&amp;$D61&amp;"*",'2026 AC'!M$3:M$254)</f>
        <v>0</v>
      </c>
      <c r="P61" s="93">
        <f>SUMIF('2026 AC'!$B$3:$B$254,"*"&amp;$D61&amp;"*",'2026 AC'!N$3:N$254)</f>
        <v>0</v>
      </c>
      <c r="Q61" s="92">
        <f t="shared" si="269"/>
        <v>15000</v>
      </c>
      <c r="R61" s="93">
        <f t="shared" si="262"/>
        <v>7500</v>
      </c>
      <c r="S61" s="93">
        <f t="shared" si="263"/>
        <v>7500</v>
      </c>
      <c r="T61" s="93">
        <f t="shared" si="264"/>
        <v>0</v>
      </c>
      <c r="U61" s="93">
        <f t="shared" si="265"/>
        <v>0</v>
      </c>
      <c r="V61" s="92">
        <f t="shared" si="266"/>
        <v>15000</v>
      </c>
    </row>
    <row r="62">
      <c r="C62" s="34"/>
      <c r="D62" s="35"/>
      <c r="E62" s="6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93"/>
      <c r="Q62" s="92"/>
      <c r="R62" s="93">
        <f t="shared" si="262"/>
        <v>0</v>
      </c>
      <c r="S62" s="93">
        <f t="shared" si="263"/>
        <v>0</v>
      </c>
      <c r="T62" s="93">
        <f t="shared" si="264"/>
        <v>0</v>
      </c>
      <c r="U62" s="93">
        <f t="shared" si="265"/>
        <v>0</v>
      </c>
      <c r="V62" s="92">
        <f t="shared" si="266"/>
        <v>0</v>
      </c>
    </row>
    <row r="63" s="164" customFormat="1">
      <c r="C63" s="165" t="s">
        <v>131</v>
      </c>
      <c r="D63" s="166"/>
      <c r="E63" s="168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70"/>
      <c r="Q63" s="171"/>
      <c r="R63" s="170">
        <f t="shared" si="262"/>
        <v>0</v>
      </c>
      <c r="S63" s="170">
        <f t="shared" si="263"/>
        <v>0</v>
      </c>
      <c r="T63" s="170">
        <f t="shared" si="264"/>
        <v>0</v>
      </c>
      <c r="U63" s="170">
        <f t="shared" si="265"/>
        <v>0</v>
      </c>
      <c r="V63" s="171">
        <f t="shared" si="266"/>
        <v>0</v>
      </c>
    </row>
    <row r="64" s="164" customFormat="1">
      <c r="C64" s="165"/>
      <c r="D64" s="166"/>
      <c r="E64" s="168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70"/>
      <c r="Q64" s="171"/>
      <c r="R64" s="170">
        <f t="shared" si="262"/>
        <v>0</v>
      </c>
      <c r="S64" s="170">
        <f t="shared" si="263"/>
        <v>0</v>
      </c>
      <c r="T64" s="170">
        <f t="shared" si="264"/>
        <v>0</v>
      </c>
      <c r="U64" s="170">
        <f t="shared" si="265"/>
        <v>0</v>
      </c>
      <c r="V64" s="171">
        <f t="shared" si="266"/>
        <v>0</v>
      </c>
    </row>
    <row r="65" s="137" customFormat="1">
      <c r="C65" s="173" t="s">
        <v>132</v>
      </c>
      <c r="D65" s="139" t="s">
        <v>133</v>
      </c>
      <c r="E65" s="145">
        <f>SUMIF('2026 AC'!$B$3:$B$254,"*"&amp;$D65&amp;"*",'2026 AC'!C$3:C$254)</f>
        <v>0</v>
      </c>
      <c r="F65" s="146">
        <f>SUMIF('2026 AC'!$B$3:$B$254,"*"&amp;$D65&amp;"*",'2026 AC'!D$3:D$254)</f>
        <v>0</v>
      </c>
      <c r="G65" s="146">
        <f>SUMIF('2026 AC'!$B$3:$B$254,"*"&amp;$D65&amp;"*",'2026 AC'!E$3:E$254)</f>
        <v>0</v>
      </c>
      <c r="H65" s="146">
        <f>SUMIF('2026 AC'!$B$3:$B$254,"*"&amp;$D65&amp;"*",'2026 AC'!F$3:F$254)</f>
        <v>0</v>
      </c>
      <c r="I65" s="146">
        <f>SUMIF('2026 AC'!$B$3:$B$254,"*"&amp;$D65&amp;"*",'2026 AC'!G$3:G$254)</f>
        <v>0</v>
      </c>
      <c r="J65" s="146">
        <f>SUMIF('2026 AC'!$B$3:$B$254,"*"&amp;$D65&amp;"*",'2026 AC'!H$3:H$254)</f>
        <v>0</v>
      </c>
      <c r="K65" s="146">
        <f>SUMIF('2026 AC'!$B$3:$B$254,"*"&amp;$D65&amp;"*",'2026 AC'!I$3:I$254)</f>
        <v>0</v>
      </c>
      <c r="L65" s="146">
        <f>SUMIF('2026 AC'!$B$3:$B$254,"*"&amp;$D65&amp;"*",'2026 AC'!J$3:J$254)</f>
        <v>0</v>
      </c>
      <c r="M65" s="146">
        <f>SUMIF('2026 AC'!$B$3:$B$254,"*"&amp;$D65&amp;"*",'2026 AC'!K$3:K$254)</f>
        <v>0</v>
      </c>
      <c r="N65" s="146">
        <f>SUMIF('2026 AC'!$B$3:$B$254,"*"&amp;$D65&amp;"*",'2026 AC'!L$3:L$254)</f>
        <v>0</v>
      </c>
      <c r="O65" s="146">
        <f>SUMIF('2026 AC'!$B$3:$B$254,"*"&amp;$D65&amp;"*",'2026 AC'!M$3:M$254)</f>
        <v>0</v>
      </c>
      <c r="P65" s="147">
        <f>SUMIF('2026 AC'!$B$3:$B$254,"*"&amp;$D65&amp;"*",'2026 AC'!N$3:N$254)</f>
        <v>0</v>
      </c>
      <c r="Q65" s="148">
        <f t="shared" si="269"/>
        <v>0</v>
      </c>
      <c r="R65" s="147">
        <f t="shared" si="262"/>
        <v>0</v>
      </c>
      <c r="S65" s="147">
        <f t="shared" si="263"/>
        <v>0</v>
      </c>
      <c r="T65" s="147">
        <f t="shared" si="264"/>
        <v>0</v>
      </c>
      <c r="U65" s="147">
        <f t="shared" si="265"/>
        <v>0</v>
      </c>
      <c r="V65" s="148">
        <f t="shared" si="266"/>
        <v>0</v>
      </c>
    </row>
    <row r="66" s="137" customFormat="1">
      <c r="C66" s="173" t="s">
        <v>134</v>
      </c>
      <c r="D66" s="139" t="s">
        <v>135</v>
      </c>
      <c r="E66" s="145">
        <f>SUMIF('2026 AC'!$B$3:$B$254,"*"&amp;$D66&amp;"*",'2026 AC'!C$3:C$254)</f>
        <v>0</v>
      </c>
      <c r="F66" s="146">
        <f>SUMIF('2026 AC'!$B$3:$B$254,"*"&amp;$D66&amp;"*",'2026 AC'!D$3:D$254)</f>
        <v>0</v>
      </c>
      <c r="G66" s="146">
        <f>SUMIF('2026 AC'!$B$3:$B$254,"*"&amp;$D66&amp;"*",'2026 AC'!E$3:E$254)</f>
        <v>0</v>
      </c>
      <c r="H66" s="146">
        <f>SUMIF('2026 AC'!$B$3:$B$254,"*"&amp;$D66&amp;"*",'2026 AC'!F$3:F$254)</f>
        <v>0</v>
      </c>
      <c r="I66" s="146">
        <f>SUMIF('2026 AC'!$B$3:$B$254,"*"&amp;$D66&amp;"*",'2026 AC'!G$3:G$254)</f>
        <v>0</v>
      </c>
      <c r="J66" s="146">
        <f>SUMIF('2026 AC'!$B$3:$B$254,"*"&amp;$D66&amp;"*",'2026 AC'!H$3:H$254)</f>
        <v>0</v>
      </c>
      <c r="K66" s="146">
        <f>SUMIF('2026 AC'!$B$3:$B$254,"*"&amp;$D66&amp;"*",'2026 AC'!I$3:I$254)</f>
        <v>0</v>
      </c>
      <c r="L66" s="146">
        <f>SUMIF('2026 AC'!$B$3:$B$254,"*"&amp;$D66&amp;"*",'2026 AC'!J$3:J$254)</f>
        <v>0</v>
      </c>
      <c r="M66" s="146">
        <f>SUMIF('2026 AC'!$B$3:$B$254,"*"&amp;$D66&amp;"*",'2026 AC'!K$3:K$254)</f>
        <v>0</v>
      </c>
      <c r="N66" s="146">
        <f>SUMIF('2026 AC'!$B$3:$B$254,"*"&amp;$D66&amp;"*",'2026 AC'!L$3:L$254)</f>
        <v>0</v>
      </c>
      <c r="O66" s="146">
        <f>SUMIF('2026 AC'!$B$3:$B$254,"*"&amp;$D66&amp;"*",'2026 AC'!M$3:M$254)</f>
        <v>0</v>
      </c>
      <c r="P66" s="147">
        <f>SUMIF('2026 AC'!$B$3:$B$254,"*"&amp;$D66&amp;"*",'2026 AC'!N$3:N$254)</f>
        <v>0</v>
      </c>
      <c r="Q66" s="148">
        <f t="shared" si="269"/>
        <v>0</v>
      </c>
      <c r="R66" s="147">
        <f t="shared" si="262"/>
        <v>0</v>
      </c>
      <c r="S66" s="147">
        <f t="shared" si="263"/>
        <v>0</v>
      </c>
      <c r="T66" s="147">
        <f t="shared" si="264"/>
        <v>0</v>
      </c>
      <c r="U66" s="147">
        <f t="shared" si="265"/>
        <v>0</v>
      </c>
      <c r="V66" s="148">
        <f t="shared" si="266"/>
        <v>0</v>
      </c>
    </row>
    <row r="67" outlineLevel="1">
      <c r="C67" s="34" t="s">
        <v>136</v>
      </c>
      <c r="D67" s="35" t="s">
        <v>137</v>
      </c>
      <c r="E67" s="63">
        <f>SUMIF('2026 AC'!$B$3:$B$254,"*"&amp;$D67&amp;"*",'2026 AC'!C$3:C$254)</f>
        <v>0</v>
      </c>
      <c r="F67" s="53">
        <f>SUMIF('2026 AC'!$B$3:$B$254,"*"&amp;$D67&amp;"*",'2026 AC'!D$3:D$254)</f>
        <v>0</v>
      </c>
      <c r="G67" s="53">
        <f>SUMIF('2026 AC'!$B$3:$B$254,"*"&amp;$D67&amp;"*",'2026 AC'!E$3:E$254)</f>
        <v>0</v>
      </c>
      <c r="H67" s="53">
        <f>SUMIF('2026 AC'!$B$3:$B$254,"*"&amp;$D67&amp;"*",'2026 AC'!F$3:F$254)</f>
        <v>0</v>
      </c>
      <c r="I67" s="53">
        <f>SUMIF('2026 AC'!$B$3:$B$254,"*"&amp;$D67&amp;"*",'2026 AC'!G$3:G$254)</f>
        <v>0</v>
      </c>
      <c r="J67" s="53">
        <f>SUMIF('2026 AC'!$B$3:$B$254,"*"&amp;$D67&amp;"*",'2026 AC'!H$3:H$254)</f>
        <v>0</v>
      </c>
      <c r="K67" s="53">
        <f>SUMIF('2026 AC'!$B$3:$B$254,"*"&amp;$D67&amp;"*",'2026 AC'!I$3:I$254)</f>
        <v>0</v>
      </c>
      <c r="L67" s="53">
        <f>SUMIF('2026 AC'!$B$3:$B$254,"*"&amp;$D67&amp;"*",'2026 AC'!J$3:J$254)</f>
        <v>0</v>
      </c>
      <c r="M67" s="53">
        <f>SUMIF('2026 AC'!$B$3:$B$254,"*"&amp;$D67&amp;"*",'2026 AC'!K$3:K$254)</f>
        <v>0</v>
      </c>
      <c r="N67" s="53">
        <f>SUMIF('2026 AC'!$B$3:$B$254,"*"&amp;$D67&amp;"*",'2026 AC'!L$3:L$254)</f>
        <v>0</v>
      </c>
      <c r="O67" s="53">
        <f>SUMIF('2026 AC'!$B$3:$B$254,"*"&amp;$D67&amp;"*",'2026 AC'!M$3:M$254)</f>
        <v>0</v>
      </c>
      <c r="P67" s="93">
        <f>SUMIF('2026 AC'!$B$3:$B$254,"*"&amp;$D67&amp;"*",'2026 AC'!N$3:N$254)</f>
        <v>0</v>
      </c>
      <c r="Q67" s="92">
        <f t="shared" si="269"/>
        <v>0</v>
      </c>
      <c r="R67" s="93">
        <f t="shared" si="262"/>
        <v>0</v>
      </c>
      <c r="S67" s="93">
        <f t="shared" si="263"/>
        <v>0</v>
      </c>
      <c r="T67" s="93">
        <f t="shared" si="264"/>
        <v>0</v>
      </c>
      <c r="U67" s="93">
        <f t="shared" si="265"/>
        <v>0</v>
      </c>
      <c r="V67" s="92">
        <f t="shared" si="266"/>
        <v>0</v>
      </c>
    </row>
    <row r="68" outlineLevel="1">
      <c r="C68" s="34" t="s">
        <v>138</v>
      </c>
      <c r="D68" s="35" t="s">
        <v>139</v>
      </c>
      <c r="E68" s="63">
        <f>SUMIF('2026 AC'!$B$3:$B$254,"*"&amp;$D68&amp;"*",'2026 AC'!C$3:C$254)</f>
        <v>0</v>
      </c>
      <c r="F68" s="53">
        <f>SUMIF('2026 AC'!$B$3:$B$254,"*"&amp;$D68&amp;"*",'2026 AC'!D$3:D$254)</f>
        <v>0</v>
      </c>
      <c r="G68" s="53">
        <f>SUMIF('2026 AC'!$B$3:$B$254,"*"&amp;$D68&amp;"*",'2026 AC'!E$3:E$254)</f>
        <v>0</v>
      </c>
      <c r="H68" s="53">
        <f>SUMIF('2026 AC'!$B$3:$B$254,"*"&amp;$D68&amp;"*",'2026 AC'!F$3:F$254)</f>
        <v>0</v>
      </c>
      <c r="I68" s="53">
        <f>SUMIF('2026 AC'!$B$3:$B$254,"*"&amp;$D68&amp;"*",'2026 AC'!G$3:G$254)</f>
        <v>0</v>
      </c>
      <c r="J68" s="53">
        <f>SUMIF('2026 AC'!$B$3:$B$254,"*"&amp;$D68&amp;"*",'2026 AC'!H$3:H$254)</f>
        <v>0</v>
      </c>
      <c r="K68" s="53">
        <f>SUMIF('2026 AC'!$B$3:$B$254,"*"&amp;$D68&amp;"*",'2026 AC'!I$3:I$254)</f>
        <v>0</v>
      </c>
      <c r="L68" s="53">
        <f>SUMIF('2026 AC'!$B$3:$B$254,"*"&amp;$D68&amp;"*",'2026 AC'!J$3:J$254)</f>
        <v>0</v>
      </c>
      <c r="M68" s="53">
        <f>SUMIF('2026 AC'!$B$3:$B$254,"*"&amp;$D68&amp;"*",'2026 AC'!K$3:K$254)</f>
        <v>0</v>
      </c>
      <c r="N68" s="53">
        <f>SUMIF('2026 AC'!$B$3:$B$254,"*"&amp;$D68&amp;"*",'2026 AC'!L$3:L$254)</f>
        <v>0</v>
      </c>
      <c r="O68" s="53">
        <f>SUMIF('2026 AC'!$B$3:$B$254,"*"&amp;$D68&amp;"*",'2026 AC'!M$3:M$254)</f>
        <v>0</v>
      </c>
      <c r="P68" s="93">
        <f>SUMIF('2026 AC'!$B$3:$B$254,"*"&amp;$D68&amp;"*",'2026 AC'!N$3:N$254)</f>
        <v>0</v>
      </c>
      <c r="Q68" s="92">
        <f t="shared" si="269"/>
        <v>0</v>
      </c>
      <c r="R68" s="93">
        <f t="shared" si="262"/>
        <v>0</v>
      </c>
      <c r="S68" s="93">
        <f t="shared" si="263"/>
        <v>0</v>
      </c>
      <c r="T68" s="93">
        <f t="shared" si="264"/>
        <v>0</v>
      </c>
      <c r="U68" s="93">
        <f t="shared" si="265"/>
        <v>0</v>
      </c>
      <c r="V68" s="92">
        <f t="shared" si="266"/>
        <v>0</v>
      </c>
    </row>
    <row r="69">
      <c r="A69" t="s">
        <v>140</v>
      </c>
      <c r="B69" t="s">
        <v>130</v>
      </c>
      <c r="C69" s="34"/>
      <c r="D69" s="35"/>
      <c r="E69" s="63"/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93">
        <v>0</v>
      </c>
      <c r="Q69" s="92"/>
      <c r="R69" s="93">
        <f t="shared" si="262"/>
        <v>0</v>
      </c>
      <c r="S69" s="93">
        <f t="shared" si="263"/>
        <v>0</v>
      </c>
      <c r="T69" s="93">
        <f t="shared" si="264"/>
        <v>0</v>
      </c>
      <c r="U69" s="93">
        <f t="shared" si="265"/>
        <v>0</v>
      </c>
      <c r="V69" s="92">
        <f t="shared" si="266"/>
        <v>0</v>
      </c>
    </row>
    <row r="70" s="125" customFormat="1">
      <c r="A70" s="174"/>
      <c r="C70" s="175" t="s">
        <v>141</v>
      </c>
      <c r="D70" s="127"/>
      <c r="E70" s="180">
        <f t="shared" ref="E70:P70" si="276">E27+E38+E45+E52+E55+E57+E60+E65+E66</f>
        <v>512157.73999999999</v>
      </c>
      <c r="F70" s="181">
        <f t="shared" si="276"/>
        <v>459676.63999999996</v>
      </c>
      <c r="G70" s="181">
        <f t="shared" si="276"/>
        <v>499214.17999999993</v>
      </c>
      <c r="H70" s="181">
        <f t="shared" si="276"/>
        <v>487372.42000000004</v>
      </c>
      <c r="I70" s="181">
        <f t="shared" si="276"/>
        <v>458137.47999999998</v>
      </c>
      <c r="J70" s="181">
        <f t="shared" si="276"/>
        <v>462999.08999999997</v>
      </c>
      <c r="K70" s="181">
        <f t="shared" si="276"/>
        <v>0</v>
      </c>
      <c r="L70" s="181">
        <f t="shared" si="276"/>
        <v>0</v>
      </c>
      <c r="M70" s="181">
        <f t="shared" si="276"/>
        <v>0</v>
      </c>
      <c r="N70" s="181">
        <f t="shared" si="276"/>
        <v>0</v>
      </c>
      <c r="O70" s="181">
        <f t="shared" si="276"/>
        <v>0</v>
      </c>
      <c r="P70" s="182">
        <f t="shared" si="276"/>
        <v>0</v>
      </c>
      <c r="Q70" s="183">
        <f t="shared" si="269"/>
        <v>2879557.5499999998</v>
      </c>
      <c r="R70" s="182">
        <f t="shared" si="262"/>
        <v>1471048.5599999998</v>
      </c>
      <c r="S70" s="182">
        <f t="shared" si="263"/>
        <v>1408508.99</v>
      </c>
      <c r="T70" s="182">
        <f t="shared" si="264"/>
        <v>0</v>
      </c>
      <c r="U70" s="182">
        <f t="shared" si="265"/>
        <v>0</v>
      </c>
      <c r="V70" s="183">
        <f t="shared" si="266"/>
        <v>2879557.5499999998</v>
      </c>
    </row>
    <row r="71">
      <c r="A71" s="185" t="s">
        <v>131</v>
      </c>
      <c r="C71" s="34"/>
      <c r="D71" s="35"/>
      <c r="E71" s="6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93"/>
      <c r="Q71" s="92"/>
      <c r="R71" s="93">
        <f t="shared" si="262"/>
        <v>0</v>
      </c>
      <c r="S71" s="93">
        <f t="shared" si="263"/>
        <v>0</v>
      </c>
      <c r="T71" s="93">
        <f t="shared" si="264"/>
        <v>0</v>
      </c>
      <c r="U71" s="93">
        <f t="shared" si="265"/>
        <v>0</v>
      </c>
      <c r="V71" s="92">
        <f t="shared" si="266"/>
        <v>0</v>
      </c>
    </row>
    <row r="72">
      <c r="A72" s="185" t="s">
        <v>142</v>
      </c>
      <c r="C72" s="136" t="s">
        <v>143</v>
      </c>
      <c r="D72" s="35"/>
      <c r="E72" s="63"/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93">
        <v>0</v>
      </c>
      <c r="Q72" s="92"/>
      <c r="R72" s="93">
        <f t="shared" si="262"/>
        <v>0</v>
      </c>
      <c r="S72" s="93">
        <f t="shared" si="263"/>
        <v>0</v>
      </c>
      <c r="T72" s="93">
        <f t="shared" si="264"/>
        <v>0</v>
      </c>
      <c r="U72" s="93">
        <f t="shared" si="265"/>
        <v>0</v>
      </c>
      <c r="V72" s="92">
        <f t="shared" si="266"/>
        <v>0</v>
      </c>
    </row>
    <row r="73">
      <c r="A73" s="185"/>
      <c r="C73" s="136"/>
      <c r="D73" s="35"/>
      <c r="E73" s="6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93"/>
      <c r="Q73" s="92"/>
      <c r="R73" s="93">
        <f t="shared" si="262"/>
        <v>0</v>
      </c>
      <c r="S73" s="93">
        <f t="shared" si="263"/>
        <v>0</v>
      </c>
      <c r="T73" s="93">
        <f t="shared" si="264"/>
        <v>0</v>
      </c>
      <c r="U73" s="93">
        <f t="shared" si="265"/>
        <v>0</v>
      </c>
      <c r="V73" s="92">
        <f t="shared" si="266"/>
        <v>0</v>
      </c>
    </row>
    <row r="74" s="137" customFormat="1">
      <c r="A74" s="137" t="s">
        <v>144</v>
      </c>
      <c r="B74" s="137" t="s">
        <v>145</v>
      </c>
      <c r="C74" s="138" t="s">
        <v>146</v>
      </c>
      <c r="D74" s="139" t="s">
        <v>145</v>
      </c>
      <c r="E74" s="145">
        <f>SUMIF('2026 AC'!$B$3:$B$254,"*"&amp;$D74&amp;"*",'2026 AC'!C$3:C$254)</f>
        <v>41167.699999999997</v>
      </c>
      <c r="F74" s="146">
        <f>SUMIF('2026 AC'!$B$3:$B$254,"*"&amp;$D74&amp;"*",'2026 AC'!D$3:D$254)</f>
        <v>40202.099999999999</v>
      </c>
      <c r="G74" s="146">
        <f>SUMIF('2026 AC'!$B$3:$B$254,"*"&amp;$D74&amp;"*",'2026 AC'!E$3:E$254)</f>
        <v>44444.290000000001</v>
      </c>
      <c r="H74" s="146">
        <f>SUMIF('2026 AC'!$B$3:$B$254,"*"&amp;$D74&amp;"*",'2026 AC'!F$3:F$254)</f>
        <v>38689.93</v>
      </c>
      <c r="I74" s="146">
        <f>SUMIF('2026 AC'!$B$3:$B$254,"*"&amp;$D74&amp;"*",'2026 AC'!G$3:G$254)</f>
        <v>39319.489999999998</v>
      </c>
      <c r="J74" s="146">
        <f>SUMIF('2026 AC'!$B$3:$B$254,"*"&amp;$D74&amp;"*",'2026 AC'!H$3:H$254)</f>
        <v>36922.050000000003</v>
      </c>
      <c r="K74" s="146">
        <f>SUMIF('2026 AC'!$B$3:$B$254,"*"&amp;$D74&amp;"*",'2026 AC'!I$3:I$254)</f>
        <v>0</v>
      </c>
      <c r="L74" s="146">
        <f>SUMIF('2026 AC'!$B$3:$B$254,"*"&amp;$D74&amp;"*",'2026 AC'!J$3:J$254)</f>
        <v>0</v>
      </c>
      <c r="M74" s="146">
        <f>SUMIF('2026 AC'!$B$3:$B$254,"*"&amp;$D74&amp;"*",'2026 AC'!K$3:K$254)</f>
        <v>0</v>
      </c>
      <c r="N74" s="146">
        <f>SUMIF('2026 AC'!$B$3:$B$254,"*"&amp;$D74&amp;"*",'2026 AC'!L$3:L$254)</f>
        <v>0</v>
      </c>
      <c r="O74" s="146">
        <f>SUMIF('2026 AC'!$B$3:$B$254,"*"&amp;$D74&amp;"*",'2026 AC'!M$3:M$254)</f>
        <v>0</v>
      </c>
      <c r="P74" s="147">
        <f>SUMIF('2026 AC'!$B$3:$B$254,"*"&amp;$D74&amp;"*",'2026 AC'!N$3:N$254)</f>
        <v>0</v>
      </c>
      <c r="Q74" s="148">
        <f t="shared" si="269"/>
        <v>240745.56</v>
      </c>
      <c r="R74" s="147">
        <f t="shared" ref="R74:R137" si="277">SUM(E74:G74)</f>
        <v>125814.09</v>
      </c>
      <c r="S74" s="147">
        <f t="shared" ref="S74:S137" si="278">SUM(H74:J74)</f>
        <v>114931.47</v>
      </c>
      <c r="T74" s="147">
        <f t="shared" ref="T74:T137" si="279">SUM(K74:M74)</f>
        <v>0</v>
      </c>
      <c r="U74" s="147">
        <f t="shared" ref="U74:U137" si="280">SUM(N74:P74)</f>
        <v>0</v>
      </c>
      <c r="V74" s="148">
        <f t="shared" ref="V74:V137" si="281">SUM(R74:U74)</f>
        <v>240745.56</v>
      </c>
    </row>
    <row r="75" s="137" customFormat="1">
      <c r="A75" s="137" t="s">
        <v>147</v>
      </c>
      <c r="B75" s="137" t="s">
        <v>148</v>
      </c>
      <c r="C75" s="138" t="s">
        <v>149</v>
      </c>
      <c r="D75" s="139" t="s">
        <v>148</v>
      </c>
      <c r="E75" s="145">
        <f>SUMIF('2026 AC'!$B$3:$B$254,"*"&amp;$D75&amp;"*",'2026 AC'!C$3:C$254)</f>
        <v>54076.440000000002</v>
      </c>
      <c r="F75" s="146">
        <f>SUMIF('2026 AC'!$B$3:$B$254,"*"&amp;$D75&amp;"*",'2026 AC'!D$3:D$254)</f>
        <v>40039.139999999999</v>
      </c>
      <c r="G75" s="146">
        <f>SUMIF('2026 AC'!$B$3:$B$254,"*"&amp;$D75&amp;"*",'2026 AC'!E$3:E$254)</f>
        <v>37963.669999999998</v>
      </c>
      <c r="H75" s="146">
        <f>SUMIF('2026 AC'!$B$3:$B$254,"*"&amp;$D75&amp;"*",'2026 AC'!F$3:F$254)</f>
        <v>31837.16</v>
      </c>
      <c r="I75" s="146">
        <f>SUMIF('2026 AC'!$B$3:$B$254,"*"&amp;$D75&amp;"*",'2026 AC'!G$3:G$254)</f>
        <v>37307.220000000001</v>
      </c>
      <c r="J75" s="146">
        <f>SUMIF('2026 AC'!$B$3:$B$254,"*"&amp;$D75&amp;"*",'2026 AC'!H$3:H$254)</f>
        <v>39470.190000000002</v>
      </c>
      <c r="K75" s="146">
        <f>SUMIF('2026 AC'!$B$3:$B$254,"*"&amp;$D75&amp;"*",'2026 AC'!I$3:I$254)</f>
        <v>0</v>
      </c>
      <c r="L75" s="146">
        <f>SUMIF('2026 AC'!$B$3:$B$254,"*"&amp;$D75&amp;"*",'2026 AC'!J$3:J$254)</f>
        <v>0</v>
      </c>
      <c r="M75" s="146">
        <f>SUMIF('2026 AC'!$B$3:$B$254,"*"&amp;$D75&amp;"*",'2026 AC'!K$3:K$254)</f>
        <v>0</v>
      </c>
      <c r="N75" s="146">
        <f>SUMIF('2026 AC'!$B$3:$B$254,"*"&amp;$D75&amp;"*",'2026 AC'!L$3:L$254)</f>
        <v>0</v>
      </c>
      <c r="O75" s="146">
        <f>SUMIF('2026 AC'!$B$3:$B$254,"*"&amp;$D75&amp;"*",'2026 AC'!M$3:M$254)</f>
        <v>0</v>
      </c>
      <c r="P75" s="147">
        <f>SUMIF('2026 AC'!$B$3:$B$254,"*"&amp;$D75&amp;"*",'2026 AC'!N$3:N$254)</f>
        <v>0</v>
      </c>
      <c r="Q75" s="148">
        <f t="shared" si="269"/>
        <v>240693.82000000001</v>
      </c>
      <c r="R75" s="147">
        <f t="shared" si="277"/>
        <v>132079.25</v>
      </c>
      <c r="S75" s="147">
        <f t="shared" si="278"/>
        <v>108614.57000000001</v>
      </c>
      <c r="T75" s="147">
        <f t="shared" si="279"/>
        <v>0</v>
      </c>
      <c r="U75" s="147">
        <f t="shared" si="280"/>
        <v>0</v>
      </c>
      <c r="V75" s="148">
        <f t="shared" si="281"/>
        <v>240693.82000000001</v>
      </c>
    </row>
    <row r="76" ht="15" customHeight="1" outlineLevel="1">
      <c r="A76" t="s">
        <v>150</v>
      </c>
      <c r="B76" t="s">
        <v>151</v>
      </c>
      <c r="C76" s="52" t="s">
        <v>152</v>
      </c>
      <c r="D76" s="35" t="s">
        <v>151</v>
      </c>
      <c r="E76" s="63">
        <f>SUMIF('2026 AC'!$B$3:$B$254,"*"&amp;$D76&amp;"*",'2026 AC'!C$3:C$254)</f>
        <v>25601</v>
      </c>
      <c r="F76" s="53">
        <f>SUMIF('2026 AC'!$B$3:$B$254,"*"&amp;$D76&amp;"*",'2026 AC'!D$3:D$254)</f>
        <v>13590</v>
      </c>
      <c r="G76" s="53">
        <f>SUMIF('2026 AC'!$B$3:$B$254,"*"&amp;$D76&amp;"*",'2026 AC'!E$3:E$254)</f>
        <v>15527</v>
      </c>
      <c r="H76" s="53">
        <f>SUMIF('2026 AC'!$B$3:$B$254,"*"&amp;$D76&amp;"*",'2026 AC'!F$3:F$254)</f>
        <v>7622</v>
      </c>
      <c r="I76" s="53">
        <f>SUMIF('2026 AC'!$B$3:$B$254,"*"&amp;$D76&amp;"*",'2026 AC'!G$3:G$254)</f>
        <v>12180</v>
      </c>
      <c r="J76" s="53">
        <f>SUMIF('2026 AC'!$B$3:$B$254,"*"&amp;$D76&amp;"*",'2026 AC'!H$3:H$254)</f>
        <v>10342</v>
      </c>
      <c r="K76" s="53">
        <f>SUMIF('2026 AC'!$B$3:$B$254,"*"&amp;$D76&amp;"*",'2026 AC'!I$3:I$254)</f>
        <v>0</v>
      </c>
      <c r="L76" s="53">
        <f>SUMIF('2026 AC'!$B$3:$B$254,"*"&amp;$D76&amp;"*",'2026 AC'!J$3:J$254)</f>
        <v>0</v>
      </c>
      <c r="M76" s="53">
        <f>SUMIF('2026 AC'!$B$3:$B$254,"*"&amp;$D76&amp;"*",'2026 AC'!K$3:K$254)</f>
        <v>0</v>
      </c>
      <c r="N76" s="53">
        <f>SUMIF('2026 AC'!$B$3:$B$254,"*"&amp;$D76&amp;"*",'2026 AC'!L$3:L$254)</f>
        <v>0</v>
      </c>
      <c r="O76" s="53">
        <f>SUMIF('2026 AC'!$B$3:$B$254,"*"&amp;$D76&amp;"*",'2026 AC'!M$3:M$254)</f>
        <v>0</v>
      </c>
      <c r="P76" s="93">
        <f>SUMIF('2026 AC'!$B$3:$B$254,"*"&amp;$D76&amp;"*",'2026 AC'!N$3:N$254)</f>
        <v>0</v>
      </c>
      <c r="Q76" s="92">
        <f t="shared" si="269"/>
        <v>84862</v>
      </c>
      <c r="R76" s="93">
        <f t="shared" si="277"/>
        <v>54718</v>
      </c>
      <c r="S76" s="93">
        <f t="shared" si="278"/>
        <v>30144</v>
      </c>
      <c r="T76" s="93">
        <f t="shared" si="279"/>
        <v>0</v>
      </c>
      <c r="U76" s="93">
        <f t="shared" si="280"/>
        <v>0</v>
      </c>
      <c r="V76" s="92">
        <f t="shared" si="281"/>
        <v>84862</v>
      </c>
    </row>
    <row r="77" ht="15" customHeight="1" outlineLevel="1">
      <c r="A77" t="s">
        <v>153</v>
      </c>
      <c r="B77" t="s">
        <v>154</v>
      </c>
      <c r="C77" s="52" t="s">
        <v>155</v>
      </c>
      <c r="D77" s="35" t="s">
        <v>154</v>
      </c>
      <c r="E77" s="63">
        <f>SUMIF('2026 AC'!$B$3:$B$254,"*"&amp;$D77&amp;"*",'2026 AC'!C$3:C$254)</f>
        <v>0</v>
      </c>
      <c r="F77" s="53">
        <f>SUMIF('2026 AC'!$B$3:$B$254,"*"&amp;$D77&amp;"*",'2026 AC'!D$3:D$254)</f>
        <v>0</v>
      </c>
      <c r="G77" s="53">
        <f>SUMIF('2026 AC'!$B$3:$B$254,"*"&amp;$D77&amp;"*",'2026 AC'!E$3:E$254)</f>
        <v>0</v>
      </c>
      <c r="H77" s="53">
        <f>SUMIF('2026 AC'!$B$3:$B$254,"*"&amp;$D77&amp;"*",'2026 AC'!F$3:F$254)</f>
        <v>0</v>
      </c>
      <c r="I77" s="53">
        <f>SUMIF('2026 AC'!$B$3:$B$254,"*"&amp;$D77&amp;"*",'2026 AC'!G$3:G$254)</f>
        <v>0</v>
      </c>
      <c r="J77" s="53">
        <f>SUMIF('2026 AC'!$B$3:$B$254,"*"&amp;$D77&amp;"*",'2026 AC'!H$3:H$254)</f>
        <v>0</v>
      </c>
      <c r="K77" s="53">
        <f>SUMIF('2026 AC'!$B$3:$B$254,"*"&amp;$D77&amp;"*",'2026 AC'!I$3:I$254)</f>
        <v>0</v>
      </c>
      <c r="L77" s="53">
        <f>SUMIF('2026 AC'!$B$3:$B$254,"*"&amp;$D77&amp;"*",'2026 AC'!J$3:J$254)</f>
        <v>0</v>
      </c>
      <c r="M77" s="53">
        <f>SUMIF('2026 AC'!$B$3:$B$254,"*"&amp;$D77&amp;"*",'2026 AC'!K$3:K$254)</f>
        <v>0</v>
      </c>
      <c r="N77" s="53">
        <f>SUMIF('2026 AC'!$B$3:$B$254,"*"&amp;$D77&amp;"*",'2026 AC'!L$3:L$254)</f>
        <v>0</v>
      </c>
      <c r="O77" s="53">
        <f>SUMIF('2026 AC'!$B$3:$B$254,"*"&amp;$D77&amp;"*",'2026 AC'!M$3:M$254)</f>
        <v>0</v>
      </c>
      <c r="P77" s="93">
        <f>SUMIF('2026 AC'!$B$3:$B$254,"*"&amp;$D77&amp;"*",'2026 AC'!N$3:N$254)</f>
        <v>0</v>
      </c>
      <c r="Q77" s="92">
        <f t="shared" ref="Q77:Q110" si="282">SUM(E77:P77)</f>
        <v>0</v>
      </c>
      <c r="R77" s="93">
        <f t="shared" si="277"/>
        <v>0</v>
      </c>
      <c r="S77" s="93">
        <f t="shared" si="278"/>
        <v>0</v>
      </c>
      <c r="T77" s="93">
        <f t="shared" si="279"/>
        <v>0</v>
      </c>
      <c r="U77" s="93">
        <f t="shared" si="280"/>
        <v>0</v>
      </c>
      <c r="V77" s="92">
        <f t="shared" si="281"/>
        <v>0</v>
      </c>
    </row>
    <row r="78" ht="15" customHeight="1" outlineLevel="1">
      <c r="A78" t="s">
        <v>156</v>
      </c>
      <c r="B78" t="s">
        <v>157</v>
      </c>
      <c r="C78" s="52" t="s">
        <v>158</v>
      </c>
      <c r="D78" s="35" t="s">
        <v>157</v>
      </c>
      <c r="E78" s="63">
        <f>SUMIF('2026 AC'!$B$3:$B$254,"*"&amp;$D78&amp;"*",'2026 AC'!C$3:C$254)</f>
        <v>0</v>
      </c>
      <c r="F78" s="53">
        <f>SUMIF('2026 AC'!$B$3:$B$254,"*"&amp;$D78&amp;"*",'2026 AC'!D$3:D$254)</f>
        <v>0</v>
      </c>
      <c r="G78" s="53">
        <f>SUMIF('2026 AC'!$B$3:$B$254,"*"&amp;$D78&amp;"*",'2026 AC'!E$3:E$254)</f>
        <v>0</v>
      </c>
      <c r="H78" s="53">
        <f>SUMIF('2026 AC'!$B$3:$B$254,"*"&amp;$D78&amp;"*",'2026 AC'!F$3:F$254)</f>
        <v>0</v>
      </c>
      <c r="I78" s="53">
        <f>SUMIF('2026 AC'!$B$3:$B$254,"*"&amp;$D78&amp;"*",'2026 AC'!G$3:G$254)</f>
        <v>0</v>
      </c>
      <c r="J78" s="53">
        <f>SUMIF('2026 AC'!$B$3:$B$254,"*"&amp;$D78&amp;"*",'2026 AC'!H$3:H$254)</f>
        <v>0</v>
      </c>
      <c r="K78" s="53">
        <f>SUMIF('2026 AC'!$B$3:$B$254,"*"&amp;$D78&amp;"*",'2026 AC'!I$3:I$254)</f>
        <v>0</v>
      </c>
      <c r="L78" s="53">
        <f>SUMIF('2026 AC'!$B$3:$B$254,"*"&amp;$D78&amp;"*",'2026 AC'!J$3:J$254)</f>
        <v>0</v>
      </c>
      <c r="M78" s="53">
        <f>SUMIF('2026 AC'!$B$3:$B$254,"*"&amp;$D78&amp;"*",'2026 AC'!K$3:K$254)</f>
        <v>0</v>
      </c>
      <c r="N78" s="53">
        <f>SUMIF('2026 AC'!$B$3:$B$254,"*"&amp;$D78&amp;"*",'2026 AC'!L$3:L$254)</f>
        <v>0</v>
      </c>
      <c r="O78" s="53">
        <f>SUMIF('2026 AC'!$B$3:$B$254,"*"&amp;$D78&amp;"*",'2026 AC'!M$3:M$254)</f>
        <v>0</v>
      </c>
      <c r="P78" s="93">
        <f>SUMIF('2026 AC'!$B$3:$B$254,"*"&amp;$D78&amp;"*",'2026 AC'!N$3:N$254)</f>
        <v>0</v>
      </c>
      <c r="Q78" s="92">
        <f t="shared" si="282"/>
        <v>0</v>
      </c>
      <c r="R78" s="93">
        <f t="shared" si="277"/>
        <v>0</v>
      </c>
      <c r="S78" s="93">
        <f t="shared" si="278"/>
        <v>0</v>
      </c>
      <c r="T78" s="93">
        <f t="shared" si="279"/>
        <v>0</v>
      </c>
      <c r="U78" s="93">
        <f t="shared" si="280"/>
        <v>0</v>
      </c>
      <c r="V78" s="92">
        <f t="shared" si="281"/>
        <v>0</v>
      </c>
    </row>
    <row r="79" ht="15" customHeight="1" outlineLevel="1">
      <c r="A79" t="s">
        <v>159</v>
      </c>
      <c r="B79" t="s">
        <v>160</v>
      </c>
      <c r="C79" s="34" t="s">
        <v>161</v>
      </c>
      <c r="D79" s="35" t="s">
        <v>160</v>
      </c>
      <c r="E79" s="63">
        <f>SUMIF('2026 AC'!$B$3:$B$254,"*"&amp;$D79&amp;"*",'2026 AC'!C$3:C$254)</f>
        <v>0</v>
      </c>
      <c r="F79" s="53">
        <f>SUMIF('2026 AC'!$B$3:$B$254,"*"&amp;$D79&amp;"*",'2026 AC'!D$3:D$254)</f>
        <v>0</v>
      </c>
      <c r="G79" s="53">
        <f>SUMIF('2026 AC'!$B$3:$B$254,"*"&amp;$D79&amp;"*",'2026 AC'!E$3:E$254)</f>
        <v>0</v>
      </c>
      <c r="H79" s="53">
        <f>SUMIF('2026 AC'!$B$3:$B$254,"*"&amp;$D79&amp;"*",'2026 AC'!F$3:F$254)</f>
        <v>0</v>
      </c>
      <c r="I79" s="53">
        <f>SUMIF('2026 AC'!$B$3:$B$254,"*"&amp;$D79&amp;"*",'2026 AC'!G$3:G$254)</f>
        <v>0</v>
      </c>
      <c r="J79" s="53">
        <f>SUMIF('2026 AC'!$B$3:$B$254,"*"&amp;$D79&amp;"*",'2026 AC'!H$3:H$254)</f>
        <v>0</v>
      </c>
      <c r="K79" s="53">
        <f>SUMIF('2026 AC'!$B$3:$B$254,"*"&amp;$D79&amp;"*",'2026 AC'!I$3:I$254)</f>
        <v>0</v>
      </c>
      <c r="L79" s="53">
        <f>SUMIF('2026 AC'!$B$3:$B$254,"*"&amp;$D79&amp;"*",'2026 AC'!J$3:J$254)</f>
        <v>0</v>
      </c>
      <c r="M79" s="53">
        <f>SUMIF('2026 AC'!$B$3:$B$254,"*"&amp;$D79&amp;"*",'2026 AC'!K$3:K$254)</f>
        <v>0</v>
      </c>
      <c r="N79" s="53">
        <f>SUMIF('2026 AC'!$B$3:$B$254,"*"&amp;$D79&amp;"*",'2026 AC'!L$3:L$254)</f>
        <v>0</v>
      </c>
      <c r="O79" s="53">
        <f>SUMIF('2026 AC'!$B$3:$B$254,"*"&amp;$D79&amp;"*",'2026 AC'!M$3:M$254)</f>
        <v>0</v>
      </c>
      <c r="P79" s="93">
        <f>SUMIF('2026 AC'!$B$3:$B$254,"*"&amp;$D79&amp;"*",'2026 AC'!N$3:N$254)</f>
        <v>0</v>
      </c>
      <c r="Q79" s="92">
        <f t="shared" si="282"/>
        <v>0</v>
      </c>
      <c r="R79" s="93">
        <f t="shared" si="277"/>
        <v>0</v>
      </c>
      <c r="S79" s="93">
        <f t="shared" si="278"/>
        <v>0</v>
      </c>
      <c r="T79" s="93">
        <f t="shared" si="279"/>
        <v>0</v>
      </c>
      <c r="U79" s="93">
        <f t="shared" si="280"/>
        <v>0</v>
      </c>
      <c r="V79" s="92">
        <f t="shared" si="281"/>
        <v>0</v>
      </c>
    </row>
    <row r="80" ht="15" customHeight="1" outlineLevel="1">
      <c r="A80" t="s">
        <v>162</v>
      </c>
      <c r="B80" t="s">
        <v>163</v>
      </c>
      <c r="C80" s="52" t="s">
        <v>164</v>
      </c>
      <c r="D80" s="35" t="s">
        <v>163</v>
      </c>
      <c r="E80" s="63">
        <f>SUMIF('2026 AC'!$B$3:$B$254,"*"&amp;$D80&amp;"*",'2026 AC'!C$3:C$254)</f>
        <v>0</v>
      </c>
      <c r="F80" s="53">
        <f>SUMIF('2026 AC'!$B$3:$B$254,"*"&amp;$D80&amp;"*",'2026 AC'!D$3:D$254)</f>
        <v>0</v>
      </c>
      <c r="G80" s="53">
        <f>SUMIF('2026 AC'!$B$3:$B$254,"*"&amp;$D80&amp;"*",'2026 AC'!E$3:E$254)</f>
        <v>0</v>
      </c>
      <c r="H80" s="53">
        <f>SUMIF('2026 AC'!$B$3:$B$254,"*"&amp;$D80&amp;"*",'2026 AC'!F$3:F$254)</f>
        <v>0</v>
      </c>
      <c r="I80" s="53">
        <f>SUMIF('2026 AC'!$B$3:$B$254,"*"&amp;$D80&amp;"*",'2026 AC'!G$3:G$254)</f>
        <v>0</v>
      </c>
      <c r="J80" s="53">
        <f>SUMIF('2026 AC'!$B$3:$B$254,"*"&amp;$D80&amp;"*",'2026 AC'!H$3:H$254)</f>
        <v>0</v>
      </c>
      <c r="K80" s="53">
        <f>SUMIF('2026 AC'!$B$3:$B$254,"*"&amp;$D80&amp;"*",'2026 AC'!I$3:I$254)</f>
        <v>0</v>
      </c>
      <c r="L80" s="53">
        <f>SUMIF('2026 AC'!$B$3:$B$254,"*"&amp;$D80&amp;"*",'2026 AC'!J$3:J$254)</f>
        <v>0</v>
      </c>
      <c r="M80" s="53">
        <f>SUMIF('2026 AC'!$B$3:$B$254,"*"&amp;$D80&amp;"*",'2026 AC'!K$3:K$254)</f>
        <v>0</v>
      </c>
      <c r="N80" s="53">
        <f>SUMIF('2026 AC'!$B$3:$B$254,"*"&amp;$D80&amp;"*",'2026 AC'!L$3:L$254)</f>
        <v>0</v>
      </c>
      <c r="O80" s="53">
        <f>SUMIF('2026 AC'!$B$3:$B$254,"*"&amp;$D80&amp;"*",'2026 AC'!M$3:M$254)</f>
        <v>0</v>
      </c>
      <c r="P80" s="93">
        <f>SUMIF('2026 AC'!$B$3:$B$254,"*"&amp;$D80&amp;"*",'2026 AC'!N$3:N$254)</f>
        <v>0</v>
      </c>
      <c r="Q80" s="92">
        <f t="shared" si="282"/>
        <v>0</v>
      </c>
      <c r="R80" s="93">
        <f t="shared" si="277"/>
        <v>0</v>
      </c>
      <c r="S80" s="93">
        <f t="shared" si="278"/>
        <v>0</v>
      </c>
      <c r="T80" s="93">
        <f t="shared" si="279"/>
        <v>0</v>
      </c>
      <c r="U80" s="93">
        <f t="shared" si="280"/>
        <v>0</v>
      </c>
      <c r="V80" s="92">
        <f t="shared" si="281"/>
        <v>0</v>
      </c>
    </row>
    <row r="81" ht="15" customHeight="1" outlineLevel="1">
      <c r="A81" t="s">
        <v>165</v>
      </c>
      <c r="B81" t="s">
        <v>166</v>
      </c>
      <c r="C81" s="52" t="s">
        <v>167</v>
      </c>
      <c r="D81" s="35" t="s">
        <v>166</v>
      </c>
      <c r="E81" s="63">
        <f>SUMIF('2026 AC'!$B$3:$B$254,"*"&amp;$D81&amp;"*",'2026 AC'!C$3:C$254)</f>
        <v>28475.439999999999</v>
      </c>
      <c r="F81" s="53">
        <f>SUMIF('2026 AC'!$B$3:$B$254,"*"&amp;$D81&amp;"*",'2026 AC'!D$3:D$254)</f>
        <v>26449.139999999999</v>
      </c>
      <c r="G81" s="53">
        <f>SUMIF('2026 AC'!$B$3:$B$254,"*"&amp;$D81&amp;"*",'2026 AC'!E$3:E$254)</f>
        <v>22436.669999999998</v>
      </c>
      <c r="H81" s="53">
        <f>SUMIF('2026 AC'!$B$3:$B$254,"*"&amp;$D81&amp;"*",'2026 AC'!F$3:F$254)</f>
        <v>24215.16</v>
      </c>
      <c r="I81" s="53">
        <f>SUMIF('2026 AC'!$B$3:$B$254,"*"&amp;$D81&amp;"*",'2026 AC'!G$3:G$254)</f>
        <v>25127.220000000001</v>
      </c>
      <c r="J81" s="53">
        <f>SUMIF('2026 AC'!$B$3:$B$254,"*"&amp;$D81&amp;"*",'2026 AC'!H$3:H$254)</f>
        <v>29128.189999999999</v>
      </c>
      <c r="K81" s="53">
        <f>SUMIF('2026 AC'!$B$3:$B$254,"*"&amp;$D81&amp;"*",'2026 AC'!I$3:I$254)</f>
        <v>0</v>
      </c>
      <c r="L81" s="53">
        <f>SUMIF('2026 AC'!$B$3:$B$254,"*"&amp;$D81&amp;"*",'2026 AC'!J$3:J$254)</f>
        <v>0</v>
      </c>
      <c r="M81" s="53">
        <f>SUMIF('2026 AC'!$B$3:$B$254,"*"&amp;$D81&amp;"*",'2026 AC'!K$3:K$254)</f>
        <v>0</v>
      </c>
      <c r="N81" s="53">
        <f>SUMIF('2026 AC'!$B$3:$B$254,"*"&amp;$D81&amp;"*",'2026 AC'!L$3:L$254)</f>
        <v>0</v>
      </c>
      <c r="O81" s="53">
        <f>SUMIF('2026 AC'!$B$3:$B$254,"*"&amp;$D81&amp;"*",'2026 AC'!M$3:M$254)</f>
        <v>0</v>
      </c>
      <c r="P81" s="93">
        <f>SUMIF('2026 AC'!$B$3:$B$254,"*"&amp;$D81&amp;"*",'2026 AC'!N$3:N$254)</f>
        <v>0</v>
      </c>
      <c r="Q81" s="92">
        <f t="shared" si="282"/>
        <v>155831.82000000001</v>
      </c>
      <c r="R81" s="93">
        <f t="shared" si="277"/>
        <v>77361.25</v>
      </c>
      <c r="S81" s="93">
        <f t="shared" si="278"/>
        <v>78470.570000000007</v>
      </c>
      <c r="T81" s="93">
        <f t="shared" si="279"/>
        <v>0</v>
      </c>
      <c r="U81" s="93">
        <f t="shared" si="280"/>
        <v>0</v>
      </c>
      <c r="V81" s="92">
        <f t="shared" si="281"/>
        <v>155831.82000000001</v>
      </c>
    </row>
    <row r="82" s="137" customFormat="1" ht="15" customHeight="1">
      <c r="A82" s="137" t="s">
        <v>168</v>
      </c>
      <c r="B82" s="137" t="s">
        <v>169</v>
      </c>
      <c r="C82" s="187" t="s">
        <v>170</v>
      </c>
      <c r="D82" s="139" t="s">
        <v>169</v>
      </c>
      <c r="E82" s="145">
        <f>SUMIF('2026 AC'!$B$3:$B$254,"*"&amp;$D82&amp;"*",'2026 AC'!C$3:C$254)</f>
        <v>36014.300000000003</v>
      </c>
      <c r="F82" s="146">
        <f>SUMIF('2026 AC'!$B$3:$B$254,"*"&amp;$D82&amp;"*",'2026 AC'!D$3:D$254)</f>
        <v>50142.150000000001</v>
      </c>
      <c r="G82" s="146">
        <f>SUMIF('2026 AC'!$B$3:$B$254,"*"&amp;$D82&amp;"*",'2026 AC'!E$3:E$254)</f>
        <v>51584.709999999999</v>
      </c>
      <c r="H82" s="146">
        <f>SUMIF('2026 AC'!$B$3:$B$254,"*"&amp;$D82&amp;"*",'2026 AC'!F$3:F$254)</f>
        <v>32936.580000000002</v>
      </c>
      <c r="I82" s="146">
        <f>SUMIF('2026 AC'!$B$3:$B$254,"*"&amp;$D82&amp;"*",'2026 AC'!G$3:G$254)</f>
        <v>22839.110000000001</v>
      </c>
      <c r="J82" s="146">
        <f>SUMIF('2026 AC'!$B$3:$B$254,"*"&amp;$D82&amp;"*",'2026 AC'!H$3:H$254)</f>
        <v>28254.209999999999</v>
      </c>
      <c r="K82" s="146">
        <f>SUMIF('2026 AC'!$B$3:$B$254,"*"&amp;$D82&amp;"*",'2026 AC'!I$3:I$254)</f>
        <v>0</v>
      </c>
      <c r="L82" s="146">
        <f>SUMIF('2026 AC'!$B$3:$B$254,"*"&amp;$D82&amp;"*",'2026 AC'!J$3:J$254)</f>
        <v>0</v>
      </c>
      <c r="M82" s="146">
        <f>SUMIF('2026 AC'!$B$3:$B$254,"*"&amp;$D82&amp;"*",'2026 AC'!K$3:K$254)</f>
        <v>0</v>
      </c>
      <c r="N82" s="146">
        <f>SUMIF('2026 AC'!$B$3:$B$254,"*"&amp;$D82&amp;"*",'2026 AC'!L$3:L$254)</f>
        <v>0</v>
      </c>
      <c r="O82" s="146">
        <f>SUMIF('2026 AC'!$B$3:$B$254,"*"&amp;$D82&amp;"*",'2026 AC'!M$3:M$254)</f>
        <v>0</v>
      </c>
      <c r="P82" s="147">
        <f>SUMIF('2026 AC'!$B$3:$B$254,"*"&amp;$D82&amp;"*",'2026 AC'!N$3:N$254)</f>
        <v>0</v>
      </c>
      <c r="Q82" s="148">
        <f t="shared" si="282"/>
        <v>221771.05999999997</v>
      </c>
      <c r="R82" s="147">
        <f t="shared" si="277"/>
        <v>137741.16</v>
      </c>
      <c r="S82" s="147">
        <f t="shared" si="278"/>
        <v>84029.899999999994</v>
      </c>
      <c r="T82" s="147">
        <f t="shared" si="279"/>
        <v>0</v>
      </c>
      <c r="U82" s="147">
        <f t="shared" si="280"/>
        <v>0</v>
      </c>
      <c r="V82" s="148">
        <f t="shared" si="281"/>
        <v>221771.06</v>
      </c>
    </row>
    <row r="83" ht="15" customHeight="1" outlineLevel="1">
      <c r="A83" t="s">
        <v>171</v>
      </c>
      <c r="B83" t="s">
        <v>172</v>
      </c>
      <c r="C83" s="34" t="s">
        <v>173</v>
      </c>
      <c r="D83" s="35" t="s">
        <v>172</v>
      </c>
      <c r="E83" s="63">
        <f>SUMIF('2026 AC'!$B$3:$B$254,"*"&amp;$D83&amp;"*",'2026 AC'!C$3:C$254)</f>
        <v>0</v>
      </c>
      <c r="F83" s="53">
        <f>SUMIF('2026 AC'!$B$3:$B$254,"*"&amp;$D83&amp;"*",'2026 AC'!D$3:D$254)</f>
        <v>0</v>
      </c>
      <c r="G83" s="53">
        <f>SUMIF('2026 AC'!$B$3:$B$254,"*"&amp;$D83&amp;"*",'2026 AC'!E$3:E$254)</f>
        <v>0</v>
      </c>
      <c r="H83" s="53">
        <f>SUMIF('2026 AC'!$B$3:$B$254,"*"&amp;$D83&amp;"*",'2026 AC'!F$3:F$254)</f>
        <v>0</v>
      </c>
      <c r="I83" s="53">
        <f>SUMIF('2026 AC'!$B$3:$B$254,"*"&amp;$D83&amp;"*",'2026 AC'!G$3:G$254)</f>
        <v>0</v>
      </c>
      <c r="J83" s="53">
        <f>SUMIF('2026 AC'!$B$3:$B$254,"*"&amp;$D83&amp;"*",'2026 AC'!H$3:H$254)</f>
        <v>0</v>
      </c>
      <c r="K83" s="53">
        <f>SUMIF('2026 AC'!$B$3:$B$254,"*"&amp;$D83&amp;"*",'2026 AC'!I$3:I$254)</f>
        <v>0</v>
      </c>
      <c r="L83" s="53">
        <f>SUMIF('2026 AC'!$B$3:$B$254,"*"&amp;$D83&amp;"*",'2026 AC'!J$3:J$254)</f>
        <v>0</v>
      </c>
      <c r="M83" s="53">
        <f>SUMIF('2026 AC'!$B$3:$B$254,"*"&amp;$D83&amp;"*",'2026 AC'!K$3:K$254)</f>
        <v>0</v>
      </c>
      <c r="N83" s="53">
        <f>SUMIF('2026 AC'!$B$3:$B$254,"*"&amp;$D83&amp;"*",'2026 AC'!L$3:L$254)</f>
        <v>0</v>
      </c>
      <c r="O83" s="53">
        <f>SUMIF('2026 AC'!$B$3:$B$254,"*"&amp;$D83&amp;"*",'2026 AC'!M$3:M$254)</f>
        <v>0</v>
      </c>
      <c r="P83" s="93">
        <f>SUMIF('2026 AC'!$B$3:$B$254,"*"&amp;$D83&amp;"*",'2026 AC'!N$3:N$254)</f>
        <v>0</v>
      </c>
      <c r="Q83" s="92">
        <f t="shared" si="282"/>
        <v>0</v>
      </c>
      <c r="R83" s="93">
        <f t="shared" si="277"/>
        <v>0</v>
      </c>
      <c r="S83" s="93">
        <f t="shared" si="278"/>
        <v>0</v>
      </c>
      <c r="T83" s="93">
        <f t="shared" si="279"/>
        <v>0</v>
      </c>
      <c r="U83" s="93">
        <f t="shared" si="280"/>
        <v>0</v>
      </c>
      <c r="V83" s="92">
        <f t="shared" si="281"/>
        <v>0</v>
      </c>
    </row>
    <row r="84" ht="15" customHeight="1" outlineLevel="1">
      <c r="A84" t="s">
        <v>174</v>
      </c>
      <c r="B84" t="s">
        <v>175</v>
      </c>
      <c r="C84" s="34" t="s">
        <v>176</v>
      </c>
      <c r="D84" s="35" t="s">
        <v>175</v>
      </c>
      <c r="E84" s="63">
        <f>SUMIF('2026 AC'!$B$3:$B$254,"*"&amp;$D84&amp;"*",'2026 AC'!C$3:C$254)</f>
        <v>0</v>
      </c>
      <c r="F84" s="53">
        <f>SUMIF('2026 AC'!$B$3:$B$254,"*"&amp;$D84&amp;"*",'2026 AC'!D$3:D$254)</f>
        <v>0</v>
      </c>
      <c r="G84" s="53">
        <f>SUMIF('2026 AC'!$B$3:$B$254,"*"&amp;$D84&amp;"*",'2026 AC'!E$3:E$254)</f>
        <v>0</v>
      </c>
      <c r="H84" s="53">
        <f>SUMIF('2026 AC'!$B$3:$B$254,"*"&amp;$D84&amp;"*",'2026 AC'!F$3:F$254)</f>
        <v>0</v>
      </c>
      <c r="I84" s="53">
        <f>SUMIF('2026 AC'!$B$3:$B$254,"*"&amp;$D84&amp;"*",'2026 AC'!G$3:G$254)</f>
        <v>0</v>
      </c>
      <c r="J84" s="53">
        <f>SUMIF('2026 AC'!$B$3:$B$254,"*"&amp;$D84&amp;"*",'2026 AC'!H$3:H$254)</f>
        <v>0</v>
      </c>
      <c r="K84" s="53">
        <f>SUMIF('2026 AC'!$B$3:$B$254,"*"&amp;$D84&amp;"*",'2026 AC'!I$3:I$254)</f>
        <v>0</v>
      </c>
      <c r="L84" s="53">
        <f>SUMIF('2026 AC'!$B$3:$B$254,"*"&amp;$D84&amp;"*",'2026 AC'!J$3:J$254)</f>
        <v>0</v>
      </c>
      <c r="M84" s="53">
        <f>SUMIF('2026 AC'!$B$3:$B$254,"*"&amp;$D84&amp;"*",'2026 AC'!K$3:K$254)</f>
        <v>0</v>
      </c>
      <c r="N84" s="53">
        <f>SUMIF('2026 AC'!$B$3:$B$254,"*"&amp;$D84&amp;"*",'2026 AC'!L$3:L$254)</f>
        <v>0</v>
      </c>
      <c r="O84" s="53">
        <f>SUMIF('2026 AC'!$B$3:$B$254,"*"&amp;$D84&amp;"*",'2026 AC'!M$3:M$254)</f>
        <v>0</v>
      </c>
      <c r="P84" s="93">
        <f>SUMIF('2026 AC'!$B$3:$B$254,"*"&amp;$D84&amp;"*",'2026 AC'!N$3:N$254)</f>
        <v>0</v>
      </c>
      <c r="Q84" s="92">
        <f t="shared" si="282"/>
        <v>0</v>
      </c>
      <c r="R84" s="93">
        <f t="shared" si="277"/>
        <v>0</v>
      </c>
      <c r="S84" s="93">
        <f t="shared" si="278"/>
        <v>0</v>
      </c>
      <c r="T84" s="93">
        <f t="shared" si="279"/>
        <v>0</v>
      </c>
      <c r="U84" s="93">
        <f t="shared" si="280"/>
        <v>0</v>
      </c>
      <c r="V84" s="92">
        <f t="shared" si="281"/>
        <v>0</v>
      </c>
    </row>
    <row r="85" ht="15" customHeight="1" outlineLevel="1">
      <c r="A85" t="s">
        <v>177</v>
      </c>
      <c r="B85" t="s">
        <v>178</v>
      </c>
      <c r="C85" s="34" t="s">
        <v>179</v>
      </c>
      <c r="D85" s="35" t="s">
        <v>178</v>
      </c>
      <c r="E85" s="63">
        <f>SUMIF('2026 AC'!$B$3:$B$254,"*"&amp;$D85&amp;"*",'2026 AC'!C$3:C$254)</f>
        <v>0</v>
      </c>
      <c r="F85" s="53">
        <f>SUMIF('2026 AC'!$B$3:$B$254,"*"&amp;$D85&amp;"*",'2026 AC'!D$3:D$254)</f>
        <v>0</v>
      </c>
      <c r="G85" s="53">
        <f>SUMIF('2026 AC'!$B$3:$B$254,"*"&amp;$D85&amp;"*",'2026 AC'!E$3:E$254)</f>
        <v>0</v>
      </c>
      <c r="H85" s="53">
        <f>SUMIF('2026 AC'!$B$3:$B$254,"*"&amp;$D85&amp;"*",'2026 AC'!F$3:F$254)</f>
        <v>0</v>
      </c>
      <c r="I85" s="53">
        <f>SUMIF('2026 AC'!$B$3:$B$254,"*"&amp;$D85&amp;"*",'2026 AC'!G$3:G$254)</f>
        <v>0</v>
      </c>
      <c r="J85" s="53">
        <f>SUMIF('2026 AC'!$B$3:$B$254,"*"&amp;$D85&amp;"*",'2026 AC'!H$3:H$254)</f>
        <v>0</v>
      </c>
      <c r="K85" s="53">
        <f>SUMIF('2026 AC'!$B$3:$B$254,"*"&amp;$D85&amp;"*",'2026 AC'!I$3:I$254)</f>
        <v>0</v>
      </c>
      <c r="L85" s="53">
        <f>SUMIF('2026 AC'!$B$3:$B$254,"*"&amp;$D85&amp;"*",'2026 AC'!J$3:J$254)</f>
        <v>0</v>
      </c>
      <c r="M85" s="53">
        <f>SUMIF('2026 AC'!$B$3:$B$254,"*"&amp;$D85&amp;"*",'2026 AC'!K$3:K$254)</f>
        <v>0</v>
      </c>
      <c r="N85" s="53">
        <f>SUMIF('2026 AC'!$B$3:$B$254,"*"&amp;$D85&amp;"*",'2026 AC'!L$3:L$254)</f>
        <v>0</v>
      </c>
      <c r="O85" s="53">
        <f>SUMIF('2026 AC'!$B$3:$B$254,"*"&amp;$D85&amp;"*",'2026 AC'!M$3:M$254)</f>
        <v>0</v>
      </c>
      <c r="P85" s="93">
        <f>SUMIF('2026 AC'!$B$3:$B$254,"*"&amp;$D85&amp;"*",'2026 AC'!N$3:N$254)</f>
        <v>0</v>
      </c>
      <c r="Q85" s="92">
        <f t="shared" si="282"/>
        <v>0</v>
      </c>
      <c r="R85" s="93">
        <f t="shared" si="277"/>
        <v>0</v>
      </c>
      <c r="S85" s="93">
        <f t="shared" si="278"/>
        <v>0</v>
      </c>
      <c r="T85" s="93">
        <f t="shared" si="279"/>
        <v>0</v>
      </c>
      <c r="U85" s="93">
        <f t="shared" si="280"/>
        <v>0</v>
      </c>
      <c r="V85" s="92">
        <f t="shared" si="281"/>
        <v>0</v>
      </c>
    </row>
    <row r="86" ht="15" customHeight="1" outlineLevel="1">
      <c r="A86" t="s">
        <v>180</v>
      </c>
      <c r="B86" t="s">
        <v>181</v>
      </c>
      <c r="C86" s="34" t="s">
        <v>182</v>
      </c>
      <c r="D86" s="35" t="s">
        <v>181</v>
      </c>
      <c r="E86" s="63">
        <f>SUMIF('2026 AC'!$B$3:$B$254,"*"&amp;$D86&amp;"*",'2026 AC'!C$3:C$254)</f>
        <v>0</v>
      </c>
      <c r="F86" s="53">
        <f>SUMIF('2026 AC'!$B$3:$B$254,"*"&amp;$D86&amp;"*",'2026 AC'!D$3:D$254)</f>
        <v>0</v>
      </c>
      <c r="G86" s="53">
        <f>SUMIF('2026 AC'!$B$3:$B$254,"*"&amp;$D86&amp;"*",'2026 AC'!E$3:E$254)</f>
        <v>0</v>
      </c>
      <c r="H86" s="53">
        <f>SUMIF('2026 AC'!$B$3:$B$254,"*"&amp;$D86&amp;"*",'2026 AC'!F$3:F$254)</f>
        <v>0</v>
      </c>
      <c r="I86" s="53">
        <f>SUMIF('2026 AC'!$B$3:$B$254,"*"&amp;$D86&amp;"*",'2026 AC'!G$3:G$254)</f>
        <v>0</v>
      </c>
      <c r="J86" s="53">
        <f>SUMIF('2026 AC'!$B$3:$B$254,"*"&amp;$D86&amp;"*",'2026 AC'!H$3:H$254)</f>
        <v>0</v>
      </c>
      <c r="K86" s="53">
        <f>SUMIF('2026 AC'!$B$3:$B$254,"*"&amp;$D86&amp;"*",'2026 AC'!I$3:I$254)</f>
        <v>0</v>
      </c>
      <c r="L86" s="53">
        <f>SUMIF('2026 AC'!$B$3:$B$254,"*"&amp;$D86&amp;"*",'2026 AC'!J$3:J$254)</f>
        <v>0</v>
      </c>
      <c r="M86" s="53">
        <f>SUMIF('2026 AC'!$B$3:$B$254,"*"&amp;$D86&amp;"*",'2026 AC'!K$3:K$254)</f>
        <v>0</v>
      </c>
      <c r="N86" s="53">
        <f>SUMIF('2026 AC'!$B$3:$B$254,"*"&amp;$D86&amp;"*",'2026 AC'!L$3:L$254)</f>
        <v>0</v>
      </c>
      <c r="O86" s="53">
        <f>SUMIF('2026 AC'!$B$3:$B$254,"*"&amp;$D86&amp;"*",'2026 AC'!M$3:M$254)</f>
        <v>0</v>
      </c>
      <c r="P86" s="93">
        <f>SUMIF('2026 AC'!$B$3:$B$254,"*"&amp;$D86&amp;"*",'2026 AC'!N$3:N$254)</f>
        <v>0</v>
      </c>
      <c r="Q86" s="92">
        <f t="shared" si="282"/>
        <v>0</v>
      </c>
      <c r="R86" s="93">
        <f t="shared" si="277"/>
        <v>0</v>
      </c>
      <c r="S86" s="93">
        <f t="shared" si="278"/>
        <v>0</v>
      </c>
      <c r="T86" s="93">
        <f t="shared" si="279"/>
        <v>0</v>
      </c>
      <c r="U86" s="93">
        <f t="shared" si="280"/>
        <v>0</v>
      </c>
      <c r="V86" s="92">
        <f t="shared" si="281"/>
        <v>0</v>
      </c>
    </row>
    <row r="87" ht="15" customHeight="1" outlineLevel="1">
      <c r="A87" t="s">
        <v>183</v>
      </c>
      <c r="B87" t="s">
        <v>184</v>
      </c>
      <c r="C87" s="34" t="s">
        <v>185</v>
      </c>
      <c r="D87" s="35" t="s">
        <v>184</v>
      </c>
      <c r="E87" s="63">
        <f>SUMIF('2026 AC'!$B$3:$B$254,"*"&amp;$D87&amp;"*",'2026 AC'!C$3:C$254)</f>
        <v>0</v>
      </c>
      <c r="F87" s="53">
        <f>SUMIF('2026 AC'!$B$3:$B$254,"*"&amp;$D87&amp;"*",'2026 AC'!D$3:D$254)</f>
        <v>0</v>
      </c>
      <c r="G87" s="53">
        <f>SUMIF('2026 AC'!$B$3:$B$254,"*"&amp;$D87&amp;"*",'2026 AC'!E$3:E$254)</f>
        <v>0</v>
      </c>
      <c r="H87" s="53">
        <f>SUMIF('2026 AC'!$B$3:$B$254,"*"&amp;$D87&amp;"*",'2026 AC'!F$3:F$254)</f>
        <v>0</v>
      </c>
      <c r="I87" s="53">
        <f>SUMIF('2026 AC'!$B$3:$B$254,"*"&amp;$D87&amp;"*",'2026 AC'!G$3:G$254)</f>
        <v>0</v>
      </c>
      <c r="J87" s="53">
        <f>SUMIF('2026 AC'!$B$3:$B$254,"*"&amp;$D87&amp;"*",'2026 AC'!H$3:H$254)</f>
        <v>0</v>
      </c>
      <c r="K87" s="53">
        <f>SUMIF('2026 AC'!$B$3:$B$254,"*"&amp;$D87&amp;"*",'2026 AC'!I$3:I$254)</f>
        <v>0</v>
      </c>
      <c r="L87" s="53">
        <f>SUMIF('2026 AC'!$B$3:$B$254,"*"&amp;$D87&amp;"*",'2026 AC'!J$3:J$254)</f>
        <v>0</v>
      </c>
      <c r="M87" s="53">
        <f>SUMIF('2026 AC'!$B$3:$B$254,"*"&amp;$D87&amp;"*",'2026 AC'!K$3:K$254)</f>
        <v>0</v>
      </c>
      <c r="N87" s="53">
        <f>SUMIF('2026 AC'!$B$3:$B$254,"*"&amp;$D87&amp;"*",'2026 AC'!L$3:L$254)</f>
        <v>0</v>
      </c>
      <c r="O87" s="53">
        <f>SUMIF('2026 AC'!$B$3:$B$254,"*"&amp;$D87&amp;"*",'2026 AC'!M$3:M$254)</f>
        <v>0</v>
      </c>
      <c r="P87" s="93">
        <f>SUMIF('2026 AC'!$B$3:$B$254,"*"&amp;$D87&amp;"*",'2026 AC'!N$3:N$254)</f>
        <v>0</v>
      </c>
      <c r="Q87" s="92">
        <f t="shared" si="282"/>
        <v>0</v>
      </c>
      <c r="R87" s="93">
        <f t="shared" si="277"/>
        <v>0</v>
      </c>
      <c r="S87" s="93">
        <f t="shared" si="278"/>
        <v>0</v>
      </c>
      <c r="T87" s="93">
        <f t="shared" si="279"/>
        <v>0</v>
      </c>
      <c r="U87" s="93">
        <f t="shared" si="280"/>
        <v>0</v>
      </c>
      <c r="V87" s="92">
        <f t="shared" si="281"/>
        <v>0</v>
      </c>
    </row>
    <row r="88" ht="15" customHeight="1" outlineLevel="1">
      <c r="A88" t="s">
        <v>186</v>
      </c>
      <c r="B88" t="s">
        <v>187</v>
      </c>
      <c r="C88" s="160" t="s">
        <v>188</v>
      </c>
      <c r="D88" s="35" t="s">
        <v>187</v>
      </c>
      <c r="E88" s="63">
        <f>SUMIF('2026 AC'!$B$3:$B$254,"*"&amp;$D88&amp;"*",'2026 AC'!C$3:C$254)</f>
        <v>34428.980000000003</v>
      </c>
      <c r="F88" s="53">
        <f>SUMIF('2026 AC'!$B$3:$B$254,"*"&amp;$D88&amp;"*",'2026 AC'!D$3:D$254)</f>
        <v>43138.18</v>
      </c>
      <c r="G88" s="53">
        <f>SUMIF('2026 AC'!$B$3:$B$254,"*"&amp;$D88&amp;"*",'2026 AC'!E$3:E$254)</f>
        <v>50054.410000000003</v>
      </c>
      <c r="H88" s="53">
        <f>SUMIF('2026 AC'!$B$3:$B$254,"*"&amp;$D88&amp;"*",'2026 AC'!F$3:F$254)</f>
        <v>30865.200000000001</v>
      </c>
      <c r="I88" s="53">
        <f>SUMIF('2026 AC'!$B$3:$B$254,"*"&amp;$D88&amp;"*",'2026 AC'!G$3:G$254)</f>
        <v>19949.25</v>
      </c>
      <c r="J88" s="53">
        <f>SUMIF('2026 AC'!$B$3:$B$254,"*"&amp;$D88&amp;"*",'2026 AC'!H$3:H$254)</f>
        <v>28190.810000000001</v>
      </c>
      <c r="K88" s="53">
        <f>SUMIF('2026 AC'!$B$3:$B$254,"*"&amp;$D88&amp;"*",'2026 AC'!I$3:I$254)</f>
        <v>0</v>
      </c>
      <c r="L88" s="53">
        <f>SUMIF('2026 AC'!$B$3:$B$254,"*"&amp;$D88&amp;"*",'2026 AC'!J$3:J$254)</f>
        <v>0</v>
      </c>
      <c r="M88" s="53">
        <f>SUMIF('2026 AC'!$B$3:$B$254,"*"&amp;$D88&amp;"*",'2026 AC'!K$3:K$254)</f>
        <v>0</v>
      </c>
      <c r="N88" s="53">
        <f>SUMIF('2026 AC'!$B$3:$B$254,"*"&amp;$D88&amp;"*",'2026 AC'!L$3:L$254)</f>
        <v>0</v>
      </c>
      <c r="O88" s="53">
        <f>SUMIF('2026 AC'!$B$3:$B$254,"*"&amp;$D88&amp;"*",'2026 AC'!M$3:M$254)</f>
        <v>0</v>
      </c>
      <c r="P88" s="93">
        <f>SUMIF('2026 AC'!$B$3:$B$254,"*"&amp;$D88&amp;"*",'2026 AC'!N$3:N$254)</f>
        <v>0</v>
      </c>
      <c r="Q88" s="92">
        <f t="shared" si="282"/>
        <v>206626.83000000002</v>
      </c>
      <c r="R88" s="93">
        <f t="shared" si="277"/>
        <v>127621.57000000001</v>
      </c>
      <c r="S88" s="93">
        <f t="shared" si="278"/>
        <v>79005.259999999995</v>
      </c>
      <c r="T88" s="93">
        <f t="shared" si="279"/>
        <v>0</v>
      </c>
      <c r="U88" s="93">
        <f t="shared" si="280"/>
        <v>0</v>
      </c>
      <c r="V88" s="92">
        <f t="shared" si="281"/>
        <v>206626.83000000002</v>
      </c>
    </row>
    <row r="89" ht="15" customHeight="1" outlineLevel="1">
      <c r="A89" t="s">
        <v>189</v>
      </c>
      <c r="B89" t="s">
        <v>190</v>
      </c>
      <c r="C89" s="52" t="s">
        <v>191</v>
      </c>
      <c r="D89" s="35" t="s">
        <v>190</v>
      </c>
      <c r="E89" s="63">
        <f>SUMIF('2026 AC'!$B$3:$B$254,"*"&amp;$D89&amp;"*",'2026 AC'!C$3:C$254)</f>
        <v>0</v>
      </c>
      <c r="F89" s="53">
        <f>SUMIF('2026 AC'!$B$3:$B$254,"*"&amp;$D89&amp;"*",'2026 AC'!D$3:D$254)</f>
        <v>0</v>
      </c>
      <c r="G89" s="53">
        <f>SUMIF('2026 AC'!$B$3:$B$254,"*"&amp;$D89&amp;"*",'2026 AC'!E$3:E$254)</f>
        <v>0</v>
      </c>
      <c r="H89" s="53">
        <f>SUMIF('2026 AC'!$B$3:$B$254,"*"&amp;$D89&amp;"*",'2026 AC'!F$3:F$254)</f>
        <v>0</v>
      </c>
      <c r="I89" s="53">
        <f>SUMIF('2026 AC'!$B$3:$B$254,"*"&amp;$D89&amp;"*",'2026 AC'!G$3:G$254)</f>
        <v>0</v>
      </c>
      <c r="J89" s="53">
        <f>SUMIF('2026 AC'!$B$3:$B$254,"*"&amp;$D89&amp;"*",'2026 AC'!H$3:H$254)</f>
        <v>0</v>
      </c>
      <c r="K89" s="53">
        <f>SUMIF('2026 AC'!$B$3:$B$254,"*"&amp;$D89&amp;"*",'2026 AC'!I$3:I$254)</f>
        <v>0</v>
      </c>
      <c r="L89" s="53">
        <f>SUMIF('2026 AC'!$B$3:$B$254,"*"&amp;$D89&amp;"*",'2026 AC'!J$3:J$254)</f>
        <v>0</v>
      </c>
      <c r="M89" s="53">
        <f>SUMIF('2026 AC'!$B$3:$B$254,"*"&amp;$D89&amp;"*",'2026 AC'!K$3:K$254)</f>
        <v>0</v>
      </c>
      <c r="N89" s="53">
        <f>SUMIF('2026 AC'!$B$3:$B$254,"*"&amp;$D89&amp;"*",'2026 AC'!L$3:L$254)</f>
        <v>0</v>
      </c>
      <c r="O89" s="53">
        <f>SUMIF('2026 AC'!$B$3:$B$254,"*"&amp;$D89&amp;"*",'2026 AC'!M$3:M$254)</f>
        <v>0</v>
      </c>
      <c r="P89" s="93">
        <f>SUMIF('2026 AC'!$B$3:$B$254,"*"&amp;$D89&amp;"*",'2026 AC'!N$3:N$254)</f>
        <v>0</v>
      </c>
      <c r="Q89" s="92">
        <f t="shared" si="282"/>
        <v>0</v>
      </c>
      <c r="R89" s="93">
        <f t="shared" si="277"/>
        <v>0</v>
      </c>
      <c r="S89" s="93">
        <f t="shared" si="278"/>
        <v>0</v>
      </c>
      <c r="T89" s="93">
        <f t="shared" si="279"/>
        <v>0</v>
      </c>
      <c r="U89" s="93">
        <f t="shared" si="280"/>
        <v>0</v>
      </c>
      <c r="V89" s="92">
        <f t="shared" si="281"/>
        <v>0</v>
      </c>
    </row>
    <row r="90" ht="15" customHeight="1" outlineLevel="1">
      <c r="A90" t="s">
        <v>192</v>
      </c>
      <c r="B90" t="s">
        <v>193</v>
      </c>
      <c r="C90" s="52" t="s">
        <v>194</v>
      </c>
      <c r="D90" s="35" t="s">
        <v>193</v>
      </c>
      <c r="E90" s="63">
        <f>SUMIF('2026 AC'!$B$3:$B$254,"*"&amp;$D90&amp;"*",'2026 AC'!C$3:C$254)</f>
        <v>1585.3199999999999</v>
      </c>
      <c r="F90" s="53">
        <f>SUMIF('2026 AC'!$B$3:$B$254,"*"&amp;$D90&amp;"*",'2026 AC'!D$3:D$254)</f>
        <v>7003.9700000000003</v>
      </c>
      <c r="G90" s="53">
        <f>SUMIF('2026 AC'!$B$3:$B$254,"*"&amp;$D90&amp;"*",'2026 AC'!E$3:E$254)</f>
        <v>1530.3</v>
      </c>
      <c r="H90" s="53">
        <f>SUMIF('2026 AC'!$B$3:$B$254,"*"&amp;$D90&amp;"*",'2026 AC'!F$3:F$254)</f>
        <v>2071.3800000000001</v>
      </c>
      <c r="I90" s="53">
        <f>SUMIF('2026 AC'!$B$3:$B$254,"*"&amp;$D90&amp;"*",'2026 AC'!G$3:G$254)</f>
        <v>2889.8600000000001</v>
      </c>
      <c r="J90" s="53">
        <f>SUMIF('2026 AC'!$B$3:$B$254,"*"&amp;$D90&amp;"*",'2026 AC'!H$3:H$254)</f>
        <v>63.399999999999999</v>
      </c>
      <c r="K90" s="53">
        <f>SUMIF('2026 AC'!$B$3:$B$254,"*"&amp;$D90&amp;"*",'2026 AC'!I$3:I$254)</f>
        <v>0</v>
      </c>
      <c r="L90" s="53">
        <f>SUMIF('2026 AC'!$B$3:$B$254,"*"&amp;$D90&amp;"*",'2026 AC'!J$3:J$254)</f>
        <v>0</v>
      </c>
      <c r="M90" s="53">
        <f>SUMIF('2026 AC'!$B$3:$B$254,"*"&amp;$D90&amp;"*",'2026 AC'!K$3:K$254)</f>
        <v>0</v>
      </c>
      <c r="N90" s="53">
        <f>SUMIF('2026 AC'!$B$3:$B$254,"*"&amp;$D90&amp;"*",'2026 AC'!L$3:L$254)</f>
        <v>0</v>
      </c>
      <c r="O90" s="53">
        <f>SUMIF('2026 AC'!$B$3:$B$254,"*"&amp;$D90&amp;"*",'2026 AC'!M$3:M$254)</f>
        <v>0</v>
      </c>
      <c r="P90" s="93">
        <f>SUMIF('2026 AC'!$B$3:$B$254,"*"&amp;$D90&amp;"*",'2026 AC'!N$3:N$254)</f>
        <v>0</v>
      </c>
      <c r="Q90" s="92">
        <f t="shared" si="282"/>
        <v>15144.230000000001</v>
      </c>
      <c r="R90" s="93">
        <f t="shared" si="277"/>
        <v>10119.59</v>
      </c>
      <c r="S90" s="93">
        <f t="shared" si="278"/>
        <v>5024.6399999999994</v>
      </c>
      <c r="T90" s="93">
        <f t="shared" si="279"/>
        <v>0</v>
      </c>
      <c r="U90" s="93">
        <f t="shared" si="280"/>
        <v>0</v>
      </c>
      <c r="V90" s="92">
        <f t="shared" si="281"/>
        <v>15144.23</v>
      </c>
    </row>
    <row r="91" ht="15" customHeight="1" outlineLevel="1">
      <c r="A91" t="s">
        <v>195</v>
      </c>
      <c r="B91" t="s">
        <v>196</v>
      </c>
      <c r="C91" s="34" t="s">
        <v>197</v>
      </c>
      <c r="D91" s="35" t="s">
        <v>196</v>
      </c>
      <c r="E91" s="63">
        <f>SUMIF('2026 AC'!$B$3:$B$254,"*"&amp;$D91&amp;"*",'2026 AC'!C$3:C$254)</f>
        <v>0</v>
      </c>
      <c r="F91" s="53">
        <f>SUMIF('2026 AC'!$B$3:$B$254,"*"&amp;$D91&amp;"*",'2026 AC'!D$3:D$254)</f>
        <v>0</v>
      </c>
      <c r="G91" s="53">
        <f>SUMIF('2026 AC'!$B$3:$B$254,"*"&amp;$D91&amp;"*",'2026 AC'!E$3:E$254)</f>
        <v>0</v>
      </c>
      <c r="H91" s="53">
        <f>SUMIF('2026 AC'!$B$3:$B$254,"*"&amp;$D91&amp;"*",'2026 AC'!F$3:F$254)</f>
        <v>0</v>
      </c>
      <c r="I91" s="53">
        <f>SUMIF('2026 AC'!$B$3:$B$254,"*"&amp;$D91&amp;"*",'2026 AC'!G$3:G$254)</f>
        <v>0</v>
      </c>
      <c r="J91" s="53">
        <f>SUMIF('2026 AC'!$B$3:$B$254,"*"&amp;$D91&amp;"*",'2026 AC'!H$3:H$254)</f>
        <v>0</v>
      </c>
      <c r="K91" s="53">
        <f>SUMIF('2026 AC'!$B$3:$B$254,"*"&amp;$D91&amp;"*",'2026 AC'!I$3:I$254)</f>
        <v>0</v>
      </c>
      <c r="L91" s="53">
        <f>SUMIF('2026 AC'!$B$3:$B$254,"*"&amp;$D91&amp;"*",'2026 AC'!J$3:J$254)</f>
        <v>0</v>
      </c>
      <c r="M91" s="53">
        <f>SUMIF('2026 AC'!$B$3:$B$254,"*"&amp;$D91&amp;"*",'2026 AC'!K$3:K$254)</f>
        <v>0</v>
      </c>
      <c r="N91" s="53">
        <f>SUMIF('2026 AC'!$B$3:$B$254,"*"&amp;$D91&amp;"*",'2026 AC'!L$3:L$254)</f>
        <v>0</v>
      </c>
      <c r="O91" s="53">
        <f>SUMIF('2026 AC'!$B$3:$B$254,"*"&amp;$D91&amp;"*",'2026 AC'!M$3:M$254)</f>
        <v>0</v>
      </c>
      <c r="P91" s="93">
        <f>SUMIF('2026 AC'!$B$3:$B$254,"*"&amp;$D91&amp;"*",'2026 AC'!N$3:N$254)</f>
        <v>0</v>
      </c>
      <c r="Q91" s="92">
        <f t="shared" si="282"/>
        <v>0</v>
      </c>
      <c r="R91" s="93">
        <f t="shared" si="277"/>
        <v>0</v>
      </c>
      <c r="S91" s="93">
        <f t="shared" si="278"/>
        <v>0</v>
      </c>
      <c r="T91" s="93">
        <f t="shared" si="279"/>
        <v>0</v>
      </c>
      <c r="U91" s="93">
        <f t="shared" si="280"/>
        <v>0</v>
      </c>
      <c r="V91" s="92">
        <f t="shared" si="281"/>
        <v>0</v>
      </c>
    </row>
    <row r="92" s="137" customFormat="1" ht="15" customHeight="1">
      <c r="A92" s="137" t="s">
        <v>198</v>
      </c>
      <c r="B92" s="137" t="s">
        <v>199</v>
      </c>
      <c r="C92" s="173" t="s">
        <v>200</v>
      </c>
      <c r="D92" s="139" t="s">
        <v>199</v>
      </c>
      <c r="E92" s="145">
        <f>SUMIF('2026 AC'!$B$3:$B$254,"*"&amp;$D92&amp;"*",'2026 AC'!C$3:C$254)</f>
        <v>1196</v>
      </c>
      <c r="F92" s="146">
        <f>SUMIF('2026 AC'!$B$3:$B$254,"*"&amp;$D92&amp;"*",'2026 AC'!D$3:D$254)</f>
        <v>1592</v>
      </c>
      <c r="G92" s="146">
        <f>SUMIF('2026 AC'!$B$3:$B$254,"*"&amp;$D92&amp;"*",'2026 AC'!E$3:E$254)</f>
        <v>1820</v>
      </c>
      <c r="H92" s="146">
        <f>SUMIF('2026 AC'!$B$3:$B$254,"*"&amp;$D92&amp;"*",'2026 AC'!F$3:F$254)</f>
        <v>1740</v>
      </c>
      <c r="I92" s="146">
        <f>SUMIF('2026 AC'!$B$3:$B$254,"*"&amp;$D92&amp;"*",'2026 AC'!G$3:G$254)</f>
        <v>1652</v>
      </c>
      <c r="J92" s="146">
        <f>SUMIF('2026 AC'!$B$3:$B$254,"*"&amp;$D92&amp;"*",'2026 AC'!H$3:H$254)</f>
        <v>4280</v>
      </c>
      <c r="K92" s="146">
        <f>SUMIF('2026 AC'!$B$3:$B$254,"*"&amp;$D92&amp;"*",'2026 AC'!I$3:I$254)</f>
        <v>0</v>
      </c>
      <c r="L92" s="146">
        <f>SUMIF('2026 AC'!$B$3:$B$254,"*"&amp;$D92&amp;"*",'2026 AC'!J$3:J$254)</f>
        <v>0</v>
      </c>
      <c r="M92" s="146">
        <f>SUMIF('2026 AC'!$B$3:$B$254,"*"&amp;$D92&amp;"*",'2026 AC'!K$3:K$254)</f>
        <v>0</v>
      </c>
      <c r="N92" s="146">
        <f>SUMIF('2026 AC'!$B$3:$B$254,"*"&amp;$D92&amp;"*",'2026 AC'!L$3:L$254)</f>
        <v>0</v>
      </c>
      <c r="O92" s="146">
        <f>SUMIF('2026 AC'!$B$3:$B$254,"*"&amp;$D92&amp;"*",'2026 AC'!M$3:M$254)</f>
        <v>0</v>
      </c>
      <c r="P92" s="147">
        <f>SUMIF('2026 AC'!$B$3:$B$254,"*"&amp;$D92&amp;"*",'2026 AC'!N$3:N$254)</f>
        <v>0</v>
      </c>
      <c r="Q92" s="148">
        <f t="shared" si="282"/>
        <v>12280</v>
      </c>
      <c r="R92" s="147">
        <f t="shared" si="277"/>
        <v>4608</v>
      </c>
      <c r="S92" s="147">
        <f t="shared" si="278"/>
        <v>7672</v>
      </c>
      <c r="T92" s="147">
        <f t="shared" si="279"/>
        <v>0</v>
      </c>
      <c r="U92" s="147">
        <f t="shared" si="280"/>
        <v>0</v>
      </c>
      <c r="V92" s="148">
        <f t="shared" si="281"/>
        <v>12280</v>
      </c>
    </row>
    <row r="93" ht="15" customHeight="1" outlineLevel="1">
      <c r="A93" t="s">
        <v>201</v>
      </c>
      <c r="B93" t="s">
        <v>202</v>
      </c>
      <c r="C93" s="34" t="s">
        <v>200</v>
      </c>
      <c r="D93" s="35" t="s">
        <v>202</v>
      </c>
      <c r="E93" s="63">
        <f>SUMIF('2026 AC'!$B$3:$B$254,"*"&amp;$D93&amp;"*",'2026 AC'!C$3:C$254)</f>
        <v>1196</v>
      </c>
      <c r="F93" s="53">
        <f>SUMIF('2026 AC'!$B$3:$B$254,"*"&amp;$D93&amp;"*",'2026 AC'!D$3:D$254)</f>
        <v>1592</v>
      </c>
      <c r="G93" s="53">
        <f>SUMIF('2026 AC'!$B$3:$B$254,"*"&amp;$D93&amp;"*",'2026 AC'!E$3:E$254)</f>
        <v>1820</v>
      </c>
      <c r="H93" s="53">
        <f>SUMIF('2026 AC'!$B$3:$B$254,"*"&amp;$D93&amp;"*",'2026 AC'!F$3:F$254)</f>
        <v>1740</v>
      </c>
      <c r="I93" s="53">
        <f>SUMIF('2026 AC'!$B$3:$B$254,"*"&amp;$D93&amp;"*",'2026 AC'!G$3:G$254)</f>
        <v>1652</v>
      </c>
      <c r="J93" s="53">
        <f>SUMIF('2026 AC'!$B$3:$B$254,"*"&amp;$D93&amp;"*",'2026 AC'!H$3:H$254)</f>
        <v>4280</v>
      </c>
      <c r="K93" s="53">
        <f>SUMIF('2026 AC'!$B$3:$B$254,"*"&amp;$D93&amp;"*",'2026 AC'!I$3:I$254)</f>
        <v>0</v>
      </c>
      <c r="L93" s="53">
        <f>SUMIF('2026 AC'!$B$3:$B$254,"*"&amp;$D93&amp;"*",'2026 AC'!J$3:J$254)</f>
        <v>0</v>
      </c>
      <c r="M93" s="53">
        <f>SUMIF('2026 AC'!$B$3:$B$254,"*"&amp;$D93&amp;"*",'2026 AC'!K$3:K$254)</f>
        <v>0</v>
      </c>
      <c r="N93" s="53">
        <f>SUMIF('2026 AC'!$B$3:$B$254,"*"&amp;$D93&amp;"*",'2026 AC'!L$3:L$254)</f>
        <v>0</v>
      </c>
      <c r="O93" s="53">
        <f>SUMIF('2026 AC'!$B$3:$B$254,"*"&amp;$D93&amp;"*",'2026 AC'!M$3:M$254)</f>
        <v>0</v>
      </c>
      <c r="P93" s="93">
        <f>SUMIF('2026 AC'!$B$3:$B$254,"*"&amp;$D93&amp;"*",'2026 AC'!N$3:N$254)</f>
        <v>0</v>
      </c>
      <c r="Q93" s="92">
        <f t="shared" si="282"/>
        <v>12280</v>
      </c>
      <c r="R93" s="93">
        <f t="shared" si="277"/>
        <v>4608</v>
      </c>
      <c r="S93" s="93">
        <f t="shared" si="278"/>
        <v>7672</v>
      </c>
      <c r="T93" s="93">
        <f t="shared" si="279"/>
        <v>0</v>
      </c>
      <c r="U93" s="93">
        <f t="shared" si="280"/>
        <v>0</v>
      </c>
      <c r="V93" s="92">
        <f t="shared" si="281"/>
        <v>12280</v>
      </c>
    </row>
    <row r="94" s="137" customFormat="1" ht="15" customHeight="1">
      <c r="A94" s="137" t="s">
        <v>203</v>
      </c>
      <c r="B94" s="137" t="s">
        <v>204</v>
      </c>
      <c r="C94" s="187" t="s">
        <v>205</v>
      </c>
      <c r="D94" s="139" t="s">
        <v>204</v>
      </c>
      <c r="E94" s="145">
        <f>SUMIF('2026 AC'!$B$3:$B$254,"*"&amp;$D94&amp;"*",'2026 AC'!C$3:C$254)</f>
        <v>0</v>
      </c>
      <c r="F94" s="146">
        <f>SUMIF('2026 AC'!$B$3:$B$254,"*"&amp;$D94&amp;"*",'2026 AC'!D$3:D$254)</f>
        <v>0</v>
      </c>
      <c r="G94" s="146">
        <f>SUMIF('2026 AC'!$B$3:$B$254,"*"&amp;$D94&amp;"*",'2026 AC'!E$3:E$254)</f>
        <v>0</v>
      </c>
      <c r="H94" s="146">
        <f>SUMIF('2026 AC'!$B$3:$B$254,"*"&amp;$D94&amp;"*",'2026 AC'!F$3:F$254)</f>
        <v>0</v>
      </c>
      <c r="I94" s="146">
        <f>SUMIF('2026 AC'!$B$3:$B$254,"*"&amp;$D94&amp;"*",'2026 AC'!G$3:G$254)</f>
        <v>0</v>
      </c>
      <c r="J94" s="146">
        <f>SUMIF('2026 AC'!$B$3:$B$254,"*"&amp;$D94&amp;"*",'2026 AC'!H$3:H$254)</f>
        <v>0</v>
      </c>
      <c r="K94" s="146">
        <f>SUMIF('2026 AC'!$B$3:$B$254,"*"&amp;$D94&amp;"*",'2026 AC'!I$3:I$254)</f>
        <v>0</v>
      </c>
      <c r="L94" s="146">
        <f>SUMIF('2026 AC'!$B$3:$B$254,"*"&amp;$D94&amp;"*",'2026 AC'!J$3:J$254)</f>
        <v>0</v>
      </c>
      <c r="M94" s="146">
        <f>SUMIF('2026 AC'!$B$3:$B$254,"*"&amp;$D94&amp;"*",'2026 AC'!K$3:K$254)</f>
        <v>0</v>
      </c>
      <c r="N94" s="146">
        <f>SUMIF('2026 AC'!$B$3:$B$254,"*"&amp;$D94&amp;"*",'2026 AC'!L$3:L$254)</f>
        <v>0</v>
      </c>
      <c r="O94" s="146">
        <f>SUMIF('2026 AC'!$B$3:$B$254,"*"&amp;$D94&amp;"*",'2026 AC'!M$3:M$254)</f>
        <v>0</v>
      </c>
      <c r="P94" s="147">
        <f>SUMIF('2026 AC'!$B$3:$B$254,"*"&amp;$D94&amp;"*",'2026 AC'!N$3:N$254)</f>
        <v>0</v>
      </c>
      <c r="Q94" s="148">
        <f t="shared" si="282"/>
        <v>0</v>
      </c>
      <c r="R94" s="147">
        <f t="shared" si="277"/>
        <v>0</v>
      </c>
      <c r="S94" s="147">
        <f t="shared" si="278"/>
        <v>0</v>
      </c>
      <c r="T94" s="147">
        <f t="shared" si="279"/>
        <v>0</v>
      </c>
      <c r="U94" s="147">
        <f t="shared" si="280"/>
        <v>0</v>
      </c>
      <c r="V94" s="148">
        <f t="shared" si="281"/>
        <v>0</v>
      </c>
    </row>
    <row r="95" s="137" customFormat="1" ht="15" customHeight="1">
      <c r="A95" s="137" t="s">
        <v>206</v>
      </c>
      <c r="B95" s="137" t="s">
        <v>207</v>
      </c>
      <c r="C95" s="187" t="s">
        <v>208</v>
      </c>
      <c r="D95" s="139" t="s">
        <v>207</v>
      </c>
      <c r="E95" s="145">
        <f>SUMIF('2026 AC'!$B$3:$B$254,"*"&amp;$D95&amp;"*",'2026 AC'!C$3:C$254)</f>
        <v>0</v>
      </c>
      <c r="F95" s="146">
        <f>SUMIF('2026 AC'!$B$3:$B$254,"*"&amp;$D95&amp;"*",'2026 AC'!D$3:D$254)</f>
        <v>0</v>
      </c>
      <c r="G95" s="146">
        <f>SUMIF('2026 AC'!$B$3:$B$254,"*"&amp;$D95&amp;"*",'2026 AC'!E$3:E$254)</f>
        <v>0</v>
      </c>
      <c r="H95" s="146">
        <f>SUMIF('2026 AC'!$B$3:$B$254,"*"&amp;$D95&amp;"*",'2026 AC'!F$3:F$254)</f>
        <v>0</v>
      </c>
      <c r="I95" s="146">
        <f>SUMIF('2026 AC'!$B$3:$B$254,"*"&amp;$D95&amp;"*",'2026 AC'!G$3:G$254)</f>
        <v>0</v>
      </c>
      <c r="J95" s="146">
        <f>SUMIF('2026 AC'!$B$3:$B$254,"*"&amp;$D95&amp;"*",'2026 AC'!H$3:H$254)</f>
        <v>0</v>
      </c>
      <c r="K95" s="146">
        <f>SUMIF('2026 AC'!$B$3:$B$254,"*"&amp;$D95&amp;"*",'2026 AC'!I$3:I$254)</f>
        <v>0</v>
      </c>
      <c r="L95" s="146">
        <f>SUMIF('2026 AC'!$B$3:$B$254,"*"&amp;$D95&amp;"*",'2026 AC'!J$3:J$254)</f>
        <v>0</v>
      </c>
      <c r="M95" s="146">
        <f>SUMIF('2026 AC'!$B$3:$B$254,"*"&amp;$D95&amp;"*",'2026 AC'!K$3:K$254)</f>
        <v>0</v>
      </c>
      <c r="N95" s="146">
        <f>SUMIF('2026 AC'!$B$3:$B$254,"*"&amp;$D95&amp;"*",'2026 AC'!L$3:L$254)</f>
        <v>0</v>
      </c>
      <c r="O95" s="146">
        <f>SUMIF('2026 AC'!$B$3:$B$254,"*"&amp;$D95&amp;"*",'2026 AC'!M$3:M$254)</f>
        <v>0</v>
      </c>
      <c r="P95" s="147">
        <f>SUMIF('2026 AC'!$B$3:$B$254,"*"&amp;$D95&amp;"*",'2026 AC'!N$3:N$254)</f>
        <v>0</v>
      </c>
      <c r="Q95" s="148">
        <f t="shared" si="282"/>
        <v>0</v>
      </c>
      <c r="R95" s="147">
        <f t="shared" si="277"/>
        <v>0</v>
      </c>
      <c r="S95" s="147">
        <f t="shared" si="278"/>
        <v>0</v>
      </c>
      <c r="T95" s="147">
        <f t="shared" si="279"/>
        <v>0</v>
      </c>
      <c r="U95" s="147">
        <f t="shared" si="280"/>
        <v>0</v>
      </c>
      <c r="V95" s="148">
        <f t="shared" si="281"/>
        <v>0</v>
      </c>
    </row>
    <row r="96" s="137" customFormat="1" ht="15" customHeight="1">
      <c r="A96" s="137" t="s">
        <v>209</v>
      </c>
      <c r="B96" s="137" t="s">
        <v>210</v>
      </c>
      <c r="C96" s="187" t="s">
        <v>211</v>
      </c>
      <c r="D96" s="139" t="s">
        <v>210</v>
      </c>
      <c r="E96" s="145">
        <f>SUMIF('2026 AC'!$B$3:$B$254,"*"&amp;$D96&amp;"*",'2026 AC'!C$3:C$254)</f>
        <v>-40202.099999999999</v>
      </c>
      <c r="F96" s="146">
        <f>SUMIF('2026 AC'!$B$3:$B$254,"*"&amp;$D96&amp;"*",'2026 AC'!D$3:D$254)</f>
        <v>-44444.290000000001</v>
      </c>
      <c r="G96" s="146">
        <f>SUMIF('2026 AC'!$B$3:$B$254,"*"&amp;$D96&amp;"*",'2026 AC'!E$3:E$254)</f>
        <v>-38689.93</v>
      </c>
      <c r="H96" s="146">
        <f>SUMIF('2026 AC'!$B$3:$B$254,"*"&amp;$D96&amp;"*",'2026 AC'!F$3:F$254)</f>
        <v>-39319.489999999998</v>
      </c>
      <c r="I96" s="146">
        <f>SUMIF('2026 AC'!$B$3:$B$254,"*"&amp;$D96&amp;"*",'2026 AC'!G$3:G$254)</f>
        <v>-36922.050000000003</v>
      </c>
      <c r="J96" s="146">
        <f>SUMIF('2026 AC'!$B$3:$B$254,"*"&amp;$D96&amp;"*",'2026 AC'!H$3:H$254)</f>
        <v>-35738.370000000003</v>
      </c>
      <c r="K96" s="146">
        <f>SUMIF('2026 AC'!$B$3:$B$254,"*"&amp;$D96&amp;"*",'2026 AC'!I$3:I$254)</f>
        <v>0</v>
      </c>
      <c r="L96" s="146">
        <f>SUMIF('2026 AC'!$B$3:$B$254,"*"&amp;$D96&amp;"*",'2026 AC'!J$3:J$254)</f>
        <v>0</v>
      </c>
      <c r="M96" s="146">
        <f>SUMIF('2026 AC'!$B$3:$B$254,"*"&amp;$D96&amp;"*",'2026 AC'!K$3:K$254)</f>
        <v>0</v>
      </c>
      <c r="N96" s="146">
        <f>SUMIF('2026 AC'!$B$3:$B$254,"*"&amp;$D96&amp;"*",'2026 AC'!L$3:L$254)</f>
        <v>0</v>
      </c>
      <c r="O96" s="146">
        <f>SUMIF('2026 AC'!$B$3:$B$254,"*"&amp;$D96&amp;"*",'2026 AC'!M$3:M$254)</f>
        <v>0</v>
      </c>
      <c r="P96" s="147">
        <f>SUMIF('2026 AC'!$B$3:$B$254,"*"&amp;$D96&amp;"*",'2026 AC'!N$3:N$254)</f>
        <v>0</v>
      </c>
      <c r="Q96" s="148">
        <f t="shared" si="282"/>
        <v>-235316.22999999998</v>
      </c>
      <c r="R96" s="147">
        <f t="shared" si="277"/>
        <v>-123336.32000000001</v>
      </c>
      <c r="S96" s="147">
        <f t="shared" si="278"/>
        <v>-111979.91</v>
      </c>
      <c r="T96" s="147">
        <f t="shared" si="279"/>
        <v>0</v>
      </c>
      <c r="U96" s="147">
        <f t="shared" si="280"/>
        <v>0</v>
      </c>
      <c r="V96" s="148">
        <f t="shared" si="281"/>
        <v>-235316.23000000001</v>
      </c>
    </row>
    <row r="97" s="137" customFormat="1" ht="15" customHeight="1">
      <c r="A97" s="137" t="s">
        <v>212</v>
      </c>
      <c r="B97" s="137" t="s">
        <v>213</v>
      </c>
      <c r="C97" s="187" t="s">
        <v>214</v>
      </c>
      <c r="D97" s="139" t="s">
        <v>213</v>
      </c>
      <c r="E97" s="145">
        <f>SUMIF('2026 AC'!$B$3:$B$254,"*"&amp;$D97&amp;"*",'2026 AC'!C$3:C$254)</f>
        <v>4589.3000000000002</v>
      </c>
      <c r="F97" s="146">
        <f>SUMIF('2026 AC'!$B$3:$B$254,"*"&amp;$D97&amp;"*",'2026 AC'!D$3:D$254)</f>
        <v>4909.8400000000001</v>
      </c>
      <c r="G97" s="146">
        <f>SUMIF('2026 AC'!$B$3:$B$254,"*"&amp;$D97&amp;"*",'2026 AC'!E$3:E$254)</f>
        <v>4238.0100000000002</v>
      </c>
      <c r="H97" s="146">
        <f>SUMIF('2026 AC'!$B$3:$B$254,"*"&amp;$D97&amp;"*",'2026 AC'!F$3:F$254)</f>
        <v>3901.3200000000002</v>
      </c>
      <c r="I97" s="146">
        <f>SUMIF('2026 AC'!$B$3:$B$254,"*"&amp;$D97&amp;"*",'2026 AC'!G$3:G$254)</f>
        <v>3883.8299999999999</v>
      </c>
      <c r="J97" s="146">
        <f>SUMIF('2026 AC'!$B$3:$B$254,"*"&amp;$D97&amp;"*",'2026 AC'!H$3:H$254)</f>
        <v>5172.21</v>
      </c>
      <c r="K97" s="146">
        <f>SUMIF('2026 AC'!$B$3:$B$254,"*"&amp;$D97&amp;"*",'2026 AC'!I$3:I$254)</f>
        <v>0</v>
      </c>
      <c r="L97" s="146">
        <f>SUMIF('2026 AC'!$B$3:$B$254,"*"&amp;$D97&amp;"*",'2026 AC'!J$3:J$254)</f>
        <v>0</v>
      </c>
      <c r="M97" s="146">
        <f>SUMIF('2026 AC'!$B$3:$B$254,"*"&amp;$D97&amp;"*",'2026 AC'!K$3:K$254)</f>
        <v>0</v>
      </c>
      <c r="N97" s="146">
        <f>SUMIF('2026 AC'!$B$3:$B$254,"*"&amp;$D97&amp;"*",'2026 AC'!L$3:L$254)</f>
        <v>0</v>
      </c>
      <c r="O97" s="146">
        <f>SUMIF('2026 AC'!$B$3:$B$254,"*"&amp;$D97&amp;"*",'2026 AC'!M$3:M$254)</f>
        <v>0</v>
      </c>
      <c r="P97" s="147">
        <f>SUMIF('2026 AC'!$B$3:$B$254,"*"&amp;$D97&amp;"*",'2026 AC'!N$3:N$254)</f>
        <v>0</v>
      </c>
      <c r="Q97" s="148">
        <f t="shared" si="282"/>
        <v>26694.510000000002</v>
      </c>
      <c r="R97" s="147">
        <f t="shared" si="277"/>
        <v>13737.15</v>
      </c>
      <c r="S97" s="147">
        <f t="shared" si="278"/>
        <v>12957.360000000001</v>
      </c>
      <c r="T97" s="147">
        <f t="shared" si="279"/>
        <v>0</v>
      </c>
      <c r="U97" s="147">
        <f t="shared" si="280"/>
        <v>0</v>
      </c>
      <c r="V97" s="148">
        <f t="shared" si="281"/>
        <v>26694.510000000002</v>
      </c>
    </row>
    <row r="98" ht="15" customHeight="1" outlineLevel="1">
      <c r="A98" t="s">
        <v>215</v>
      </c>
      <c r="B98" t="s">
        <v>216</v>
      </c>
      <c r="C98" s="34" t="s">
        <v>217</v>
      </c>
      <c r="D98" s="35" t="s">
        <v>216</v>
      </c>
      <c r="E98" s="63">
        <f>SUMIF('2026 AC'!$B$3:$B$254,"*"&amp;$D98&amp;"*",'2026 AC'!C$3:C$254)</f>
        <v>4370.5500000000002</v>
      </c>
      <c r="F98" s="53">
        <f>SUMIF('2026 AC'!$B$3:$B$254,"*"&amp;$D98&amp;"*",'2026 AC'!D$3:D$254)</f>
        <v>4834.21</v>
      </c>
      <c r="G98" s="53">
        <f>SUMIF('2026 AC'!$B$3:$B$254,"*"&amp;$D98&amp;"*",'2026 AC'!E$3:E$254)</f>
        <v>3915.98</v>
      </c>
      <c r="H98" s="53">
        <f>SUMIF('2026 AC'!$B$3:$B$254,"*"&amp;$D98&amp;"*",'2026 AC'!F$3:F$254)</f>
        <v>3820.4000000000001</v>
      </c>
      <c r="I98" s="53">
        <f>SUMIF('2026 AC'!$B$3:$B$254,"*"&amp;$D98&amp;"*",'2026 AC'!G$3:G$254)</f>
        <v>3862.46</v>
      </c>
      <c r="J98" s="53">
        <f>SUMIF('2026 AC'!$B$3:$B$254,"*"&amp;$D98&amp;"*",'2026 AC'!H$3:H$254)</f>
        <v>5147.7399999999998</v>
      </c>
      <c r="K98" s="53">
        <f>SUMIF('2026 AC'!$B$3:$B$254,"*"&amp;$D98&amp;"*",'2026 AC'!I$3:I$254)</f>
        <v>0</v>
      </c>
      <c r="L98" s="53">
        <f>SUMIF('2026 AC'!$B$3:$B$254,"*"&amp;$D98&amp;"*",'2026 AC'!J$3:J$254)</f>
        <v>0</v>
      </c>
      <c r="M98" s="53">
        <f>SUMIF('2026 AC'!$B$3:$B$254,"*"&amp;$D98&amp;"*",'2026 AC'!K$3:K$254)</f>
        <v>0</v>
      </c>
      <c r="N98" s="53">
        <f>SUMIF('2026 AC'!$B$3:$B$254,"*"&amp;$D98&amp;"*",'2026 AC'!L$3:L$254)</f>
        <v>0</v>
      </c>
      <c r="O98" s="53">
        <f>SUMIF('2026 AC'!$B$3:$B$254,"*"&amp;$D98&amp;"*",'2026 AC'!M$3:M$254)</f>
        <v>0</v>
      </c>
      <c r="P98" s="93">
        <f>SUMIF('2026 AC'!$B$3:$B$254,"*"&amp;$D98&amp;"*",'2026 AC'!N$3:N$254)</f>
        <v>0</v>
      </c>
      <c r="Q98" s="92">
        <f t="shared" si="282"/>
        <v>25951.339999999997</v>
      </c>
      <c r="R98" s="93">
        <f t="shared" si="277"/>
        <v>13120.74</v>
      </c>
      <c r="S98" s="93">
        <f t="shared" si="278"/>
        <v>12830.6</v>
      </c>
      <c r="T98" s="93">
        <f t="shared" si="279"/>
        <v>0</v>
      </c>
      <c r="U98" s="93">
        <f t="shared" si="280"/>
        <v>0</v>
      </c>
      <c r="V98" s="92">
        <f t="shared" si="281"/>
        <v>25951.34</v>
      </c>
    </row>
    <row r="99" ht="15" customHeight="1" outlineLevel="1">
      <c r="A99" t="s">
        <v>218</v>
      </c>
      <c r="B99" t="s">
        <v>219</v>
      </c>
      <c r="C99" s="34" t="s">
        <v>220</v>
      </c>
      <c r="D99" s="35" t="s">
        <v>219</v>
      </c>
      <c r="E99" s="63">
        <f>SUMIF('2026 AC'!$B$3:$B$254,"*"&amp;$D99&amp;"*",'2026 AC'!C$3:C$254)</f>
        <v>209.13</v>
      </c>
      <c r="F99" s="53">
        <f>SUMIF('2026 AC'!$B$3:$B$254,"*"&amp;$D99&amp;"*",'2026 AC'!D$3:D$254)</f>
        <v>64.75</v>
      </c>
      <c r="G99" s="53">
        <f>SUMIF('2026 AC'!$B$3:$B$254,"*"&amp;$D99&amp;"*",'2026 AC'!E$3:E$254)</f>
        <v>299.56</v>
      </c>
      <c r="H99" s="53">
        <f>SUMIF('2026 AC'!$B$3:$B$254,"*"&amp;$D99&amp;"*",'2026 AC'!F$3:F$254)</f>
        <v>65.069999999999993</v>
      </c>
      <c r="I99" s="53">
        <f>SUMIF('2026 AC'!$B$3:$B$254,"*"&amp;$D99&amp;"*",'2026 AC'!G$3:G$254)</f>
        <v>14</v>
      </c>
      <c r="J99" s="53">
        <f>SUMIF('2026 AC'!$B$3:$B$254,"*"&amp;$D99&amp;"*",'2026 AC'!H$3:H$254)</f>
        <v>7</v>
      </c>
      <c r="K99" s="53">
        <f>SUMIF('2026 AC'!$B$3:$B$254,"*"&amp;$D99&amp;"*",'2026 AC'!I$3:I$254)</f>
        <v>0</v>
      </c>
      <c r="L99" s="53">
        <f>SUMIF('2026 AC'!$B$3:$B$254,"*"&amp;$D99&amp;"*",'2026 AC'!J$3:J$254)</f>
        <v>0</v>
      </c>
      <c r="M99" s="53">
        <f>SUMIF('2026 AC'!$B$3:$B$254,"*"&amp;$D99&amp;"*",'2026 AC'!K$3:K$254)</f>
        <v>0</v>
      </c>
      <c r="N99" s="53">
        <f>SUMIF('2026 AC'!$B$3:$B$254,"*"&amp;$D99&amp;"*",'2026 AC'!L$3:L$254)</f>
        <v>0</v>
      </c>
      <c r="O99" s="53">
        <f>SUMIF('2026 AC'!$B$3:$B$254,"*"&amp;$D99&amp;"*",'2026 AC'!M$3:M$254)</f>
        <v>0</v>
      </c>
      <c r="P99" s="93">
        <f>SUMIF('2026 AC'!$B$3:$B$254,"*"&amp;$D99&amp;"*",'2026 AC'!N$3:N$254)</f>
        <v>0</v>
      </c>
      <c r="Q99" s="92">
        <f t="shared" si="282"/>
        <v>659.50999999999999</v>
      </c>
      <c r="R99" s="93">
        <f t="shared" si="277"/>
        <v>573.44000000000005</v>
      </c>
      <c r="S99" s="93">
        <f t="shared" si="278"/>
        <v>86.069999999999993</v>
      </c>
      <c r="T99" s="93">
        <f t="shared" si="279"/>
        <v>0</v>
      </c>
      <c r="U99" s="93">
        <f t="shared" si="280"/>
        <v>0</v>
      </c>
      <c r="V99" s="92">
        <f t="shared" si="281"/>
        <v>659.50999999999999</v>
      </c>
    </row>
    <row r="100" ht="15" customHeight="1" outlineLevel="1">
      <c r="A100" t="s">
        <v>221</v>
      </c>
      <c r="B100" t="s">
        <v>222</v>
      </c>
      <c r="C100" s="34" t="s">
        <v>223</v>
      </c>
      <c r="D100" s="35" t="s">
        <v>222</v>
      </c>
      <c r="E100" s="63">
        <f>SUMIF('2026 AC'!$B$3:$B$254,"*"&amp;$D100&amp;"*",'2026 AC'!C$3:C$254)</f>
        <v>9.6199999999999992</v>
      </c>
      <c r="F100" s="53">
        <f>SUMIF('2026 AC'!$B$3:$B$254,"*"&amp;$D100&amp;"*",'2026 AC'!D$3:D$254)</f>
        <v>10.880000000000001</v>
      </c>
      <c r="G100" s="53">
        <f>SUMIF('2026 AC'!$B$3:$B$254,"*"&amp;$D100&amp;"*",'2026 AC'!E$3:E$254)</f>
        <v>22.469999999999999</v>
      </c>
      <c r="H100" s="53">
        <f>SUMIF('2026 AC'!$B$3:$B$254,"*"&amp;$D100&amp;"*",'2026 AC'!F$3:F$254)</f>
        <v>15.85</v>
      </c>
      <c r="I100" s="53">
        <f>SUMIF('2026 AC'!$B$3:$B$254,"*"&amp;$D100&amp;"*",'2026 AC'!G$3:G$254)</f>
        <v>7.3700000000000001</v>
      </c>
      <c r="J100" s="53">
        <f>SUMIF('2026 AC'!$B$3:$B$254,"*"&amp;$D100&amp;"*",'2026 AC'!H$3:H$254)</f>
        <v>17.469999999999999</v>
      </c>
      <c r="K100" s="53">
        <f>SUMIF('2026 AC'!$B$3:$B$254,"*"&amp;$D100&amp;"*",'2026 AC'!I$3:I$254)</f>
        <v>0</v>
      </c>
      <c r="L100" s="53">
        <f>SUMIF('2026 AC'!$B$3:$B$254,"*"&amp;$D100&amp;"*",'2026 AC'!J$3:J$254)</f>
        <v>0</v>
      </c>
      <c r="M100" s="53">
        <f>SUMIF('2026 AC'!$B$3:$B$254,"*"&amp;$D100&amp;"*",'2026 AC'!K$3:K$254)</f>
        <v>0</v>
      </c>
      <c r="N100" s="53">
        <f>SUMIF('2026 AC'!$B$3:$B$254,"*"&amp;$D100&amp;"*",'2026 AC'!L$3:L$254)</f>
        <v>0</v>
      </c>
      <c r="O100" s="53">
        <f>SUMIF('2026 AC'!$B$3:$B$254,"*"&amp;$D100&amp;"*",'2026 AC'!M$3:M$254)</f>
        <v>0</v>
      </c>
      <c r="P100" s="93">
        <f>SUMIF('2026 AC'!$B$3:$B$254,"*"&amp;$D100&amp;"*",'2026 AC'!N$3:N$254)</f>
        <v>0</v>
      </c>
      <c r="Q100" s="92">
        <f t="shared" si="282"/>
        <v>83.659999999999997</v>
      </c>
      <c r="R100" s="93">
        <f t="shared" si="277"/>
        <v>42.969999999999999</v>
      </c>
      <c r="S100" s="93">
        <f t="shared" si="278"/>
        <v>40.689999999999998</v>
      </c>
      <c r="T100" s="93">
        <f t="shared" si="279"/>
        <v>0</v>
      </c>
      <c r="U100" s="93">
        <f t="shared" si="280"/>
        <v>0</v>
      </c>
      <c r="V100" s="92">
        <f t="shared" si="281"/>
        <v>83.659999999999997</v>
      </c>
    </row>
    <row r="101" ht="15" customHeight="1" outlineLevel="1">
      <c r="A101" t="s">
        <v>224</v>
      </c>
      <c r="B101" t="s">
        <v>225</v>
      </c>
      <c r="C101" s="34" t="s">
        <v>226</v>
      </c>
      <c r="D101" s="35" t="s">
        <v>225</v>
      </c>
      <c r="E101" s="63">
        <f>SUMIF('2026 AC'!$B$3:$B$254,"*"&amp;$D101&amp;"*",'2026 AC'!C$3:C$254)</f>
        <v>0</v>
      </c>
      <c r="F101" s="53">
        <f>SUMIF('2026 AC'!$B$3:$B$254,"*"&amp;$D101&amp;"*",'2026 AC'!D$3:D$254)</f>
        <v>0</v>
      </c>
      <c r="G101" s="53">
        <f>SUMIF('2026 AC'!$B$3:$B$254,"*"&amp;$D101&amp;"*",'2026 AC'!E$3:E$254)</f>
        <v>0</v>
      </c>
      <c r="H101" s="53">
        <f>SUMIF('2026 AC'!$B$3:$B$254,"*"&amp;$D101&amp;"*",'2026 AC'!F$3:F$254)</f>
        <v>0</v>
      </c>
      <c r="I101" s="53">
        <f>SUMIF('2026 AC'!$B$3:$B$254,"*"&amp;$D101&amp;"*",'2026 AC'!G$3:G$254)</f>
        <v>0</v>
      </c>
      <c r="J101" s="53">
        <f>SUMIF('2026 AC'!$B$3:$B$254,"*"&amp;$D101&amp;"*",'2026 AC'!H$3:H$254)</f>
        <v>0</v>
      </c>
      <c r="K101" s="53">
        <f>SUMIF('2026 AC'!$B$3:$B$254,"*"&amp;$D101&amp;"*",'2026 AC'!I$3:I$254)</f>
        <v>0</v>
      </c>
      <c r="L101" s="53">
        <f>SUMIF('2026 AC'!$B$3:$B$254,"*"&amp;$D101&amp;"*",'2026 AC'!J$3:J$254)</f>
        <v>0</v>
      </c>
      <c r="M101" s="53">
        <f>SUMIF('2026 AC'!$B$3:$B$254,"*"&amp;$D101&amp;"*",'2026 AC'!K$3:K$254)</f>
        <v>0</v>
      </c>
      <c r="N101" s="53">
        <f>SUMIF('2026 AC'!$B$3:$B$254,"*"&amp;$D101&amp;"*",'2026 AC'!L$3:L$254)</f>
        <v>0</v>
      </c>
      <c r="O101" s="53">
        <f>SUMIF('2026 AC'!$B$3:$B$254,"*"&amp;$D101&amp;"*",'2026 AC'!M$3:M$254)</f>
        <v>0</v>
      </c>
      <c r="P101" s="93">
        <f>SUMIF('2026 AC'!$B$3:$B$254,"*"&amp;$D101&amp;"*",'2026 AC'!N$3:N$254)</f>
        <v>0</v>
      </c>
      <c r="Q101" s="92">
        <f t="shared" si="282"/>
        <v>0</v>
      </c>
      <c r="R101" s="93">
        <f t="shared" si="277"/>
        <v>0</v>
      </c>
      <c r="S101" s="93">
        <f t="shared" si="278"/>
        <v>0</v>
      </c>
      <c r="T101" s="93">
        <f t="shared" si="279"/>
        <v>0</v>
      </c>
      <c r="U101" s="93">
        <f t="shared" si="280"/>
        <v>0</v>
      </c>
      <c r="V101" s="92">
        <f t="shared" si="281"/>
        <v>0</v>
      </c>
    </row>
    <row r="102" ht="15" customHeight="1" outlineLevel="1">
      <c r="A102" t="s">
        <v>227</v>
      </c>
      <c r="B102" t="s">
        <v>228</v>
      </c>
      <c r="C102" s="34" t="s">
        <v>229</v>
      </c>
      <c r="D102" s="35" t="s">
        <v>228</v>
      </c>
      <c r="E102" s="63">
        <f>SUMIF('2026 AC'!$B$3:$B$254,"*"&amp;$D102&amp;"*",'2026 AC'!C$3:C$254)</f>
        <v>0</v>
      </c>
      <c r="F102" s="53">
        <f>SUMIF('2026 AC'!$B$3:$B$254,"*"&amp;$D102&amp;"*",'2026 AC'!D$3:D$254)</f>
        <v>0</v>
      </c>
      <c r="G102" s="53">
        <f>SUMIF('2026 AC'!$B$3:$B$254,"*"&amp;$D102&amp;"*",'2026 AC'!E$3:E$254)</f>
        <v>0</v>
      </c>
      <c r="H102" s="53">
        <f>SUMIF('2026 AC'!$B$3:$B$254,"*"&amp;$D102&amp;"*",'2026 AC'!F$3:F$254)</f>
        <v>0</v>
      </c>
      <c r="I102" s="53">
        <f>SUMIF('2026 AC'!$B$3:$B$254,"*"&amp;$D102&amp;"*",'2026 AC'!G$3:G$254)</f>
        <v>0</v>
      </c>
      <c r="J102" s="53">
        <f>SUMIF('2026 AC'!$B$3:$B$254,"*"&amp;$D102&amp;"*",'2026 AC'!H$3:H$254)</f>
        <v>0</v>
      </c>
      <c r="K102" s="53">
        <f>SUMIF('2026 AC'!$B$3:$B$254,"*"&amp;$D102&amp;"*",'2026 AC'!I$3:I$254)</f>
        <v>0</v>
      </c>
      <c r="L102" s="53">
        <f>SUMIF('2026 AC'!$B$3:$B$254,"*"&amp;$D102&amp;"*",'2026 AC'!J$3:J$254)</f>
        <v>0</v>
      </c>
      <c r="M102" s="53">
        <f>SUMIF('2026 AC'!$B$3:$B$254,"*"&amp;$D102&amp;"*",'2026 AC'!K$3:K$254)</f>
        <v>0</v>
      </c>
      <c r="N102" s="53">
        <f>SUMIF('2026 AC'!$B$3:$B$254,"*"&amp;$D102&amp;"*",'2026 AC'!L$3:L$254)</f>
        <v>0</v>
      </c>
      <c r="O102" s="53">
        <f>SUMIF('2026 AC'!$B$3:$B$254,"*"&amp;$D102&amp;"*",'2026 AC'!M$3:M$254)</f>
        <v>0</v>
      </c>
      <c r="P102" s="93">
        <f>SUMIF('2026 AC'!$B$3:$B$254,"*"&amp;$D102&amp;"*",'2026 AC'!N$3:N$254)</f>
        <v>0</v>
      </c>
      <c r="Q102" s="92">
        <f t="shared" si="282"/>
        <v>0</v>
      </c>
      <c r="R102" s="93">
        <f t="shared" si="277"/>
        <v>0</v>
      </c>
      <c r="S102" s="93">
        <f t="shared" si="278"/>
        <v>0</v>
      </c>
      <c r="T102" s="93">
        <f t="shared" si="279"/>
        <v>0</v>
      </c>
      <c r="U102" s="93">
        <f t="shared" si="280"/>
        <v>0</v>
      </c>
      <c r="V102" s="92">
        <f t="shared" si="281"/>
        <v>0</v>
      </c>
    </row>
    <row r="103" s="137" customFormat="1" ht="15" customHeight="1">
      <c r="A103" s="137" t="s">
        <v>230</v>
      </c>
      <c r="B103" s="137" t="s">
        <v>231</v>
      </c>
      <c r="C103" s="187" t="s">
        <v>232</v>
      </c>
      <c r="D103" s="139" t="s">
        <v>231</v>
      </c>
      <c r="E103" s="145">
        <f>SUMIF('2026 AC'!$B$3:$B$254,"*"&amp;$D103&amp;"*",'2026 AC'!C$3:C$254)</f>
        <v>36111.160000000003</v>
      </c>
      <c r="F103" s="146">
        <f>SUMIF('2026 AC'!$B$3:$B$254,"*"&amp;$D103&amp;"*",'2026 AC'!D$3:D$254)</f>
        <v>11241.18</v>
      </c>
      <c r="G103" s="146">
        <f>SUMIF('2026 AC'!$B$3:$B$254,"*"&amp;$D103&amp;"*",'2026 AC'!E$3:E$254)</f>
        <v>8667.7099999999991</v>
      </c>
      <c r="H103" s="146">
        <f>SUMIF('2026 AC'!$B$3:$B$254,"*"&amp;$D103&amp;"*",'2026 AC'!F$3:F$254)</f>
        <v>9895.1499999999996</v>
      </c>
      <c r="I103" s="146">
        <f>SUMIF('2026 AC'!$B$3:$B$254,"*"&amp;$D103&amp;"*",'2026 AC'!G$3:G$254)</f>
        <v>16125.719999999999</v>
      </c>
      <c r="J103" s="146">
        <f>SUMIF('2026 AC'!$B$3:$B$254,"*"&amp;$D103&amp;"*",'2026 AC'!H$3:H$254)</f>
        <v>11908.780000000001</v>
      </c>
      <c r="K103" s="146">
        <f>SUMIF('2026 AC'!$B$3:$B$254,"*"&amp;$D103&amp;"*",'2026 AC'!I$3:I$254)</f>
        <v>0</v>
      </c>
      <c r="L103" s="146">
        <f>SUMIF('2026 AC'!$B$3:$B$254,"*"&amp;$D103&amp;"*",'2026 AC'!J$3:J$254)</f>
        <v>0</v>
      </c>
      <c r="M103" s="146">
        <f>SUMIF('2026 AC'!$B$3:$B$254,"*"&amp;$D103&amp;"*",'2026 AC'!K$3:K$254)</f>
        <v>0</v>
      </c>
      <c r="N103" s="146">
        <f>SUMIF('2026 AC'!$B$3:$B$254,"*"&amp;$D103&amp;"*",'2026 AC'!L$3:L$254)</f>
        <v>0</v>
      </c>
      <c r="O103" s="146">
        <f>SUMIF('2026 AC'!$B$3:$B$254,"*"&amp;$D103&amp;"*",'2026 AC'!M$3:M$254)</f>
        <v>0</v>
      </c>
      <c r="P103" s="147">
        <f>SUMIF('2026 AC'!$B$3:$B$254,"*"&amp;$D103&amp;"*",'2026 AC'!N$3:N$254)</f>
        <v>0</v>
      </c>
      <c r="Q103" s="148">
        <f t="shared" si="282"/>
        <v>93949.699999999997</v>
      </c>
      <c r="R103" s="147">
        <f t="shared" si="277"/>
        <v>56020.050000000003</v>
      </c>
      <c r="S103" s="147">
        <f t="shared" si="278"/>
        <v>37929.650000000001</v>
      </c>
      <c r="T103" s="147">
        <f t="shared" si="279"/>
        <v>0</v>
      </c>
      <c r="U103" s="147">
        <f t="shared" si="280"/>
        <v>0</v>
      </c>
      <c r="V103" s="148">
        <f t="shared" si="281"/>
        <v>93949.700000000012</v>
      </c>
    </row>
    <row r="104" ht="14.65" customHeight="1" outlineLevel="1">
      <c r="A104" t="s">
        <v>233</v>
      </c>
      <c r="B104" t="s">
        <v>234</v>
      </c>
      <c r="C104" s="34" t="s">
        <v>235</v>
      </c>
      <c r="D104" s="35" t="s">
        <v>234</v>
      </c>
      <c r="E104" s="63">
        <f>SUMIF('2026 AC'!$B$3:$B$254,"*"&amp;$D104&amp;"*",'2026 AC'!C$3:C$254)</f>
        <v>36111.160000000003</v>
      </c>
      <c r="F104" s="53">
        <f>SUMIF('2026 AC'!$B$3:$B$254,"*"&amp;$D104&amp;"*",'2026 AC'!D$3:D$254)</f>
        <v>11241.18</v>
      </c>
      <c r="G104" s="53">
        <f>SUMIF('2026 AC'!$B$3:$B$254,"*"&amp;$D104&amp;"*",'2026 AC'!E$3:E$254)</f>
        <v>8667.7099999999991</v>
      </c>
      <c r="H104" s="53">
        <f>SUMIF('2026 AC'!$B$3:$B$254,"*"&amp;$D104&amp;"*",'2026 AC'!F$3:F$254)</f>
        <v>9638.3500000000004</v>
      </c>
      <c r="I104" s="53">
        <f>SUMIF('2026 AC'!$B$3:$B$254,"*"&amp;$D104&amp;"*",'2026 AC'!G$3:G$254)</f>
        <v>16125.719999999999</v>
      </c>
      <c r="J104" s="53">
        <f>SUMIF('2026 AC'!$B$3:$B$254,"*"&amp;$D104&amp;"*",'2026 AC'!H$3:H$254)</f>
        <v>11908.780000000001</v>
      </c>
      <c r="K104" s="53">
        <f>SUMIF('2026 AC'!$B$3:$B$254,"*"&amp;$D104&amp;"*",'2026 AC'!I$3:I$254)</f>
        <v>0</v>
      </c>
      <c r="L104" s="53">
        <f>SUMIF('2026 AC'!$B$3:$B$254,"*"&amp;$D104&amp;"*",'2026 AC'!J$3:J$254)</f>
        <v>0</v>
      </c>
      <c r="M104" s="53">
        <f>SUMIF('2026 AC'!$B$3:$B$254,"*"&amp;$D104&amp;"*",'2026 AC'!K$3:K$254)</f>
        <v>0</v>
      </c>
      <c r="N104" s="53">
        <f>SUMIF('2026 AC'!$B$3:$B$254,"*"&amp;$D104&amp;"*",'2026 AC'!L$3:L$254)</f>
        <v>0</v>
      </c>
      <c r="O104" s="53">
        <f>SUMIF('2026 AC'!$B$3:$B$254,"*"&amp;$D104&amp;"*",'2026 AC'!M$3:M$254)</f>
        <v>0</v>
      </c>
      <c r="P104" s="93">
        <f>SUMIF('2026 AC'!$B$3:$B$254,"*"&amp;$D104&amp;"*",'2026 AC'!N$3:N$254)</f>
        <v>0</v>
      </c>
      <c r="Q104" s="92">
        <f t="shared" si="282"/>
        <v>93692.900000000009</v>
      </c>
      <c r="R104" s="93">
        <f t="shared" si="277"/>
        <v>56020.050000000003</v>
      </c>
      <c r="S104" s="93">
        <f t="shared" si="278"/>
        <v>37672.849999999999</v>
      </c>
      <c r="T104" s="93">
        <f t="shared" si="279"/>
        <v>0</v>
      </c>
      <c r="U104" s="93">
        <f t="shared" si="280"/>
        <v>0</v>
      </c>
      <c r="V104" s="92">
        <f t="shared" si="281"/>
        <v>93692.899999999994</v>
      </c>
    </row>
    <row r="105" ht="15" customHeight="1" outlineLevel="1">
      <c r="A105" t="s">
        <v>236</v>
      </c>
      <c r="B105" t="s">
        <v>237</v>
      </c>
      <c r="C105" s="34" t="s">
        <v>238</v>
      </c>
      <c r="D105" s="35" t="s">
        <v>237</v>
      </c>
      <c r="E105" s="63">
        <f>SUMIF('2026 AC'!$B$3:$B$254,"*"&amp;$D105&amp;"*",'2026 AC'!C$3:C$254)</f>
        <v>0</v>
      </c>
      <c r="F105" s="53">
        <f>SUMIF('2026 AC'!$B$3:$B$254,"*"&amp;$D105&amp;"*",'2026 AC'!D$3:D$254)</f>
        <v>0</v>
      </c>
      <c r="G105" s="53">
        <f>SUMIF('2026 AC'!$B$3:$B$254,"*"&amp;$D105&amp;"*",'2026 AC'!E$3:E$254)</f>
        <v>0</v>
      </c>
      <c r="H105" s="53">
        <f>SUMIF('2026 AC'!$B$3:$B$254,"*"&amp;$D105&amp;"*",'2026 AC'!F$3:F$254)</f>
        <v>0</v>
      </c>
      <c r="I105" s="53">
        <f>SUMIF('2026 AC'!$B$3:$B$254,"*"&amp;$D105&amp;"*",'2026 AC'!G$3:G$254)</f>
        <v>0</v>
      </c>
      <c r="J105" s="53">
        <f>SUMIF('2026 AC'!$B$3:$B$254,"*"&amp;$D105&amp;"*",'2026 AC'!H$3:H$254)</f>
        <v>0</v>
      </c>
      <c r="K105" s="53">
        <f>SUMIF('2026 AC'!$B$3:$B$254,"*"&amp;$D105&amp;"*",'2026 AC'!I$3:I$254)</f>
        <v>0</v>
      </c>
      <c r="L105" s="53">
        <f>SUMIF('2026 AC'!$B$3:$B$254,"*"&amp;$D105&amp;"*",'2026 AC'!J$3:J$254)</f>
        <v>0</v>
      </c>
      <c r="M105" s="53">
        <f>SUMIF('2026 AC'!$B$3:$B$254,"*"&amp;$D105&amp;"*",'2026 AC'!K$3:K$254)</f>
        <v>0</v>
      </c>
      <c r="N105" s="53">
        <f>SUMIF('2026 AC'!$B$3:$B$254,"*"&amp;$D105&amp;"*",'2026 AC'!L$3:L$254)</f>
        <v>0</v>
      </c>
      <c r="O105" s="53">
        <f>SUMIF('2026 AC'!$B$3:$B$254,"*"&amp;$D105&amp;"*",'2026 AC'!M$3:M$254)</f>
        <v>0</v>
      </c>
      <c r="P105" s="93">
        <f>SUMIF('2026 AC'!$B$3:$B$254,"*"&amp;$D105&amp;"*",'2026 AC'!N$3:N$254)</f>
        <v>0</v>
      </c>
      <c r="Q105" s="92">
        <f t="shared" si="282"/>
        <v>0</v>
      </c>
      <c r="R105" s="93">
        <f t="shared" si="277"/>
        <v>0</v>
      </c>
      <c r="S105" s="93">
        <f t="shared" si="278"/>
        <v>0</v>
      </c>
      <c r="T105" s="93">
        <f t="shared" si="279"/>
        <v>0</v>
      </c>
      <c r="U105" s="93">
        <f t="shared" si="280"/>
        <v>0</v>
      </c>
      <c r="V105" s="92">
        <f t="shared" si="281"/>
        <v>0</v>
      </c>
    </row>
    <row r="106" ht="15" customHeight="1" outlineLevel="1">
      <c r="A106" t="s">
        <v>239</v>
      </c>
      <c r="B106" t="s">
        <v>240</v>
      </c>
      <c r="C106" s="34" t="s">
        <v>241</v>
      </c>
      <c r="D106" s="35" t="s">
        <v>240</v>
      </c>
      <c r="E106" s="63">
        <f>SUMIF('2026 AC'!$B$3:$B$254,"*"&amp;$D106&amp;"*",'2026 AC'!C$3:C$254)</f>
        <v>0</v>
      </c>
      <c r="F106" s="53">
        <f>SUMIF('2026 AC'!$B$3:$B$254,"*"&amp;$D106&amp;"*",'2026 AC'!D$3:D$254)</f>
        <v>0</v>
      </c>
      <c r="G106" s="53">
        <f>SUMIF('2026 AC'!$B$3:$B$254,"*"&amp;$D106&amp;"*",'2026 AC'!E$3:E$254)</f>
        <v>0</v>
      </c>
      <c r="H106" s="53">
        <f>SUMIF('2026 AC'!$B$3:$B$254,"*"&amp;$D106&amp;"*",'2026 AC'!F$3:F$254)</f>
        <v>256.80000000000001</v>
      </c>
      <c r="I106" s="53">
        <f>SUMIF('2026 AC'!$B$3:$B$254,"*"&amp;$D106&amp;"*",'2026 AC'!G$3:G$254)</f>
        <v>0</v>
      </c>
      <c r="J106" s="53">
        <f>SUMIF('2026 AC'!$B$3:$B$254,"*"&amp;$D106&amp;"*",'2026 AC'!H$3:H$254)</f>
        <v>0</v>
      </c>
      <c r="K106" s="53">
        <f>SUMIF('2026 AC'!$B$3:$B$254,"*"&amp;$D106&amp;"*",'2026 AC'!I$3:I$254)</f>
        <v>0</v>
      </c>
      <c r="L106" s="53">
        <f>SUMIF('2026 AC'!$B$3:$B$254,"*"&amp;$D106&amp;"*",'2026 AC'!J$3:J$254)</f>
        <v>0</v>
      </c>
      <c r="M106" s="53">
        <f>SUMIF('2026 AC'!$B$3:$B$254,"*"&amp;$D106&amp;"*",'2026 AC'!K$3:K$254)</f>
        <v>0</v>
      </c>
      <c r="N106" s="53">
        <f>SUMIF('2026 AC'!$B$3:$B$254,"*"&amp;$D106&amp;"*",'2026 AC'!L$3:L$254)</f>
        <v>0</v>
      </c>
      <c r="O106" s="53">
        <f>SUMIF('2026 AC'!$B$3:$B$254,"*"&amp;$D106&amp;"*",'2026 AC'!M$3:M$254)</f>
        <v>0</v>
      </c>
      <c r="P106" s="93">
        <f>SUMIF('2026 AC'!$B$3:$B$254,"*"&amp;$D106&amp;"*",'2026 AC'!N$3:N$254)</f>
        <v>0</v>
      </c>
      <c r="Q106" s="92">
        <f t="shared" si="282"/>
        <v>256.80000000000001</v>
      </c>
      <c r="R106" s="93">
        <f t="shared" si="277"/>
        <v>0</v>
      </c>
      <c r="S106" s="93">
        <f t="shared" si="278"/>
        <v>256.80000000000001</v>
      </c>
      <c r="T106" s="93">
        <f t="shared" si="279"/>
        <v>0</v>
      </c>
      <c r="U106" s="93">
        <f t="shared" si="280"/>
        <v>0</v>
      </c>
      <c r="V106" s="92">
        <f t="shared" si="281"/>
        <v>256.80000000000001</v>
      </c>
    </row>
    <row r="107" ht="15" customHeight="1">
      <c r="C107" s="34"/>
      <c r="D107" s="35"/>
      <c r="E107" s="6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93"/>
      <c r="Q107" s="92"/>
      <c r="R107" s="93">
        <f t="shared" si="277"/>
        <v>0</v>
      </c>
      <c r="S107" s="93">
        <f t="shared" si="278"/>
        <v>0</v>
      </c>
      <c r="T107" s="93">
        <f t="shared" si="279"/>
        <v>0</v>
      </c>
      <c r="U107" s="93">
        <f t="shared" si="280"/>
        <v>0</v>
      </c>
      <c r="V107" s="92">
        <f t="shared" si="281"/>
        <v>0</v>
      </c>
    </row>
    <row r="108" s="125" customFormat="1" ht="15" customHeight="1">
      <c r="A108" s="174"/>
      <c r="C108" s="126" t="s">
        <v>242</v>
      </c>
      <c r="D108" s="127"/>
      <c r="E108" s="180">
        <f>E74+E75+E82+E92+E94+E95+E96+E97+E103</f>
        <v>132952.79999999999</v>
      </c>
      <c r="F108" s="181">
        <f t="shared" ref="F108:P108" si="283">F74+F75+F82+F92+F94+F95+F96+F97+F103</f>
        <v>103682.11999999997</v>
      </c>
      <c r="G108" s="181">
        <f t="shared" si="283"/>
        <v>110028.45999999999</v>
      </c>
      <c r="H108" s="181">
        <f t="shared" si="283"/>
        <v>79680.649999999994</v>
      </c>
      <c r="I108" s="181">
        <f t="shared" si="283"/>
        <v>84205.319999999992</v>
      </c>
      <c r="J108" s="181">
        <f t="shared" si="283"/>
        <v>90269.070000000022</v>
      </c>
      <c r="K108" s="181">
        <f t="shared" si="283"/>
        <v>0</v>
      </c>
      <c r="L108" s="181">
        <f t="shared" si="283"/>
        <v>0</v>
      </c>
      <c r="M108" s="181">
        <f t="shared" si="283"/>
        <v>0</v>
      </c>
      <c r="N108" s="181">
        <f t="shared" si="283"/>
        <v>0</v>
      </c>
      <c r="O108" s="181">
        <f t="shared" si="283"/>
        <v>0</v>
      </c>
      <c r="P108" s="182">
        <f t="shared" si="283"/>
        <v>0</v>
      </c>
      <c r="Q108" s="183">
        <f t="shared" si="282"/>
        <v>600818.41999999993</v>
      </c>
      <c r="R108" s="182">
        <f t="shared" si="277"/>
        <v>346663.37999999995</v>
      </c>
      <c r="S108" s="182">
        <f t="shared" si="278"/>
        <v>254155.03999999998</v>
      </c>
      <c r="T108" s="182">
        <f t="shared" si="279"/>
        <v>0</v>
      </c>
      <c r="U108" s="182">
        <f t="shared" si="280"/>
        <v>0</v>
      </c>
      <c r="V108" s="183">
        <f t="shared" si="281"/>
        <v>600818.41999999993</v>
      </c>
    </row>
    <row r="109" ht="15" customHeight="1">
      <c r="A109" s="185"/>
      <c r="C109" s="136"/>
      <c r="D109" s="35"/>
      <c r="E109" s="168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70"/>
      <c r="Q109" s="171"/>
      <c r="R109" s="170">
        <f t="shared" si="277"/>
        <v>0</v>
      </c>
      <c r="S109" s="170">
        <f t="shared" si="278"/>
        <v>0</v>
      </c>
      <c r="T109" s="170">
        <f t="shared" si="279"/>
        <v>0</v>
      </c>
      <c r="U109" s="170">
        <f t="shared" si="280"/>
        <v>0</v>
      </c>
      <c r="V109" s="171">
        <f t="shared" si="281"/>
        <v>0</v>
      </c>
    </row>
    <row r="110" s="190" customFormat="1" ht="15" customHeight="1">
      <c r="A110" s="174" t="s">
        <v>243</v>
      </c>
      <c r="C110" s="175" t="s">
        <v>244</v>
      </c>
      <c r="D110" s="191"/>
      <c r="E110" s="180">
        <f>E70-E108</f>
        <v>379204.94</v>
      </c>
      <c r="F110" s="181">
        <f t="shared" ref="F110:P110" si="284">F70-F108</f>
        <v>355994.52000000002</v>
      </c>
      <c r="G110" s="181">
        <f t="shared" si="284"/>
        <v>389185.71999999997</v>
      </c>
      <c r="H110" s="181">
        <f t="shared" si="284"/>
        <v>407691.77000000002</v>
      </c>
      <c r="I110" s="181">
        <f t="shared" si="284"/>
        <v>373932.15999999997</v>
      </c>
      <c r="J110" s="181">
        <f t="shared" si="284"/>
        <v>372730.01999999996</v>
      </c>
      <c r="K110" s="181">
        <f t="shared" si="284"/>
        <v>0</v>
      </c>
      <c r="L110" s="181">
        <f t="shared" si="284"/>
        <v>0</v>
      </c>
      <c r="M110" s="181">
        <f t="shared" si="284"/>
        <v>0</v>
      </c>
      <c r="N110" s="181">
        <f t="shared" si="284"/>
        <v>0</v>
      </c>
      <c r="O110" s="181">
        <f t="shared" si="284"/>
        <v>0</v>
      </c>
      <c r="P110" s="182">
        <f t="shared" si="284"/>
        <v>0</v>
      </c>
      <c r="Q110" s="183">
        <f t="shared" si="282"/>
        <v>2278739.1299999999</v>
      </c>
      <c r="R110" s="182">
        <f t="shared" si="277"/>
        <v>1124385.1799999999</v>
      </c>
      <c r="S110" s="182">
        <f t="shared" si="278"/>
        <v>1154353.95</v>
      </c>
      <c r="T110" s="182">
        <f t="shared" si="279"/>
        <v>0</v>
      </c>
      <c r="U110" s="182">
        <f t="shared" si="280"/>
        <v>0</v>
      </c>
      <c r="V110" s="183">
        <f t="shared" si="281"/>
        <v>2278739.1299999999</v>
      </c>
    </row>
    <row r="111" ht="15" customHeight="1">
      <c r="A111" s="185" t="s">
        <v>245</v>
      </c>
      <c r="C111" s="160"/>
      <c r="D111" s="35"/>
      <c r="E111" s="168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70"/>
      <c r="Q111" s="171"/>
      <c r="R111" s="170">
        <f t="shared" si="277"/>
        <v>0</v>
      </c>
      <c r="S111" s="170">
        <f t="shared" si="278"/>
        <v>0</v>
      </c>
      <c r="T111" s="170">
        <f t="shared" si="279"/>
        <v>0</v>
      </c>
      <c r="U111" s="170">
        <f t="shared" si="280"/>
        <v>0</v>
      </c>
      <c r="V111" s="171">
        <f t="shared" si="281"/>
        <v>0</v>
      </c>
    </row>
    <row r="112" ht="15" customHeight="1">
      <c r="A112" s="185"/>
      <c r="C112" s="194" t="s">
        <v>245</v>
      </c>
      <c r="D112" s="35"/>
      <c r="E112" s="168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70"/>
      <c r="Q112" s="171"/>
      <c r="R112" s="170">
        <f t="shared" si="277"/>
        <v>0</v>
      </c>
      <c r="S112" s="170">
        <f t="shared" si="278"/>
        <v>0</v>
      </c>
      <c r="T112" s="170">
        <f t="shared" si="279"/>
        <v>0</v>
      </c>
      <c r="U112" s="170">
        <f t="shared" si="280"/>
        <v>0</v>
      </c>
      <c r="V112" s="171">
        <f t="shared" si="281"/>
        <v>0</v>
      </c>
    </row>
    <row r="113" ht="15" customHeight="1">
      <c r="A113" s="185"/>
      <c r="C113" s="194"/>
      <c r="D113" s="35"/>
      <c r="E113" s="168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70"/>
      <c r="Q113" s="171"/>
      <c r="R113" s="170">
        <f t="shared" si="277"/>
        <v>0</v>
      </c>
      <c r="S113" s="170">
        <f t="shared" si="278"/>
        <v>0</v>
      </c>
      <c r="T113" s="170">
        <f t="shared" si="279"/>
        <v>0</v>
      </c>
      <c r="U113" s="170">
        <f t="shared" si="280"/>
        <v>0</v>
      </c>
      <c r="V113" s="171">
        <f t="shared" si="281"/>
        <v>0</v>
      </c>
    </row>
    <row r="114" s="137" customFormat="1">
      <c r="A114" s="137" t="s">
        <v>246</v>
      </c>
      <c r="B114" s="137" t="s">
        <v>247</v>
      </c>
      <c r="C114" s="187" t="s">
        <v>248</v>
      </c>
      <c r="D114" s="139" t="s">
        <v>247</v>
      </c>
      <c r="E114" s="145">
        <f>SUMIF('2026 AC'!$B$3:$B$254,"*"&amp;$D114&amp;"*",'2026 AC'!C$3:C$254)</f>
        <v>0</v>
      </c>
      <c r="F114" s="146">
        <f>SUMIF('2026 AC'!$B$3:$B$254,"*"&amp;$D114&amp;"*",'2026 AC'!D$3:D$254)</f>
        <v>0</v>
      </c>
      <c r="G114" s="146">
        <f>SUMIF('2026 AC'!$B$3:$B$254,"*"&amp;$D114&amp;"*",'2026 AC'!E$3:E$254)</f>
        <v>0</v>
      </c>
      <c r="H114" s="146">
        <f>SUMIF('2026 AC'!$B$3:$B$254,"*"&amp;$D114&amp;"*",'2026 AC'!F$3:F$254)</f>
        <v>0</v>
      </c>
      <c r="I114" s="146">
        <f>SUMIF('2026 AC'!$B$3:$B$254,"*"&amp;$D114&amp;"*",'2026 AC'!G$3:G$254)</f>
        <v>0</v>
      </c>
      <c r="J114" s="146">
        <f>SUMIF('2026 AC'!$B$3:$B$254,"*"&amp;$D114&amp;"*",'2026 AC'!H$3:H$254)</f>
        <v>0</v>
      </c>
      <c r="K114" s="146">
        <f>SUMIF('2026 AC'!$B$3:$B$254,"*"&amp;$D114&amp;"*",'2026 AC'!I$3:I$254)</f>
        <v>0</v>
      </c>
      <c r="L114" s="146">
        <f>SUMIF('2026 AC'!$B$3:$B$254,"*"&amp;$D114&amp;"*",'2026 AC'!J$3:J$254)</f>
        <v>0</v>
      </c>
      <c r="M114" s="146">
        <f>SUMIF('2026 AC'!$B$3:$B$254,"*"&amp;$D114&amp;"*",'2026 AC'!K$3:K$254)</f>
        <v>0</v>
      </c>
      <c r="N114" s="146">
        <f>SUMIF('2026 AC'!$B$3:$B$254,"*"&amp;$D114&amp;"*",'2026 AC'!L$3:L$254)</f>
        <v>0</v>
      </c>
      <c r="O114" s="146">
        <f>SUMIF('2026 AC'!$B$3:$B$254,"*"&amp;$D114&amp;"*",'2026 AC'!M$3:M$254)</f>
        <v>0</v>
      </c>
      <c r="P114" s="147">
        <f>SUMIF('2026 AC'!$B$3:$B$254,"*"&amp;$D114&amp;"*",'2026 AC'!N$3:N$254)</f>
        <v>0</v>
      </c>
      <c r="Q114" s="148">
        <f t="shared" ref="Q114:Q177" si="285">SUM(E114:P114)</f>
        <v>0</v>
      </c>
      <c r="R114" s="147">
        <f t="shared" si="277"/>
        <v>0</v>
      </c>
      <c r="S114" s="147">
        <f t="shared" si="278"/>
        <v>0</v>
      </c>
      <c r="T114" s="147">
        <f t="shared" si="279"/>
        <v>0</v>
      </c>
      <c r="U114" s="147">
        <f t="shared" si="280"/>
        <v>0</v>
      </c>
      <c r="V114" s="148">
        <f t="shared" si="281"/>
        <v>0</v>
      </c>
    </row>
    <row r="115" s="137" customFormat="1" ht="15" customHeight="1">
      <c r="A115" s="137" t="s">
        <v>249</v>
      </c>
      <c r="B115" s="137" t="s">
        <v>250</v>
      </c>
      <c r="C115" s="187" t="s">
        <v>251</v>
      </c>
      <c r="D115" s="139" t="s">
        <v>250</v>
      </c>
      <c r="E115" s="145">
        <f>SUMIF('2026 AC'!$B$3:$B$254,"*"&amp;$D115&amp;"*",'2026 AC'!C$3:C$254)</f>
        <v>490</v>
      </c>
      <c r="F115" s="146">
        <f>SUMIF('2026 AC'!$B$3:$B$254,"*"&amp;$D115&amp;"*",'2026 AC'!D$3:D$254)</f>
        <v>348</v>
      </c>
      <c r="G115" s="146">
        <f>SUMIF('2026 AC'!$B$3:$B$254,"*"&amp;$D115&amp;"*",'2026 AC'!E$3:E$254)</f>
        <v>200</v>
      </c>
      <c r="H115" s="146">
        <f>SUMIF('2026 AC'!$B$3:$B$254,"*"&amp;$D115&amp;"*",'2026 AC'!F$3:F$254)</f>
        <v>880</v>
      </c>
      <c r="I115" s="146">
        <f>SUMIF('2026 AC'!$B$3:$B$254,"*"&amp;$D115&amp;"*",'2026 AC'!G$3:G$254)</f>
        <v>1295</v>
      </c>
      <c r="J115" s="146">
        <f>SUMIF('2026 AC'!$B$3:$B$254,"*"&amp;$D115&amp;"*",'2026 AC'!H$3:H$254)</f>
        <v>225</v>
      </c>
      <c r="K115" s="146">
        <f>SUMIF('2026 AC'!$B$3:$B$254,"*"&amp;$D115&amp;"*",'2026 AC'!I$3:I$254)</f>
        <v>0</v>
      </c>
      <c r="L115" s="146">
        <f>SUMIF('2026 AC'!$B$3:$B$254,"*"&amp;$D115&amp;"*",'2026 AC'!J$3:J$254)</f>
        <v>0</v>
      </c>
      <c r="M115" s="146">
        <f>SUMIF('2026 AC'!$B$3:$B$254,"*"&amp;$D115&amp;"*",'2026 AC'!K$3:K$254)</f>
        <v>0</v>
      </c>
      <c r="N115" s="146">
        <f>SUMIF('2026 AC'!$B$3:$B$254,"*"&amp;$D115&amp;"*",'2026 AC'!L$3:L$254)</f>
        <v>0</v>
      </c>
      <c r="O115" s="146">
        <f>SUMIF('2026 AC'!$B$3:$B$254,"*"&amp;$D115&amp;"*",'2026 AC'!M$3:M$254)</f>
        <v>0</v>
      </c>
      <c r="P115" s="147">
        <f>SUMIF('2026 AC'!$B$3:$B$254,"*"&amp;$D115&amp;"*",'2026 AC'!N$3:N$254)</f>
        <v>0</v>
      </c>
      <c r="Q115" s="148">
        <f t="shared" si="285"/>
        <v>3438</v>
      </c>
      <c r="R115" s="147">
        <f t="shared" si="277"/>
        <v>1038</v>
      </c>
      <c r="S115" s="147">
        <f t="shared" si="278"/>
        <v>2400</v>
      </c>
      <c r="T115" s="147">
        <f t="shared" si="279"/>
        <v>0</v>
      </c>
      <c r="U115" s="147">
        <f t="shared" si="280"/>
        <v>0</v>
      </c>
      <c r="V115" s="148">
        <f t="shared" si="281"/>
        <v>3438</v>
      </c>
    </row>
    <row r="116" ht="15" customHeight="1" outlineLevel="1">
      <c r="A116" t="s">
        <v>252</v>
      </c>
      <c r="B116" t="s">
        <v>253</v>
      </c>
      <c r="C116" s="52" t="s">
        <v>254</v>
      </c>
      <c r="D116" s="35" t="s">
        <v>253</v>
      </c>
      <c r="E116" s="63">
        <f>SUMIF('2026 AC'!$B$3:$B$254,"*"&amp;$D116&amp;"*",'2026 AC'!C$3:C$254)</f>
        <v>490</v>
      </c>
      <c r="F116" s="53">
        <f>SUMIF('2026 AC'!$B$3:$B$254,"*"&amp;$D116&amp;"*",'2026 AC'!D$3:D$254)</f>
        <v>348</v>
      </c>
      <c r="G116" s="53">
        <f>SUMIF('2026 AC'!$B$3:$B$254,"*"&amp;$D116&amp;"*",'2026 AC'!E$3:E$254)</f>
        <v>200</v>
      </c>
      <c r="H116" s="53">
        <f>SUMIF('2026 AC'!$B$3:$B$254,"*"&amp;$D116&amp;"*",'2026 AC'!F$3:F$254)</f>
        <v>880</v>
      </c>
      <c r="I116" s="53">
        <f>SUMIF('2026 AC'!$B$3:$B$254,"*"&amp;$D116&amp;"*",'2026 AC'!G$3:G$254)</f>
        <v>1295</v>
      </c>
      <c r="J116" s="53">
        <f>SUMIF('2026 AC'!$B$3:$B$254,"*"&amp;$D116&amp;"*",'2026 AC'!H$3:H$254)</f>
        <v>225</v>
      </c>
      <c r="K116" s="53">
        <f>SUMIF('2026 AC'!$B$3:$B$254,"*"&amp;$D116&amp;"*",'2026 AC'!I$3:I$254)</f>
        <v>0</v>
      </c>
      <c r="L116" s="53">
        <f>SUMIF('2026 AC'!$B$3:$B$254,"*"&amp;$D116&amp;"*",'2026 AC'!J$3:J$254)</f>
        <v>0</v>
      </c>
      <c r="M116" s="53">
        <f>SUMIF('2026 AC'!$B$3:$B$254,"*"&amp;$D116&amp;"*",'2026 AC'!K$3:K$254)</f>
        <v>0</v>
      </c>
      <c r="N116" s="53">
        <f>SUMIF('2026 AC'!$B$3:$B$254,"*"&amp;$D116&amp;"*",'2026 AC'!L$3:L$254)</f>
        <v>0</v>
      </c>
      <c r="O116" s="53">
        <f>SUMIF('2026 AC'!$B$3:$B$254,"*"&amp;$D116&amp;"*",'2026 AC'!M$3:M$254)</f>
        <v>0</v>
      </c>
      <c r="P116" s="93">
        <f>SUMIF('2026 AC'!$B$3:$B$254,"*"&amp;$D116&amp;"*",'2026 AC'!N$3:N$254)</f>
        <v>0</v>
      </c>
      <c r="Q116" s="92">
        <f t="shared" si="285"/>
        <v>3438</v>
      </c>
      <c r="R116" s="93">
        <f t="shared" si="277"/>
        <v>1038</v>
      </c>
      <c r="S116" s="93">
        <f t="shared" si="278"/>
        <v>2400</v>
      </c>
      <c r="T116" s="93">
        <f t="shared" si="279"/>
        <v>0</v>
      </c>
      <c r="U116" s="93">
        <f t="shared" si="280"/>
        <v>0</v>
      </c>
      <c r="V116" s="92">
        <f t="shared" si="281"/>
        <v>3438</v>
      </c>
    </row>
    <row r="117" ht="15" customHeight="1" outlineLevel="1">
      <c r="A117" t="s">
        <v>255</v>
      </c>
      <c r="B117" t="s">
        <v>256</v>
      </c>
      <c r="C117" s="52" t="s">
        <v>257</v>
      </c>
      <c r="D117" s="35" t="s">
        <v>256</v>
      </c>
      <c r="E117" s="63">
        <f>SUMIF('2026 AC'!$B$3:$B$254,"*"&amp;$D117&amp;"*",'2026 AC'!C$3:C$254)</f>
        <v>0</v>
      </c>
      <c r="F117" s="53">
        <f>SUMIF('2026 AC'!$B$3:$B$254,"*"&amp;$D117&amp;"*",'2026 AC'!D$3:D$254)</f>
        <v>0</v>
      </c>
      <c r="G117" s="53">
        <f>SUMIF('2026 AC'!$B$3:$B$254,"*"&amp;$D117&amp;"*",'2026 AC'!E$3:E$254)</f>
        <v>0</v>
      </c>
      <c r="H117" s="53">
        <f>SUMIF('2026 AC'!$B$3:$B$254,"*"&amp;$D117&amp;"*",'2026 AC'!F$3:F$254)</f>
        <v>0</v>
      </c>
      <c r="I117" s="53">
        <f>SUMIF('2026 AC'!$B$3:$B$254,"*"&amp;$D117&amp;"*",'2026 AC'!G$3:G$254)</f>
        <v>0</v>
      </c>
      <c r="J117" s="53">
        <f>SUMIF('2026 AC'!$B$3:$B$254,"*"&amp;$D117&amp;"*",'2026 AC'!H$3:H$254)</f>
        <v>0</v>
      </c>
      <c r="K117" s="53">
        <f>SUMIF('2026 AC'!$B$3:$B$254,"*"&amp;$D117&amp;"*",'2026 AC'!I$3:I$254)</f>
        <v>0</v>
      </c>
      <c r="L117" s="53">
        <f>SUMIF('2026 AC'!$B$3:$B$254,"*"&amp;$D117&amp;"*",'2026 AC'!J$3:J$254)</f>
        <v>0</v>
      </c>
      <c r="M117" s="53">
        <f>SUMIF('2026 AC'!$B$3:$B$254,"*"&amp;$D117&amp;"*",'2026 AC'!K$3:K$254)</f>
        <v>0</v>
      </c>
      <c r="N117" s="53">
        <f>SUMIF('2026 AC'!$B$3:$B$254,"*"&amp;$D117&amp;"*",'2026 AC'!L$3:L$254)</f>
        <v>0</v>
      </c>
      <c r="O117" s="53">
        <f>SUMIF('2026 AC'!$B$3:$B$254,"*"&amp;$D117&amp;"*",'2026 AC'!M$3:M$254)</f>
        <v>0</v>
      </c>
      <c r="P117" s="93">
        <f>SUMIF('2026 AC'!$B$3:$B$254,"*"&amp;$D117&amp;"*",'2026 AC'!N$3:N$254)</f>
        <v>0</v>
      </c>
      <c r="Q117" s="92">
        <f t="shared" si="285"/>
        <v>0</v>
      </c>
      <c r="R117" s="93">
        <f t="shared" si="277"/>
        <v>0</v>
      </c>
      <c r="S117" s="93">
        <f t="shared" si="278"/>
        <v>0</v>
      </c>
      <c r="T117" s="93">
        <f t="shared" si="279"/>
        <v>0</v>
      </c>
      <c r="U117" s="93">
        <f t="shared" si="280"/>
        <v>0</v>
      </c>
      <c r="V117" s="92">
        <f t="shared" si="281"/>
        <v>0</v>
      </c>
    </row>
    <row r="118" ht="15" customHeight="1" outlineLevel="1">
      <c r="A118" t="s">
        <v>258</v>
      </c>
      <c r="B118" t="s">
        <v>259</v>
      </c>
      <c r="C118" s="34" t="s">
        <v>260</v>
      </c>
      <c r="D118" s="35" t="s">
        <v>259</v>
      </c>
      <c r="E118" s="63">
        <f>SUMIF('2026 AC'!$B$3:$B$254,"*"&amp;$D118&amp;"*",'2026 AC'!C$3:C$254)</f>
        <v>0</v>
      </c>
      <c r="F118" s="53">
        <f>SUMIF('2026 AC'!$B$3:$B$254,"*"&amp;$D118&amp;"*",'2026 AC'!D$3:D$254)</f>
        <v>0</v>
      </c>
      <c r="G118" s="53">
        <f>SUMIF('2026 AC'!$B$3:$B$254,"*"&amp;$D118&amp;"*",'2026 AC'!E$3:E$254)</f>
        <v>0</v>
      </c>
      <c r="H118" s="53">
        <f>SUMIF('2026 AC'!$B$3:$B$254,"*"&amp;$D118&amp;"*",'2026 AC'!F$3:F$254)</f>
        <v>0</v>
      </c>
      <c r="I118" s="53">
        <f>SUMIF('2026 AC'!$B$3:$B$254,"*"&amp;$D118&amp;"*",'2026 AC'!G$3:G$254)</f>
        <v>0</v>
      </c>
      <c r="J118" s="53">
        <f>SUMIF('2026 AC'!$B$3:$B$254,"*"&amp;$D118&amp;"*",'2026 AC'!H$3:H$254)</f>
        <v>0</v>
      </c>
      <c r="K118" s="53">
        <f>SUMIF('2026 AC'!$B$3:$B$254,"*"&amp;$D118&amp;"*",'2026 AC'!I$3:I$254)</f>
        <v>0</v>
      </c>
      <c r="L118" s="53">
        <f>SUMIF('2026 AC'!$B$3:$B$254,"*"&amp;$D118&amp;"*",'2026 AC'!J$3:J$254)</f>
        <v>0</v>
      </c>
      <c r="M118" s="53">
        <f>SUMIF('2026 AC'!$B$3:$B$254,"*"&amp;$D118&amp;"*",'2026 AC'!K$3:K$254)</f>
        <v>0</v>
      </c>
      <c r="N118" s="53">
        <f>SUMIF('2026 AC'!$B$3:$B$254,"*"&amp;$D118&amp;"*",'2026 AC'!L$3:L$254)</f>
        <v>0</v>
      </c>
      <c r="O118" s="53">
        <f>SUMIF('2026 AC'!$B$3:$B$254,"*"&amp;$D118&amp;"*",'2026 AC'!M$3:M$254)</f>
        <v>0</v>
      </c>
      <c r="P118" s="93">
        <f>SUMIF('2026 AC'!$B$3:$B$254,"*"&amp;$D118&amp;"*",'2026 AC'!N$3:N$254)</f>
        <v>0</v>
      </c>
      <c r="Q118" s="92">
        <f t="shared" si="285"/>
        <v>0</v>
      </c>
      <c r="R118" s="93">
        <f t="shared" si="277"/>
        <v>0</v>
      </c>
      <c r="S118" s="93">
        <f t="shared" si="278"/>
        <v>0</v>
      </c>
      <c r="T118" s="93">
        <f t="shared" si="279"/>
        <v>0</v>
      </c>
      <c r="U118" s="93">
        <f t="shared" si="280"/>
        <v>0</v>
      </c>
      <c r="V118" s="92">
        <f t="shared" si="281"/>
        <v>0</v>
      </c>
    </row>
    <row r="119" ht="15" customHeight="1" outlineLevel="1">
      <c r="A119" t="s">
        <v>261</v>
      </c>
      <c r="B119" t="s">
        <v>262</v>
      </c>
      <c r="C119" s="52" t="s">
        <v>263</v>
      </c>
      <c r="D119" s="35" t="s">
        <v>262</v>
      </c>
      <c r="E119" s="63">
        <f>SUMIF('2026 AC'!$B$3:$B$254,"*"&amp;$D119&amp;"*",'2026 AC'!C$3:C$254)</f>
        <v>0</v>
      </c>
      <c r="F119" s="53">
        <f>SUMIF('2026 AC'!$B$3:$B$254,"*"&amp;$D119&amp;"*",'2026 AC'!D$3:D$254)</f>
        <v>0</v>
      </c>
      <c r="G119" s="53">
        <f>SUMIF('2026 AC'!$B$3:$B$254,"*"&amp;$D119&amp;"*",'2026 AC'!E$3:E$254)</f>
        <v>0</v>
      </c>
      <c r="H119" s="53">
        <f>SUMIF('2026 AC'!$B$3:$B$254,"*"&amp;$D119&amp;"*",'2026 AC'!F$3:F$254)</f>
        <v>0</v>
      </c>
      <c r="I119" s="53">
        <f>SUMIF('2026 AC'!$B$3:$B$254,"*"&amp;$D119&amp;"*",'2026 AC'!G$3:G$254)</f>
        <v>0</v>
      </c>
      <c r="J119" s="53">
        <f>SUMIF('2026 AC'!$B$3:$B$254,"*"&amp;$D119&amp;"*",'2026 AC'!H$3:H$254)</f>
        <v>0</v>
      </c>
      <c r="K119" s="53">
        <f>SUMIF('2026 AC'!$B$3:$B$254,"*"&amp;$D119&amp;"*",'2026 AC'!I$3:I$254)</f>
        <v>0</v>
      </c>
      <c r="L119" s="53">
        <f>SUMIF('2026 AC'!$B$3:$B$254,"*"&amp;$D119&amp;"*",'2026 AC'!J$3:J$254)</f>
        <v>0</v>
      </c>
      <c r="M119" s="53">
        <f>SUMIF('2026 AC'!$B$3:$B$254,"*"&amp;$D119&amp;"*",'2026 AC'!K$3:K$254)</f>
        <v>0</v>
      </c>
      <c r="N119" s="53">
        <f>SUMIF('2026 AC'!$B$3:$B$254,"*"&amp;$D119&amp;"*",'2026 AC'!L$3:L$254)</f>
        <v>0</v>
      </c>
      <c r="O119" s="53">
        <f>SUMIF('2026 AC'!$B$3:$B$254,"*"&amp;$D119&amp;"*",'2026 AC'!M$3:M$254)</f>
        <v>0</v>
      </c>
      <c r="P119" s="93">
        <f>SUMIF('2026 AC'!$B$3:$B$254,"*"&amp;$D119&amp;"*",'2026 AC'!N$3:N$254)</f>
        <v>0</v>
      </c>
      <c r="Q119" s="92">
        <f t="shared" si="285"/>
        <v>0</v>
      </c>
      <c r="R119" s="93">
        <f t="shared" si="277"/>
        <v>0</v>
      </c>
      <c r="S119" s="93">
        <f t="shared" si="278"/>
        <v>0</v>
      </c>
      <c r="T119" s="93">
        <f t="shared" si="279"/>
        <v>0</v>
      </c>
      <c r="U119" s="93">
        <f t="shared" si="280"/>
        <v>0</v>
      </c>
      <c r="V119" s="92">
        <f t="shared" si="281"/>
        <v>0</v>
      </c>
    </row>
    <row r="120" ht="15" customHeight="1">
      <c r="A120" s="185"/>
      <c r="C120" s="34"/>
      <c r="D120" s="35"/>
      <c r="E120" s="6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93"/>
      <c r="Q120" s="92"/>
      <c r="R120" s="93">
        <f t="shared" si="277"/>
        <v>0</v>
      </c>
      <c r="S120" s="93">
        <f t="shared" si="278"/>
        <v>0</v>
      </c>
      <c r="T120" s="93">
        <f t="shared" si="279"/>
        <v>0</v>
      </c>
      <c r="U120" s="93">
        <f t="shared" si="280"/>
        <v>0</v>
      </c>
      <c r="V120" s="92">
        <f t="shared" si="281"/>
        <v>0</v>
      </c>
    </row>
    <row r="121" s="125" customFormat="1" ht="15" customHeight="1">
      <c r="A121" s="174"/>
      <c r="C121" s="126" t="s">
        <v>264</v>
      </c>
      <c r="D121" s="127"/>
      <c r="E121" s="180">
        <f>E114+E115</f>
        <v>490</v>
      </c>
      <c r="F121" s="181">
        <f t="shared" ref="F121:P121" si="286">F114+F115</f>
        <v>348</v>
      </c>
      <c r="G121" s="181">
        <f t="shared" si="286"/>
        <v>200</v>
      </c>
      <c r="H121" s="181">
        <f t="shared" si="286"/>
        <v>880</v>
      </c>
      <c r="I121" s="181">
        <f t="shared" si="286"/>
        <v>1295</v>
      </c>
      <c r="J121" s="181">
        <f t="shared" si="286"/>
        <v>225</v>
      </c>
      <c r="K121" s="181">
        <f t="shared" si="286"/>
        <v>0</v>
      </c>
      <c r="L121" s="181">
        <f t="shared" si="286"/>
        <v>0</v>
      </c>
      <c r="M121" s="181">
        <f t="shared" si="286"/>
        <v>0</v>
      </c>
      <c r="N121" s="181">
        <f t="shared" si="286"/>
        <v>0</v>
      </c>
      <c r="O121" s="181">
        <f t="shared" si="286"/>
        <v>0</v>
      </c>
      <c r="P121" s="182">
        <f t="shared" si="286"/>
        <v>0</v>
      </c>
      <c r="Q121" s="183">
        <f t="shared" si="285"/>
        <v>3438</v>
      </c>
      <c r="R121" s="182">
        <f t="shared" si="277"/>
        <v>1038</v>
      </c>
      <c r="S121" s="182">
        <f t="shared" si="278"/>
        <v>2400</v>
      </c>
      <c r="T121" s="182">
        <f t="shared" si="279"/>
        <v>0</v>
      </c>
      <c r="U121" s="182">
        <f t="shared" si="280"/>
        <v>0</v>
      </c>
      <c r="V121" s="183">
        <f t="shared" si="281"/>
        <v>3438</v>
      </c>
    </row>
    <row r="122" ht="15" customHeight="1">
      <c r="A122" s="185" t="s">
        <v>265</v>
      </c>
      <c r="C122" s="34"/>
      <c r="D122" s="35"/>
      <c r="E122" s="6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93"/>
      <c r="Q122" s="92"/>
      <c r="R122" s="93">
        <f t="shared" si="277"/>
        <v>0</v>
      </c>
      <c r="S122" s="93">
        <f t="shared" si="278"/>
        <v>0</v>
      </c>
      <c r="T122" s="93">
        <f t="shared" si="279"/>
        <v>0</v>
      </c>
      <c r="U122" s="93">
        <f t="shared" si="280"/>
        <v>0</v>
      </c>
      <c r="V122" s="92">
        <f t="shared" si="281"/>
        <v>0</v>
      </c>
    </row>
    <row r="123">
      <c r="A123" t="s">
        <v>266</v>
      </c>
      <c r="B123" t="s">
        <v>267</v>
      </c>
      <c r="C123" s="165" t="s">
        <v>268</v>
      </c>
      <c r="D123" s="35"/>
      <c r="E123" s="63"/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93">
        <v>0</v>
      </c>
      <c r="Q123" s="92"/>
      <c r="R123" s="93">
        <f t="shared" si="277"/>
        <v>0</v>
      </c>
      <c r="S123" s="93">
        <f t="shared" si="278"/>
        <v>0</v>
      </c>
      <c r="T123" s="93">
        <f t="shared" si="279"/>
        <v>0</v>
      </c>
      <c r="U123" s="93">
        <f t="shared" si="280"/>
        <v>0</v>
      </c>
      <c r="V123" s="92">
        <f t="shared" si="281"/>
        <v>0</v>
      </c>
    </row>
    <row r="124">
      <c r="C124" s="165"/>
      <c r="D124" s="35"/>
      <c r="E124" s="6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93"/>
      <c r="Q124" s="92"/>
      <c r="R124" s="93">
        <f t="shared" si="277"/>
        <v>0</v>
      </c>
      <c r="S124" s="93">
        <f t="shared" si="278"/>
        <v>0</v>
      </c>
      <c r="T124" s="93">
        <f t="shared" si="279"/>
        <v>0</v>
      </c>
      <c r="U124" s="93">
        <f t="shared" si="280"/>
        <v>0</v>
      </c>
      <c r="V124" s="92">
        <f t="shared" si="281"/>
        <v>0</v>
      </c>
    </row>
    <row r="125" s="137" customFormat="1" ht="15" customHeight="1">
      <c r="A125" s="137" t="s">
        <v>269</v>
      </c>
      <c r="B125" s="137" t="s">
        <v>270</v>
      </c>
      <c r="C125" s="187" t="s">
        <v>271</v>
      </c>
      <c r="D125" s="139" t="s">
        <v>267</v>
      </c>
      <c r="E125" s="145">
        <f>SUMIF('2026 AC'!$B$3:$B$254,"*"&amp;$D125&amp;"*",'2026 AC'!C$3:C$254)</f>
        <v>304141.14000000001</v>
      </c>
      <c r="F125" s="146">
        <f>SUMIF('2026 AC'!$B$3:$B$254,"*"&amp;$D125&amp;"*",'2026 AC'!D$3:D$254)</f>
        <v>254112.29000000001</v>
      </c>
      <c r="G125" s="146">
        <f>SUMIF('2026 AC'!$B$3:$B$254,"*"&amp;$D125&amp;"*",'2026 AC'!E$3:E$254)</f>
        <v>236623.04000000001</v>
      </c>
      <c r="H125" s="146">
        <f>SUMIF('2026 AC'!$B$3:$B$254,"*"&amp;$D125&amp;"*",'2026 AC'!F$3:F$254)</f>
        <v>224355.76999999999</v>
      </c>
      <c r="I125" s="146">
        <f>SUMIF('2026 AC'!$B$3:$B$254,"*"&amp;$D125&amp;"*",'2026 AC'!G$3:G$254)</f>
        <v>216934.88</v>
      </c>
      <c r="J125" s="146">
        <f>SUMIF('2026 AC'!$B$3:$B$254,"*"&amp;$D125&amp;"*",'2026 AC'!H$3:H$254)</f>
        <v>219465.63</v>
      </c>
      <c r="K125" s="146">
        <f>SUMIF('2026 AC'!$B$3:$B$254,"*"&amp;$D125&amp;"*",'2026 AC'!I$3:I$254)</f>
        <v>0</v>
      </c>
      <c r="L125" s="146">
        <f>SUMIF('2026 AC'!$B$3:$B$254,"*"&amp;$D125&amp;"*",'2026 AC'!J$3:J$254)</f>
        <v>0</v>
      </c>
      <c r="M125" s="146">
        <f>SUMIF('2026 AC'!$B$3:$B$254,"*"&amp;$D125&amp;"*",'2026 AC'!K$3:K$254)</f>
        <v>0</v>
      </c>
      <c r="N125" s="146">
        <f>SUMIF('2026 AC'!$B$3:$B$254,"*"&amp;$D125&amp;"*",'2026 AC'!L$3:L$254)</f>
        <v>0</v>
      </c>
      <c r="O125" s="146">
        <f>SUMIF('2026 AC'!$B$3:$B$254,"*"&amp;$D125&amp;"*",'2026 AC'!M$3:M$254)</f>
        <v>0</v>
      </c>
      <c r="P125" s="147">
        <f>SUMIF('2026 AC'!$B$3:$B$254,"*"&amp;$D125&amp;"*",'2026 AC'!N$3:N$254)</f>
        <v>0</v>
      </c>
      <c r="Q125" s="148">
        <f t="shared" si="285"/>
        <v>1455632.75</v>
      </c>
      <c r="R125" s="147">
        <f t="shared" si="277"/>
        <v>794876.47000000009</v>
      </c>
      <c r="S125" s="147">
        <f t="shared" si="278"/>
        <v>660756.28000000003</v>
      </c>
      <c r="T125" s="147">
        <f t="shared" si="279"/>
        <v>0</v>
      </c>
      <c r="U125" s="147">
        <f t="shared" si="280"/>
        <v>0</v>
      </c>
      <c r="V125" s="148">
        <f t="shared" si="281"/>
        <v>1455632.75</v>
      </c>
    </row>
    <row r="126" ht="15" customHeight="1" outlineLevel="1">
      <c r="A126" t="s">
        <v>272</v>
      </c>
      <c r="B126" t="s">
        <v>273</v>
      </c>
      <c r="C126" s="34" t="s">
        <v>274</v>
      </c>
      <c r="D126" s="35" t="s">
        <v>270</v>
      </c>
      <c r="E126" s="63">
        <f>SUMIF('2026 AC'!$B$3:$B$254,"*"&amp;$D126&amp;"*",'2026 AC'!C$3:C$254)</f>
        <v>194480.13</v>
      </c>
      <c r="F126" s="53">
        <f>SUMIF('2026 AC'!$B$3:$B$254,"*"&amp;$D126&amp;"*",'2026 AC'!D$3:D$254)</f>
        <v>147430</v>
      </c>
      <c r="G126" s="53">
        <f>SUMIF('2026 AC'!$B$3:$B$254,"*"&amp;$D126&amp;"*",'2026 AC'!E$3:E$254)</f>
        <v>139686.23000000001</v>
      </c>
      <c r="H126" s="53">
        <f>SUMIF('2026 AC'!$B$3:$B$254,"*"&amp;$D126&amp;"*",'2026 AC'!F$3:F$254)</f>
        <v>141355.76000000001</v>
      </c>
      <c r="I126" s="53">
        <f>SUMIF('2026 AC'!$B$3:$B$254,"*"&amp;$D126&amp;"*",'2026 AC'!G$3:G$254)</f>
        <v>132888.98000000001</v>
      </c>
      <c r="J126" s="53">
        <f>SUMIF('2026 AC'!$B$3:$B$254,"*"&amp;$D126&amp;"*",'2026 AC'!H$3:H$254)</f>
        <v>133481.38</v>
      </c>
      <c r="K126" s="53">
        <f>SUMIF('2026 AC'!$B$3:$B$254,"*"&amp;$D126&amp;"*",'2026 AC'!I$3:I$254)</f>
        <v>0</v>
      </c>
      <c r="L126" s="53">
        <f>SUMIF('2026 AC'!$B$3:$B$254,"*"&amp;$D126&amp;"*",'2026 AC'!J$3:J$254)</f>
        <v>0</v>
      </c>
      <c r="M126" s="53">
        <f>SUMIF('2026 AC'!$B$3:$B$254,"*"&amp;$D126&amp;"*",'2026 AC'!K$3:K$254)</f>
        <v>0</v>
      </c>
      <c r="N126" s="53">
        <f>SUMIF('2026 AC'!$B$3:$B$254,"*"&amp;$D126&amp;"*",'2026 AC'!L$3:L$254)</f>
        <v>0</v>
      </c>
      <c r="O126" s="53">
        <f>SUMIF('2026 AC'!$B$3:$B$254,"*"&amp;$D126&amp;"*",'2026 AC'!M$3:M$254)</f>
        <v>0</v>
      </c>
      <c r="P126" s="93">
        <f>SUMIF('2026 AC'!$B$3:$B$254,"*"&amp;$D126&amp;"*",'2026 AC'!N$3:N$254)</f>
        <v>0</v>
      </c>
      <c r="Q126" s="92">
        <f t="shared" si="285"/>
        <v>889322.47999999998</v>
      </c>
      <c r="R126" s="93">
        <f t="shared" si="277"/>
        <v>481596.35999999999</v>
      </c>
      <c r="S126" s="93">
        <f t="shared" si="278"/>
        <v>407726.12</v>
      </c>
      <c r="T126" s="93">
        <f t="shared" si="279"/>
        <v>0</v>
      </c>
      <c r="U126" s="93">
        <f t="shared" si="280"/>
        <v>0</v>
      </c>
      <c r="V126" s="92">
        <f t="shared" si="281"/>
        <v>889322.47999999998</v>
      </c>
    </row>
    <row r="127" ht="15" customHeight="1" outlineLevel="1">
      <c r="A127" t="s">
        <v>272</v>
      </c>
      <c r="B127" t="s">
        <v>273</v>
      </c>
      <c r="C127" s="34" t="s">
        <v>275</v>
      </c>
      <c r="D127" s="35" t="s">
        <v>273</v>
      </c>
      <c r="E127" s="63">
        <f>SUMIF('2026 AC'!$B$3:$B$254,"*"&amp;$D127&amp;"*",'2026 AC'!C$3:C$254)</f>
        <v>48663</v>
      </c>
      <c r="F127" s="53">
        <f>SUMIF('2026 AC'!$B$3:$B$254,"*"&amp;$D127&amp;"*",'2026 AC'!D$3:D$254)</f>
        <v>37371</v>
      </c>
      <c r="G127" s="53">
        <f>SUMIF('2026 AC'!$B$3:$B$254,"*"&amp;$D127&amp;"*",'2026 AC'!E$3:E$254)</f>
        <v>33397</v>
      </c>
      <c r="H127" s="53">
        <f>SUMIF('2026 AC'!$B$3:$B$254,"*"&amp;$D127&amp;"*",'2026 AC'!F$3:F$254)</f>
        <v>34258</v>
      </c>
      <c r="I127" s="53">
        <f>SUMIF('2026 AC'!$B$3:$B$254,"*"&amp;$D127&amp;"*",'2026 AC'!G$3:G$254)</f>
        <v>33302</v>
      </c>
      <c r="J127" s="53">
        <f>SUMIF('2026 AC'!$B$3:$B$254,"*"&amp;$D127&amp;"*",'2026 AC'!H$3:H$254)</f>
        <v>33034</v>
      </c>
      <c r="K127" s="53">
        <f>SUMIF('2026 AC'!$B$3:$B$254,"*"&amp;$D127&amp;"*",'2026 AC'!I$3:I$254)</f>
        <v>0</v>
      </c>
      <c r="L127" s="53">
        <f>SUMIF('2026 AC'!$B$3:$B$254,"*"&amp;$D127&amp;"*",'2026 AC'!J$3:J$254)</f>
        <v>0</v>
      </c>
      <c r="M127" s="53">
        <f>SUMIF('2026 AC'!$B$3:$B$254,"*"&amp;$D127&amp;"*",'2026 AC'!K$3:K$254)</f>
        <v>0</v>
      </c>
      <c r="N127" s="53">
        <f>SUMIF('2026 AC'!$B$3:$B$254,"*"&amp;$D127&amp;"*",'2026 AC'!L$3:L$254)</f>
        <v>0</v>
      </c>
      <c r="O127" s="53">
        <f>SUMIF('2026 AC'!$B$3:$B$254,"*"&amp;$D127&amp;"*",'2026 AC'!M$3:M$254)</f>
        <v>0</v>
      </c>
      <c r="P127" s="93">
        <f>SUMIF('2026 AC'!$B$3:$B$254,"*"&amp;$D127&amp;"*",'2026 AC'!N$3:N$254)</f>
        <v>0</v>
      </c>
      <c r="Q127" s="92">
        <f t="shared" si="285"/>
        <v>220025</v>
      </c>
      <c r="R127" s="93">
        <f t="shared" si="277"/>
        <v>119431</v>
      </c>
      <c r="S127" s="93">
        <f t="shared" si="278"/>
        <v>100594</v>
      </c>
      <c r="T127" s="93">
        <f t="shared" si="279"/>
        <v>0</v>
      </c>
      <c r="U127" s="93">
        <f t="shared" si="280"/>
        <v>0</v>
      </c>
      <c r="V127" s="92">
        <f t="shared" si="281"/>
        <v>220025</v>
      </c>
    </row>
    <row r="128" ht="15" customHeight="1" outlineLevel="1">
      <c r="A128" t="s">
        <v>276</v>
      </c>
      <c r="B128" t="s">
        <v>277</v>
      </c>
      <c r="C128" s="34" t="s">
        <v>278</v>
      </c>
      <c r="D128" s="35" t="s">
        <v>277</v>
      </c>
      <c r="E128" s="63">
        <f>SUMIF('2026 AC'!$B$3:$B$254,"*"&amp;$D128&amp;"*",'2026 AC'!C$3:C$254)</f>
        <v>3321.0999999999999</v>
      </c>
      <c r="F128" s="53">
        <f>SUMIF('2026 AC'!$B$3:$B$254,"*"&amp;$D128&amp;"*",'2026 AC'!D$3:D$254)</f>
        <v>3406.1999999999998</v>
      </c>
      <c r="G128" s="53">
        <f>SUMIF('2026 AC'!$B$3:$B$254,"*"&amp;$D128&amp;"*",'2026 AC'!E$3:E$254)</f>
        <v>3387.5999999999999</v>
      </c>
      <c r="H128" s="53">
        <f>SUMIF('2026 AC'!$B$3:$B$254,"*"&amp;$D128&amp;"*",'2026 AC'!F$3:F$254)</f>
        <v>3340.0999999999999</v>
      </c>
      <c r="I128" s="53">
        <f>SUMIF('2026 AC'!$B$3:$B$254,"*"&amp;$D128&amp;"*",'2026 AC'!G$3:G$254)</f>
        <v>3231.4000000000001</v>
      </c>
      <c r="J128" s="53">
        <f>SUMIF('2026 AC'!$B$3:$B$254,"*"&amp;$D128&amp;"*",'2026 AC'!H$3:H$254)</f>
        <v>4380.0500000000002</v>
      </c>
      <c r="K128" s="53">
        <f>SUMIF('2026 AC'!$B$3:$B$254,"*"&amp;$D128&amp;"*",'2026 AC'!I$3:I$254)</f>
        <v>0</v>
      </c>
      <c r="L128" s="53">
        <f>SUMIF('2026 AC'!$B$3:$B$254,"*"&amp;$D128&amp;"*",'2026 AC'!J$3:J$254)</f>
        <v>0</v>
      </c>
      <c r="M128" s="53">
        <f>SUMIF('2026 AC'!$B$3:$B$254,"*"&amp;$D128&amp;"*",'2026 AC'!K$3:K$254)</f>
        <v>0</v>
      </c>
      <c r="N128" s="53">
        <f>SUMIF('2026 AC'!$B$3:$B$254,"*"&amp;$D128&amp;"*",'2026 AC'!L$3:L$254)</f>
        <v>0</v>
      </c>
      <c r="O128" s="53">
        <f>SUMIF('2026 AC'!$B$3:$B$254,"*"&amp;$D128&amp;"*",'2026 AC'!M$3:M$254)</f>
        <v>0</v>
      </c>
      <c r="P128" s="93">
        <f>SUMIF('2026 AC'!$B$3:$B$254,"*"&amp;$D128&amp;"*",'2026 AC'!N$3:N$254)</f>
        <v>0</v>
      </c>
      <c r="Q128" s="92">
        <f t="shared" si="285"/>
        <v>21066.450000000001</v>
      </c>
      <c r="R128" s="93">
        <f t="shared" si="277"/>
        <v>10114.9</v>
      </c>
      <c r="S128" s="93">
        <f t="shared" si="278"/>
        <v>10951.549999999999</v>
      </c>
      <c r="T128" s="93">
        <f t="shared" si="279"/>
        <v>0</v>
      </c>
      <c r="U128" s="93">
        <f t="shared" si="280"/>
        <v>0</v>
      </c>
      <c r="V128" s="92">
        <f t="shared" si="281"/>
        <v>21066.449999999997</v>
      </c>
    </row>
    <row r="129" ht="15" customHeight="1" outlineLevel="1">
      <c r="A129" t="s">
        <v>279</v>
      </c>
      <c r="B129" t="s">
        <v>280</v>
      </c>
      <c r="C129" s="34" t="s">
        <v>281</v>
      </c>
      <c r="D129" s="35" t="s">
        <v>280</v>
      </c>
      <c r="E129" s="63">
        <f>SUMIF('2026 AC'!$B$3:$B$254,"*"&amp;$D129&amp;"*",'2026 AC'!C$3:C$254)</f>
        <v>565.39999999999998</v>
      </c>
      <c r="F129" s="53">
        <f>SUMIF('2026 AC'!$B$3:$B$254,"*"&amp;$D129&amp;"*",'2026 AC'!D$3:D$254)</f>
        <v>581.39999999999998</v>
      </c>
      <c r="G129" s="53">
        <f>SUMIF('2026 AC'!$B$3:$B$254,"*"&amp;$D129&amp;"*",'2026 AC'!E$3:E$254)</f>
        <v>577</v>
      </c>
      <c r="H129" s="53">
        <f>SUMIF('2026 AC'!$B$3:$B$254,"*"&amp;$D129&amp;"*",'2026 AC'!F$3:F$254)</f>
        <v>566.79999999999995</v>
      </c>
      <c r="I129" s="53">
        <f>SUMIF('2026 AC'!$B$3:$B$254,"*"&amp;$D129&amp;"*",'2026 AC'!G$3:G$254)</f>
        <v>550.60000000000002</v>
      </c>
      <c r="J129" s="53">
        <f>SUMIF('2026 AC'!$B$3:$B$254,"*"&amp;$D129&amp;"*",'2026 AC'!H$3:H$254)</f>
        <v>554</v>
      </c>
      <c r="K129" s="53">
        <f>SUMIF('2026 AC'!$B$3:$B$254,"*"&amp;$D129&amp;"*",'2026 AC'!I$3:I$254)</f>
        <v>0</v>
      </c>
      <c r="L129" s="53">
        <f>SUMIF('2026 AC'!$B$3:$B$254,"*"&amp;$D129&amp;"*",'2026 AC'!J$3:J$254)</f>
        <v>0</v>
      </c>
      <c r="M129" s="53">
        <f>SUMIF('2026 AC'!$B$3:$B$254,"*"&amp;$D129&amp;"*",'2026 AC'!K$3:K$254)</f>
        <v>0</v>
      </c>
      <c r="N129" s="53">
        <f>SUMIF('2026 AC'!$B$3:$B$254,"*"&amp;$D129&amp;"*",'2026 AC'!L$3:L$254)</f>
        <v>0</v>
      </c>
      <c r="O129" s="53">
        <f>SUMIF('2026 AC'!$B$3:$B$254,"*"&amp;$D129&amp;"*",'2026 AC'!M$3:M$254)</f>
        <v>0</v>
      </c>
      <c r="P129" s="93">
        <f>SUMIF('2026 AC'!$B$3:$B$254,"*"&amp;$D129&amp;"*",'2026 AC'!N$3:N$254)</f>
        <v>0</v>
      </c>
      <c r="Q129" s="92">
        <f t="shared" si="285"/>
        <v>3395.1999999999998</v>
      </c>
      <c r="R129" s="93">
        <f t="shared" si="277"/>
        <v>1723.8</v>
      </c>
      <c r="S129" s="93">
        <f t="shared" si="278"/>
        <v>1671.4000000000001</v>
      </c>
      <c r="T129" s="93">
        <f t="shared" si="279"/>
        <v>0</v>
      </c>
      <c r="U129" s="93">
        <f t="shared" si="280"/>
        <v>0</v>
      </c>
      <c r="V129" s="92">
        <f t="shared" si="281"/>
        <v>3395.1999999999998</v>
      </c>
    </row>
    <row r="130" ht="15" customHeight="1" outlineLevel="1">
      <c r="A130" t="s">
        <v>282</v>
      </c>
      <c r="B130" t="s">
        <v>283</v>
      </c>
      <c r="C130" s="34" t="s">
        <v>284</v>
      </c>
      <c r="D130" s="35" t="s">
        <v>283</v>
      </c>
      <c r="E130" s="63">
        <f>SUMIF('2026 AC'!$B$3:$B$254,"*"&amp;$D130&amp;"*",'2026 AC'!C$3:C$254)</f>
        <v>5922.6499999999996</v>
      </c>
      <c r="F130" s="53">
        <f>SUMIF('2026 AC'!$B$3:$B$254,"*"&amp;$D130&amp;"*",'2026 AC'!D$3:D$254)</f>
        <v>4690.3000000000002</v>
      </c>
      <c r="G130" s="53">
        <f>SUMIF('2026 AC'!$B$3:$B$254,"*"&amp;$D130&amp;"*",'2026 AC'!E$3:E$254)</f>
        <v>1915.3</v>
      </c>
      <c r="H130" s="53">
        <f>SUMIF('2026 AC'!$B$3:$B$254,"*"&amp;$D130&amp;"*",'2026 AC'!F$3:F$254)</f>
        <v>2942.9000000000001</v>
      </c>
      <c r="I130" s="53">
        <f>SUMIF('2026 AC'!$B$3:$B$254,"*"&amp;$D130&amp;"*",'2026 AC'!G$3:G$254)</f>
        <v>1642</v>
      </c>
      <c r="J130" s="53">
        <f>SUMIF('2026 AC'!$B$3:$B$254,"*"&amp;$D130&amp;"*",'2026 AC'!H$3:H$254)</f>
        <v>1659.95</v>
      </c>
      <c r="K130" s="53">
        <f>SUMIF('2026 AC'!$B$3:$B$254,"*"&amp;$D130&amp;"*",'2026 AC'!I$3:I$254)</f>
        <v>0</v>
      </c>
      <c r="L130" s="53">
        <f>SUMIF('2026 AC'!$B$3:$B$254,"*"&amp;$D130&amp;"*",'2026 AC'!J$3:J$254)</f>
        <v>0</v>
      </c>
      <c r="M130" s="53">
        <f>SUMIF('2026 AC'!$B$3:$B$254,"*"&amp;$D130&amp;"*",'2026 AC'!K$3:K$254)</f>
        <v>0</v>
      </c>
      <c r="N130" s="53">
        <f>SUMIF('2026 AC'!$B$3:$B$254,"*"&amp;$D130&amp;"*",'2026 AC'!L$3:L$254)</f>
        <v>0</v>
      </c>
      <c r="O130" s="53">
        <f>SUMIF('2026 AC'!$B$3:$B$254,"*"&amp;$D130&amp;"*",'2026 AC'!M$3:M$254)</f>
        <v>0</v>
      </c>
      <c r="P130" s="93">
        <f>SUMIF('2026 AC'!$B$3:$B$254,"*"&amp;$D130&amp;"*",'2026 AC'!N$3:N$254)</f>
        <v>0</v>
      </c>
      <c r="Q130" s="92">
        <f t="shared" si="285"/>
        <v>18773.100000000002</v>
      </c>
      <c r="R130" s="93">
        <f t="shared" si="277"/>
        <v>12528.25</v>
      </c>
      <c r="S130" s="93">
        <f t="shared" si="278"/>
        <v>6244.8499999999995</v>
      </c>
      <c r="T130" s="93">
        <f t="shared" si="279"/>
        <v>0</v>
      </c>
      <c r="U130" s="93">
        <f t="shared" si="280"/>
        <v>0</v>
      </c>
      <c r="V130" s="92">
        <f t="shared" si="281"/>
        <v>18773.099999999999</v>
      </c>
    </row>
    <row r="131" ht="15" customHeight="1" outlineLevel="1">
      <c r="A131" t="s">
        <v>285</v>
      </c>
      <c r="B131" t="s">
        <v>286</v>
      </c>
      <c r="C131" s="34" t="s">
        <v>287</v>
      </c>
      <c r="D131" s="35" t="s">
        <v>286</v>
      </c>
      <c r="E131" s="63">
        <f>SUMIF('2026 AC'!$B$3:$B$254,"*"&amp;$D131&amp;"*",'2026 AC'!C$3:C$254)</f>
        <v>1451.96</v>
      </c>
      <c r="F131" s="53">
        <f>SUMIF('2026 AC'!$B$3:$B$254,"*"&amp;$D131&amp;"*",'2026 AC'!D$3:D$254)</f>
        <v>1453.0899999999999</v>
      </c>
      <c r="G131" s="53">
        <f>SUMIF('2026 AC'!$B$3:$B$254,"*"&amp;$D131&amp;"*",'2026 AC'!E$3:E$254)</f>
        <v>1459.22</v>
      </c>
      <c r="H131" s="53">
        <f>SUMIF('2026 AC'!$B$3:$B$254,"*"&amp;$D131&amp;"*",'2026 AC'!F$3:F$254)</f>
        <v>1398.5699999999999</v>
      </c>
      <c r="I131" s="53">
        <f>SUMIF('2026 AC'!$B$3:$B$254,"*"&amp;$D131&amp;"*",'2026 AC'!G$3:G$254)</f>
        <v>1444.8599999999999</v>
      </c>
      <c r="J131" s="53">
        <f>SUMIF('2026 AC'!$B$3:$B$254,"*"&amp;$D131&amp;"*",'2026 AC'!H$3:H$254)</f>
        <v>1432.53</v>
      </c>
      <c r="K131" s="53">
        <f>SUMIF('2026 AC'!$B$3:$B$254,"*"&amp;$D131&amp;"*",'2026 AC'!I$3:I$254)</f>
        <v>0</v>
      </c>
      <c r="L131" s="53">
        <f>SUMIF('2026 AC'!$B$3:$B$254,"*"&amp;$D131&amp;"*",'2026 AC'!J$3:J$254)</f>
        <v>0</v>
      </c>
      <c r="M131" s="53">
        <f>SUMIF('2026 AC'!$B$3:$B$254,"*"&amp;$D131&amp;"*",'2026 AC'!K$3:K$254)</f>
        <v>0</v>
      </c>
      <c r="N131" s="53">
        <f>SUMIF('2026 AC'!$B$3:$B$254,"*"&amp;$D131&amp;"*",'2026 AC'!L$3:L$254)</f>
        <v>0</v>
      </c>
      <c r="O131" s="53">
        <f>SUMIF('2026 AC'!$B$3:$B$254,"*"&amp;$D131&amp;"*",'2026 AC'!M$3:M$254)</f>
        <v>0</v>
      </c>
      <c r="P131" s="93">
        <f>SUMIF('2026 AC'!$B$3:$B$254,"*"&amp;$D131&amp;"*",'2026 AC'!N$3:N$254)</f>
        <v>0</v>
      </c>
      <c r="Q131" s="92">
        <f t="shared" si="285"/>
        <v>8640.2299999999996</v>
      </c>
      <c r="R131" s="93">
        <f t="shared" si="277"/>
        <v>4364.2700000000004</v>
      </c>
      <c r="S131" s="93">
        <f t="shared" si="278"/>
        <v>4275.96</v>
      </c>
      <c r="T131" s="93">
        <f t="shared" si="279"/>
        <v>0</v>
      </c>
      <c r="U131" s="93">
        <f t="shared" si="280"/>
        <v>0</v>
      </c>
      <c r="V131" s="92">
        <f t="shared" si="281"/>
        <v>8640.2299999999996</v>
      </c>
    </row>
    <row r="132" ht="15" customHeight="1" outlineLevel="1">
      <c r="A132" t="s">
        <v>288</v>
      </c>
      <c r="B132" t="s">
        <v>289</v>
      </c>
      <c r="C132" s="34" t="s">
        <v>290</v>
      </c>
      <c r="D132" s="35" t="s">
        <v>289</v>
      </c>
      <c r="E132" s="63">
        <f>SUMIF('2026 AC'!$B$3:$B$254,"*"&amp;$D132&amp;"*",'2026 AC'!C$3:C$254)</f>
        <v>0</v>
      </c>
      <c r="F132" s="53">
        <f>SUMIF('2026 AC'!$B$3:$B$254,"*"&amp;$D132&amp;"*",'2026 AC'!D$3:D$254)</f>
        <v>0</v>
      </c>
      <c r="G132" s="53">
        <f>SUMIF('2026 AC'!$B$3:$B$254,"*"&amp;$D132&amp;"*",'2026 AC'!E$3:E$254)</f>
        <v>0</v>
      </c>
      <c r="H132" s="53">
        <f>SUMIF('2026 AC'!$B$3:$B$254,"*"&amp;$D132&amp;"*",'2026 AC'!F$3:F$254)</f>
        <v>0</v>
      </c>
      <c r="I132" s="53">
        <f>SUMIF('2026 AC'!$B$3:$B$254,"*"&amp;$D132&amp;"*",'2026 AC'!G$3:G$254)</f>
        <v>0</v>
      </c>
      <c r="J132" s="53">
        <f>SUMIF('2026 AC'!$B$3:$B$254,"*"&amp;$D132&amp;"*",'2026 AC'!H$3:H$254)</f>
        <v>0</v>
      </c>
      <c r="K132" s="53">
        <f>SUMIF('2026 AC'!$B$3:$B$254,"*"&amp;$D132&amp;"*",'2026 AC'!I$3:I$254)</f>
        <v>0</v>
      </c>
      <c r="L132" s="53">
        <f>SUMIF('2026 AC'!$B$3:$B$254,"*"&amp;$D132&amp;"*",'2026 AC'!J$3:J$254)</f>
        <v>0</v>
      </c>
      <c r="M132" s="53">
        <f>SUMIF('2026 AC'!$B$3:$B$254,"*"&amp;$D132&amp;"*",'2026 AC'!K$3:K$254)</f>
        <v>0</v>
      </c>
      <c r="N132" s="53">
        <f>SUMIF('2026 AC'!$B$3:$B$254,"*"&amp;$D132&amp;"*",'2026 AC'!L$3:L$254)</f>
        <v>0</v>
      </c>
      <c r="O132" s="53">
        <f>SUMIF('2026 AC'!$B$3:$B$254,"*"&amp;$D132&amp;"*",'2026 AC'!M$3:M$254)</f>
        <v>0</v>
      </c>
      <c r="P132" s="93">
        <f>SUMIF('2026 AC'!$B$3:$B$254,"*"&amp;$D132&amp;"*",'2026 AC'!N$3:N$254)</f>
        <v>0</v>
      </c>
      <c r="Q132" s="92">
        <f t="shared" si="285"/>
        <v>0</v>
      </c>
      <c r="R132" s="93">
        <f t="shared" si="277"/>
        <v>0</v>
      </c>
      <c r="S132" s="93">
        <f t="shared" si="278"/>
        <v>0</v>
      </c>
      <c r="T132" s="93">
        <f t="shared" si="279"/>
        <v>0</v>
      </c>
      <c r="U132" s="93">
        <f t="shared" si="280"/>
        <v>0</v>
      </c>
      <c r="V132" s="92">
        <f t="shared" si="281"/>
        <v>0</v>
      </c>
    </row>
    <row r="133" ht="15" customHeight="1" outlineLevel="1">
      <c r="A133" t="s">
        <v>291</v>
      </c>
      <c r="B133" t="s">
        <v>292</v>
      </c>
      <c r="C133" s="34" t="s">
        <v>293</v>
      </c>
      <c r="D133" s="35" t="s">
        <v>292</v>
      </c>
      <c r="E133" s="63">
        <f>SUMIF('2026 AC'!$B$3:$B$254,"*"&amp;$D133&amp;"*",'2026 AC'!C$3:C$254)</f>
        <v>320</v>
      </c>
      <c r="F133" s="53">
        <f>SUMIF('2026 AC'!$B$3:$B$254,"*"&amp;$D133&amp;"*",'2026 AC'!D$3:D$254)</f>
        <v>360</v>
      </c>
      <c r="G133" s="53">
        <f>SUMIF('2026 AC'!$B$3:$B$254,"*"&amp;$D133&amp;"*",'2026 AC'!E$3:E$254)</f>
        <v>360</v>
      </c>
      <c r="H133" s="53">
        <f>SUMIF('2026 AC'!$B$3:$B$254,"*"&amp;$D133&amp;"*",'2026 AC'!F$3:F$254)</f>
        <v>360</v>
      </c>
      <c r="I133" s="53">
        <f>SUMIF('2026 AC'!$B$3:$B$254,"*"&amp;$D133&amp;"*",'2026 AC'!G$3:G$254)</f>
        <v>360</v>
      </c>
      <c r="J133" s="53">
        <f>SUMIF('2026 AC'!$B$3:$B$254,"*"&amp;$D133&amp;"*",'2026 AC'!H$3:H$254)</f>
        <v>360</v>
      </c>
      <c r="K133" s="53">
        <f>SUMIF('2026 AC'!$B$3:$B$254,"*"&amp;$D133&amp;"*",'2026 AC'!I$3:I$254)</f>
        <v>0</v>
      </c>
      <c r="L133" s="53">
        <f>SUMIF('2026 AC'!$B$3:$B$254,"*"&amp;$D133&amp;"*",'2026 AC'!J$3:J$254)</f>
        <v>0</v>
      </c>
      <c r="M133" s="53">
        <f>SUMIF('2026 AC'!$B$3:$B$254,"*"&amp;$D133&amp;"*",'2026 AC'!K$3:K$254)</f>
        <v>0</v>
      </c>
      <c r="N133" s="53">
        <f>SUMIF('2026 AC'!$B$3:$B$254,"*"&amp;$D133&amp;"*",'2026 AC'!L$3:L$254)</f>
        <v>0</v>
      </c>
      <c r="O133" s="53">
        <f>SUMIF('2026 AC'!$B$3:$B$254,"*"&amp;$D133&amp;"*",'2026 AC'!M$3:M$254)</f>
        <v>0</v>
      </c>
      <c r="P133" s="93">
        <f>SUMIF('2026 AC'!$B$3:$B$254,"*"&amp;$D133&amp;"*",'2026 AC'!N$3:N$254)</f>
        <v>0</v>
      </c>
      <c r="Q133" s="92">
        <f t="shared" si="285"/>
        <v>2120</v>
      </c>
      <c r="R133" s="93">
        <f t="shared" si="277"/>
        <v>1040</v>
      </c>
      <c r="S133" s="93">
        <f t="shared" si="278"/>
        <v>1080</v>
      </c>
      <c r="T133" s="93">
        <f t="shared" si="279"/>
        <v>0</v>
      </c>
      <c r="U133" s="93">
        <f t="shared" si="280"/>
        <v>0</v>
      </c>
      <c r="V133" s="92">
        <f t="shared" si="281"/>
        <v>2120</v>
      </c>
    </row>
    <row r="134" ht="15" customHeight="1" outlineLevel="1">
      <c r="A134" t="s">
        <v>294</v>
      </c>
      <c r="B134" t="s">
        <v>295</v>
      </c>
      <c r="C134" s="52" t="s">
        <v>296</v>
      </c>
      <c r="D134" s="35" t="s">
        <v>295</v>
      </c>
      <c r="E134" s="63">
        <f>SUMIF('2026 AC'!$B$3:$B$254,"*"&amp;$D134&amp;"*",'2026 AC'!C$3:C$254)</f>
        <v>0</v>
      </c>
      <c r="F134" s="53">
        <f>SUMIF('2026 AC'!$B$3:$B$254,"*"&amp;$D134&amp;"*",'2026 AC'!D$3:D$254)</f>
        <v>0</v>
      </c>
      <c r="G134" s="53">
        <f>SUMIF('2026 AC'!$B$3:$B$254,"*"&amp;$D134&amp;"*",'2026 AC'!E$3:E$254)</f>
        <v>0</v>
      </c>
      <c r="H134" s="53">
        <f>SUMIF('2026 AC'!$B$3:$B$254,"*"&amp;$D134&amp;"*",'2026 AC'!F$3:F$254)</f>
        <v>0</v>
      </c>
      <c r="I134" s="53">
        <f>SUMIF('2026 AC'!$B$3:$B$254,"*"&amp;$D134&amp;"*",'2026 AC'!G$3:G$254)</f>
        <v>0</v>
      </c>
      <c r="J134" s="53">
        <f>SUMIF('2026 AC'!$B$3:$B$254,"*"&amp;$D134&amp;"*",'2026 AC'!H$3:H$254)</f>
        <v>0</v>
      </c>
      <c r="K134" s="53">
        <f>SUMIF('2026 AC'!$B$3:$B$254,"*"&amp;$D134&amp;"*",'2026 AC'!I$3:I$254)</f>
        <v>0</v>
      </c>
      <c r="L134" s="53">
        <f>SUMIF('2026 AC'!$B$3:$B$254,"*"&amp;$D134&amp;"*",'2026 AC'!J$3:J$254)</f>
        <v>0</v>
      </c>
      <c r="M134" s="53">
        <f>SUMIF('2026 AC'!$B$3:$B$254,"*"&amp;$D134&amp;"*",'2026 AC'!K$3:K$254)</f>
        <v>0</v>
      </c>
      <c r="N134" s="53">
        <f>SUMIF('2026 AC'!$B$3:$B$254,"*"&amp;$D134&amp;"*",'2026 AC'!L$3:L$254)</f>
        <v>0</v>
      </c>
      <c r="O134" s="53">
        <f>SUMIF('2026 AC'!$B$3:$B$254,"*"&amp;$D134&amp;"*",'2026 AC'!M$3:M$254)</f>
        <v>0</v>
      </c>
      <c r="P134" s="170">
        <f>SUMIF('2026 AC'!$B$3:$B$254,"*"&amp;$D134&amp;"*",'2026 AC'!N$3:N$254)</f>
        <v>0</v>
      </c>
      <c r="Q134" s="92">
        <f t="shared" si="285"/>
        <v>0</v>
      </c>
      <c r="R134" s="93">
        <f t="shared" si="277"/>
        <v>0</v>
      </c>
      <c r="S134" s="93">
        <f t="shared" si="278"/>
        <v>0</v>
      </c>
      <c r="T134" s="93">
        <f t="shared" si="279"/>
        <v>0</v>
      </c>
      <c r="U134" s="93">
        <f t="shared" si="280"/>
        <v>0</v>
      </c>
      <c r="V134" s="92">
        <f t="shared" si="281"/>
        <v>0</v>
      </c>
    </row>
    <row r="135" ht="15" customHeight="1" outlineLevel="1">
      <c r="A135" t="s">
        <v>297</v>
      </c>
      <c r="B135" t="s">
        <v>298</v>
      </c>
      <c r="C135" s="52" t="s">
        <v>299</v>
      </c>
      <c r="D135" s="35" t="s">
        <v>298</v>
      </c>
      <c r="E135" s="63">
        <f>SUMIF('2026 AC'!$B$3:$B$254,"*"&amp;$D135&amp;"*",'2026 AC'!C$3:C$254)</f>
        <v>3060</v>
      </c>
      <c r="F135" s="53">
        <f>SUMIF('2026 AC'!$B$3:$B$254,"*"&amp;$D135&amp;"*",'2026 AC'!D$3:D$254)</f>
        <v>1080</v>
      </c>
      <c r="G135" s="53">
        <f>SUMIF('2026 AC'!$B$3:$B$254,"*"&amp;$D135&amp;"*",'2026 AC'!E$3:E$254)</f>
        <v>4900</v>
      </c>
      <c r="H135" s="53">
        <f>SUMIF('2026 AC'!$B$3:$B$254,"*"&amp;$D135&amp;"*",'2026 AC'!F$3:F$254)</f>
        <v>1000</v>
      </c>
      <c r="I135" s="53">
        <f>SUMIF('2026 AC'!$B$3:$B$254,"*"&amp;$D135&amp;"*",'2026 AC'!G$3:G$254)</f>
        <v>550</v>
      </c>
      <c r="J135" s="53">
        <f>SUMIF('2026 AC'!$B$3:$B$254,"*"&amp;$D135&amp;"*",'2026 AC'!H$3:H$254)</f>
        <v>600</v>
      </c>
      <c r="K135" s="53">
        <f>SUMIF('2026 AC'!$B$3:$B$254,"*"&amp;$D135&amp;"*",'2026 AC'!I$3:I$254)</f>
        <v>0</v>
      </c>
      <c r="L135" s="53">
        <f>SUMIF('2026 AC'!$B$3:$B$254,"*"&amp;$D135&amp;"*",'2026 AC'!J$3:J$254)</f>
        <v>0</v>
      </c>
      <c r="M135" s="53">
        <f>SUMIF('2026 AC'!$B$3:$B$254,"*"&amp;$D135&amp;"*",'2026 AC'!K$3:K$254)</f>
        <v>0</v>
      </c>
      <c r="N135" s="53">
        <f>SUMIF('2026 AC'!$B$3:$B$254,"*"&amp;$D135&amp;"*",'2026 AC'!L$3:L$254)</f>
        <v>0</v>
      </c>
      <c r="O135" s="53">
        <f>SUMIF('2026 AC'!$B$3:$B$254,"*"&amp;$D135&amp;"*",'2026 AC'!M$3:M$254)</f>
        <v>0</v>
      </c>
      <c r="P135" s="170">
        <f>SUMIF('2026 AC'!$B$3:$B$254,"*"&amp;$D135&amp;"*",'2026 AC'!N$3:N$254)</f>
        <v>0</v>
      </c>
      <c r="Q135" s="92">
        <f t="shared" si="285"/>
        <v>11190</v>
      </c>
      <c r="R135" s="93">
        <f t="shared" si="277"/>
        <v>9040</v>
      </c>
      <c r="S135" s="93">
        <f t="shared" si="278"/>
        <v>2150</v>
      </c>
      <c r="T135" s="93">
        <f t="shared" si="279"/>
        <v>0</v>
      </c>
      <c r="U135" s="93">
        <f t="shared" si="280"/>
        <v>0</v>
      </c>
      <c r="V135" s="92">
        <f t="shared" si="281"/>
        <v>11190</v>
      </c>
    </row>
    <row r="136" outlineLevel="1">
      <c r="A136" t="s">
        <v>300</v>
      </c>
      <c r="B136" t="s">
        <v>301</v>
      </c>
      <c r="C136" s="52" t="s">
        <v>302</v>
      </c>
      <c r="D136" s="35" t="s">
        <v>301</v>
      </c>
      <c r="E136" s="63">
        <f>SUMIF('2026 AC'!$B$3:$B$254,"*"&amp;$D136&amp;"*",'2026 AC'!C$3:C$254)</f>
        <v>34119.25</v>
      </c>
      <c r="F136" s="53">
        <f>SUMIF('2026 AC'!$B$3:$B$254,"*"&amp;$D136&amp;"*",'2026 AC'!D$3:D$254)</f>
        <v>34376.93</v>
      </c>
      <c r="G136" s="53">
        <f>SUMIF('2026 AC'!$B$3:$B$254,"*"&amp;$D136&amp;"*",'2026 AC'!E$3:E$254)</f>
        <v>31650.07</v>
      </c>
      <c r="H136" s="53">
        <f>SUMIF('2026 AC'!$B$3:$B$254,"*"&amp;$D136&amp;"*",'2026 AC'!F$3:F$254)</f>
        <v>32460.900000000001</v>
      </c>
      <c r="I136" s="53">
        <f>SUMIF('2026 AC'!$B$3:$B$254,"*"&amp;$D136&amp;"*",'2026 AC'!G$3:G$254)</f>
        <v>32640.27</v>
      </c>
      <c r="J136" s="53">
        <f>SUMIF('2026 AC'!$B$3:$B$254,"*"&amp;$D136&amp;"*",'2026 AC'!H$3:H$254)</f>
        <v>37685.160000000003</v>
      </c>
      <c r="K136" s="53">
        <f>SUMIF('2026 AC'!$B$3:$B$254,"*"&amp;$D136&amp;"*",'2026 AC'!I$3:I$254)</f>
        <v>0</v>
      </c>
      <c r="L136" s="53">
        <f>SUMIF('2026 AC'!$B$3:$B$254,"*"&amp;$D136&amp;"*",'2026 AC'!J$3:J$254)</f>
        <v>0</v>
      </c>
      <c r="M136" s="53">
        <f>SUMIF('2026 AC'!$B$3:$B$254,"*"&amp;$D136&amp;"*",'2026 AC'!K$3:K$254)</f>
        <v>0</v>
      </c>
      <c r="N136" s="53">
        <f>SUMIF('2026 AC'!$B$3:$B$254,"*"&amp;$D136&amp;"*",'2026 AC'!L$3:L$254)</f>
        <v>0</v>
      </c>
      <c r="O136" s="53">
        <f>SUMIF('2026 AC'!$B$3:$B$254,"*"&amp;$D136&amp;"*",'2026 AC'!M$3:M$254)</f>
        <v>0</v>
      </c>
      <c r="P136" s="170">
        <f>SUMIF('2026 AC'!$B$3:$B$254,"*"&amp;$D136&amp;"*",'2026 AC'!N$3:N$254)</f>
        <v>0</v>
      </c>
      <c r="Q136" s="92">
        <f t="shared" si="285"/>
        <v>202932.57999999999</v>
      </c>
      <c r="R136" s="93">
        <f t="shared" si="277"/>
        <v>100146.25</v>
      </c>
      <c r="S136" s="93">
        <f t="shared" si="278"/>
        <v>102786.33</v>
      </c>
      <c r="T136" s="93">
        <f t="shared" si="279"/>
        <v>0</v>
      </c>
      <c r="U136" s="93">
        <f t="shared" si="280"/>
        <v>0</v>
      </c>
      <c r="V136" s="92">
        <f t="shared" si="281"/>
        <v>202932.58000000002</v>
      </c>
    </row>
    <row r="137" outlineLevel="1">
      <c r="A137" t="s">
        <v>303</v>
      </c>
      <c r="B137" t="s">
        <v>304</v>
      </c>
      <c r="C137" s="34" t="s">
        <v>305</v>
      </c>
      <c r="D137" s="35" t="s">
        <v>304</v>
      </c>
      <c r="E137" s="63">
        <f>SUMIF('2026 AC'!$B$3:$B$254,"*"&amp;$D137&amp;"*",'2026 AC'!C$3:C$254)</f>
        <v>274.19999999999999</v>
      </c>
      <c r="F137" s="53">
        <f>SUMIF('2026 AC'!$B$3:$B$254,"*"&amp;$D137&amp;"*",'2026 AC'!D$3:D$254)</f>
        <v>500</v>
      </c>
      <c r="G137" s="53">
        <f>SUMIF('2026 AC'!$B$3:$B$254,"*"&amp;$D137&amp;"*",'2026 AC'!E$3:E$254)</f>
        <v>708</v>
      </c>
      <c r="H137" s="53">
        <f>SUMIF('2026 AC'!$B$3:$B$254,"*"&amp;$D137&amp;"*",'2026 AC'!F$3:F$254)</f>
        <v>0</v>
      </c>
      <c r="I137" s="53">
        <f>SUMIF('2026 AC'!$B$3:$B$254,"*"&amp;$D137&amp;"*",'2026 AC'!G$3:G$254)</f>
        <v>0</v>
      </c>
      <c r="J137" s="53">
        <f>SUMIF('2026 AC'!$B$3:$B$254,"*"&amp;$D137&amp;"*",'2026 AC'!H$3:H$254)</f>
        <v>0</v>
      </c>
      <c r="K137" s="53">
        <f>SUMIF('2026 AC'!$B$3:$B$254,"*"&amp;$D137&amp;"*",'2026 AC'!I$3:I$254)</f>
        <v>0</v>
      </c>
      <c r="L137" s="53">
        <f>SUMIF('2026 AC'!$B$3:$B$254,"*"&amp;$D137&amp;"*",'2026 AC'!J$3:J$254)</f>
        <v>0</v>
      </c>
      <c r="M137" s="53">
        <f>SUMIF('2026 AC'!$B$3:$B$254,"*"&amp;$D137&amp;"*",'2026 AC'!K$3:K$254)</f>
        <v>0</v>
      </c>
      <c r="N137" s="53">
        <f>SUMIF('2026 AC'!$B$3:$B$254,"*"&amp;$D137&amp;"*",'2026 AC'!L$3:L$254)</f>
        <v>0</v>
      </c>
      <c r="O137" s="53">
        <f>SUMIF('2026 AC'!$B$3:$B$254,"*"&amp;$D137&amp;"*",'2026 AC'!M$3:M$254)</f>
        <v>0</v>
      </c>
      <c r="P137" s="93">
        <f>SUMIF('2026 AC'!$B$3:$B$254,"*"&amp;$D137&amp;"*",'2026 AC'!N$3:N$254)</f>
        <v>0</v>
      </c>
      <c r="Q137" s="92">
        <f t="shared" si="285"/>
        <v>1482.2</v>
      </c>
      <c r="R137" s="93">
        <f t="shared" si="277"/>
        <v>1482.2</v>
      </c>
      <c r="S137" s="93">
        <f t="shared" si="278"/>
        <v>0</v>
      </c>
      <c r="T137" s="93">
        <f t="shared" si="279"/>
        <v>0</v>
      </c>
      <c r="U137" s="93">
        <f t="shared" si="280"/>
        <v>0</v>
      </c>
      <c r="V137" s="92">
        <f t="shared" si="281"/>
        <v>1482.2</v>
      </c>
    </row>
    <row r="138" outlineLevel="1">
      <c r="A138" t="s">
        <v>306</v>
      </c>
      <c r="B138" t="s">
        <v>307</v>
      </c>
      <c r="C138" s="34" t="s">
        <v>308</v>
      </c>
      <c r="D138" s="35" t="s">
        <v>307</v>
      </c>
      <c r="E138" s="63">
        <f>SUMIF('2026 AC'!$B$3:$B$254,"*"&amp;$D138&amp;"*",'2026 AC'!C$3:C$254)</f>
        <v>0</v>
      </c>
      <c r="F138" s="53">
        <f>SUMIF('2026 AC'!$B$3:$B$254,"*"&amp;$D138&amp;"*",'2026 AC'!D$3:D$254)</f>
        <v>0</v>
      </c>
      <c r="G138" s="53">
        <f>SUMIF('2026 AC'!$B$3:$B$254,"*"&amp;$D138&amp;"*",'2026 AC'!E$3:E$254)</f>
        <v>4500</v>
      </c>
      <c r="H138" s="53">
        <f>SUMIF('2026 AC'!$B$3:$B$254,"*"&amp;$D138&amp;"*",'2026 AC'!F$3:F$254)</f>
        <v>0</v>
      </c>
      <c r="I138" s="53">
        <f>SUMIF('2026 AC'!$B$3:$B$254,"*"&amp;$D138&amp;"*",'2026 AC'!G$3:G$254)</f>
        <v>0</v>
      </c>
      <c r="J138" s="53">
        <f>SUMIF('2026 AC'!$B$3:$B$254,"*"&amp;$D138&amp;"*",'2026 AC'!H$3:H$254)</f>
        <v>0</v>
      </c>
      <c r="K138" s="53">
        <f>SUMIF('2026 AC'!$B$3:$B$254,"*"&amp;$D138&amp;"*",'2026 AC'!I$3:I$254)</f>
        <v>0</v>
      </c>
      <c r="L138" s="53">
        <f>SUMIF('2026 AC'!$B$3:$B$254,"*"&amp;$D138&amp;"*",'2026 AC'!J$3:J$254)</f>
        <v>0</v>
      </c>
      <c r="M138" s="53">
        <f>SUMIF('2026 AC'!$B$3:$B$254,"*"&amp;$D138&amp;"*",'2026 AC'!K$3:K$254)</f>
        <v>0</v>
      </c>
      <c r="N138" s="53">
        <f>SUMIF('2026 AC'!$B$3:$B$254,"*"&amp;$D138&amp;"*",'2026 AC'!L$3:L$254)</f>
        <v>0</v>
      </c>
      <c r="O138" s="53">
        <f>SUMIF('2026 AC'!$B$3:$B$254,"*"&amp;$D138&amp;"*",'2026 AC'!M$3:M$254)</f>
        <v>0</v>
      </c>
      <c r="P138" s="93">
        <f>SUMIF('2026 AC'!$B$3:$B$254,"*"&amp;$D138&amp;"*",'2026 AC'!N$3:N$254)</f>
        <v>0</v>
      </c>
      <c r="Q138" s="92">
        <f t="shared" si="285"/>
        <v>4500</v>
      </c>
      <c r="R138" s="93">
        <f t="shared" ref="R138:R201" si="287">SUM(E138:G138)</f>
        <v>4500</v>
      </c>
      <c r="S138" s="93">
        <f t="shared" ref="S138" si="288">SUM(H138:J138)</f>
        <v>0</v>
      </c>
      <c r="T138" s="93">
        <f t="shared" ref="T138:T201" si="289">SUM(K138:M138)</f>
        <v>0</v>
      </c>
      <c r="U138" s="93">
        <f t="shared" ref="U138:U201" si="290">SUM(N138:P138)</f>
        <v>0</v>
      </c>
      <c r="V138" s="92">
        <f t="shared" ref="V138:V201" si="291">SUM(R138:U138)</f>
        <v>4500</v>
      </c>
    </row>
    <row r="139" outlineLevel="1">
      <c r="A139" t="s">
        <v>309</v>
      </c>
      <c r="B139" t="s">
        <v>310</v>
      </c>
      <c r="C139" s="52" t="s">
        <v>311</v>
      </c>
      <c r="D139" s="35" t="s">
        <v>310</v>
      </c>
      <c r="E139" s="63">
        <f>SUMIF('2026 AC'!$B$3:$B$254,"*"&amp;$D139&amp;"*",'2026 AC'!C$3:C$254)</f>
        <v>1685.8399999999999</v>
      </c>
      <c r="F139" s="53">
        <f>SUMIF('2026 AC'!$B$3:$B$254,"*"&amp;$D139&amp;"*",'2026 AC'!D$3:D$254)</f>
        <v>15511.709999999999</v>
      </c>
      <c r="G139" s="53">
        <f>SUMIF('2026 AC'!$B$3:$B$254,"*"&amp;$D139&amp;"*",'2026 AC'!E$3:E$254)</f>
        <v>977.20000000000005</v>
      </c>
      <c r="H139" s="53">
        <f>SUMIF('2026 AC'!$B$3:$B$254,"*"&amp;$D139&amp;"*",'2026 AC'!F$3:F$254)</f>
        <v>1844.0999999999999</v>
      </c>
      <c r="I139" s="53">
        <f>SUMIF('2026 AC'!$B$3:$B$254,"*"&amp;$D139&amp;"*",'2026 AC'!G$3:G$254)</f>
        <v>1159.5</v>
      </c>
      <c r="J139" s="53">
        <f>SUMIF('2026 AC'!$B$3:$B$254,"*"&amp;$D139&amp;"*",'2026 AC'!H$3:H$254)</f>
        <v>2149.5999999999999</v>
      </c>
      <c r="K139" s="53">
        <f>SUMIF('2026 AC'!$B$3:$B$254,"*"&amp;$D139&amp;"*",'2026 AC'!I$3:I$254)</f>
        <v>0</v>
      </c>
      <c r="L139" s="53">
        <f>SUMIF('2026 AC'!$B$3:$B$254,"*"&amp;$D139&amp;"*",'2026 AC'!J$3:J$254)</f>
        <v>0</v>
      </c>
      <c r="M139" s="53">
        <f>SUMIF('2026 AC'!$B$3:$B$254,"*"&amp;$D139&amp;"*",'2026 AC'!K$3:K$254)</f>
        <v>0</v>
      </c>
      <c r="N139" s="53">
        <f>SUMIF('2026 AC'!$B$3:$B$254,"*"&amp;$D139&amp;"*",'2026 AC'!L$3:L$254)</f>
        <v>0</v>
      </c>
      <c r="O139" s="53">
        <f>SUMIF('2026 AC'!$B$3:$B$254,"*"&amp;$D139&amp;"*",'2026 AC'!M$3:M$254)</f>
        <v>0</v>
      </c>
      <c r="P139" s="93">
        <f>SUMIF('2026 AC'!$B$3:$B$254,"*"&amp;$D139&amp;"*",'2026 AC'!N$3:N$254)</f>
        <v>0</v>
      </c>
      <c r="Q139" s="92">
        <f t="shared" si="285"/>
        <v>23327.949999999997</v>
      </c>
      <c r="R139" s="93">
        <f t="shared" si="287"/>
        <v>18174.75</v>
      </c>
      <c r="S139" s="93">
        <f t="shared" ref="S139:S202" si="292">SUM(H139:J139)</f>
        <v>5153.1999999999998</v>
      </c>
      <c r="T139" s="93">
        <f t="shared" si="289"/>
        <v>0</v>
      </c>
      <c r="U139" s="93">
        <f t="shared" si="290"/>
        <v>0</v>
      </c>
      <c r="V139" s="92">
        <f t="shared" si="291"/>
        <v>23327.950000000001</v>
      </c>
    </row>
    <row r="140" outlineLevel="1">
      <c r="A140" t="s">
        <v>312</v>
      </c>
      <c r="B140" t="s">
        <v>313</v>
      </c>
      <c r="C140" s="34" t="s">
        <v>314</v>
      </c>
      <c r="D140" s="35" t="s">
        <v>313</v>
      </c>
      <c r="E140" s="63">
        <f>SUMIF('2026 AC'!$B$3:$B$254,"*"&amp;$D140&amp;"*",'2026 AC'!C$3:C$254)</f>
        <v>0</v>
      </c>
      <c r="F140" s="53">
        <f>SUMIF('2026 AC'!$B$3:$B$254,"*"&amp;$D140&amp;"*",'2026 AC'!D$3:D$254)</f>
        <v>0</v>
      </c>
      <c r="G140" s="53">
        <f>SUMIF('2026 AC'!$B$3:$B$254,"*"&amp;$D140&amp;"*",'2026 AC'!E$3:E$254)</f>
        <v>0</v>
      </c>
      <c r="H140" s="53">
        <f>SUMIF('2026 AC'!$B$3:$B$254,"*"&amp;$D140&amp;"*",'2026 AC'!F$3:F$254)</f>
        <v>0</v>
      </c>
      <c r="I140" s="53">
        <f>SUMIF('2026 AC'!$B$3:$B$254,"*"&amp;$D140&amp;"*",'2026 AC'!G$3:G$254)</f>
        <v>0</v>
      </c>
      <c r="J140" s="53">
        <f>SUMIF('2026 AC'!$B$3:$B$254,"*"&amp;$D140&amp;"*",'2026 AC'!H$3:H$254)</f>
        <v>0</v>
      </c>
      <c r="K140" s="53">
        <f>SUMIF('2026 AC'!$B$3:$B$254,"*"&amp;$D140&amp;"*",'2026 AC'!I$3:I$254)</f>
        <v>0</v>
      </c>
      <c r="L140" s="53">
        <f>SUMIF('2026 AC'!$B$3:$B$254,"*"&amp;$D140&amp;"*",'2026 AC'!J$3:J$254)</f>
        <v>0</v>
      </c>
      <c r="M140" s="53">
        <f>SUMIF('2026 AC'!$B$3:$B$254,"*"&amp;$D140&amp;"*",'2026 AC'!K$3:K$254)</f>
        <v>0</v>
      </c>
      <c r="N140" s="53">
        <f>SUMIF('2026 AC'!$B$3:$B$254,"*"&amp;$D140&amp;"*",'2026 AC'!L$3:L$254)</f>
        <v>0</v>
      </c>
      <c r="O140" s="53">
        <f>SUMIF('2026 AC'!$B$3:$B$254,"*"&amp;$D140&amp;"*",'2026 AC'!M$3:M$254)</f>
        <v>0</v>
      </c>
      <c r="P140" s="93">
        <f>SUMIF('2026 AC'!$B$3:$B$254,"*"&amp;$D140&amp;"*",'2026 AC'!N$3:N$254)</f>
        <v>0</v>
      </c>
      <c r="Q140" s="92">
        <f t="shared" si="285"/>
        <v>0</v>
      </c>
      <c r="R140" s="93">
        <f t="shared" si="287"/>
        <v>0</v>
      </c>
      <c r="S140" s="93">
        <f t="shared" si="292"/>
        <v>0</v>
      </c>
      <c r="T140" s="93">
        <f t="shared" si="289"/>
        <v>0</v>
      </c>
      <c r="U140" s="93">
        <f t="shared" si="290"/>
        <v>0</v>
      </c>
      <c r="V140" s="92">
        <f t="shared" si="291"/>
        <v>0</v>
      </c>
    </row>
    <row r="141" outlineLevel="1">
      <c r="A141" t="s">
        <v>315</v>
      </c>
      <c r="B141" t="s">
        <v>316</v>
      </c>
      <c r="C141" s="52" t="s">
        <v>317</v>
      </c>
      <c r="D141" s="35" t="s">
        <v>316</v>
      </c>
      <c r="E141" s="63">
        <f>SUMIF('2026 AC'!$B$3:$B$254,"*"&amp;$D141&amp;"*",'2026 AC'!C$3:C$254)</f>
        <v>0</v>
      </c>
      <c r="F141" s="53">
        <f>SUMIF('2026 AC'!$B$3:$B$254,"*"&amp;$D141&amp;"*",'2026 AC'!D$3:D$254)</f>
        <v>0</v>
      </c>
      <c r="G141" s="53">
        <f>SUMIF('2026 AC'!$B$3:$B$254,"*"&amp;$D141&amp;"*",'2026 AC'!E$3:E$254)</f>
        <v>0</v>
      </c>
      <c r="H141" s="53">
        <f>SUMIF('2026 AC'!$B$3:$B$254,"*"&amp;$D141&amp;"*",'2026 AC'!F$3:F$254)</f>
        <v>0</v>
      </c>
      <c r="I141" s="53">
        <f>SUMIF('2026 AC'!$B$3:$B$254,"*"&amp;$D141&amp;"*",'2026 AC'!G$3:G$254)</f>
        <v>0</v>
      </c>
      <c r="J141" s="53">
        <f>SUMIF('2026 AC'!$B$3:$B$254,"*"&amp;$D141&amp;"*",'2026 AC'!H$3:H$254)</f>
        <v>0</v>
      </c>
      <c r="K141" s="53">
        <f>SUMIF('2026 AC'!$B$3:$B$254,"*"&amp;$D141&amp;"*",'2026 AC'!I$3:I$254)</f>
        <v>0</v>
      </c>
      <c r="L141" s="53">
        <f>SUMIF('2026 AC'!$B$3:$B$254,"*"&amp;$D141&amp;"*",'2026 AC'!J$3:J$254)</f>
        <v>0</v>
      </c>
      <c r="M141" s="53">
        <f>SUMIF('2026 AC'!$B$3:$B$254,"*"&amp;$D141&amp;"*",'2026 AC'!K$3:K$254)</f>
        <v>0</v>
      </c>
      <c r="N141" s="53">
        <f>SUMIF('2026 AC'!$B$3:$B$254,"*"&amp;$D141&amp;"*",'2026 AC'!L$3:L$254)</f>
        <v>0</v>
      </c>
      <c r="O141" s="53">
        <f>SUMIF('2026 AC'!$B$3:$B$254,"*"&amp;$D141&amp;"*",'2026 AC'!M$3:M$254)</f>
        <v>0</v>
      </c>
      <c r="P141" s="93">
        <f>SUMIF('2026 AC'!$B$3:$B$254,"*"&amp;$D141&amp;"*",'2026 AC'!N$3:N$254)</f>
        <v>0</v>
      </c>
      <c r="Q141" s="92">
        <f t="shared" si="285"/>
        <v>0</v>
      </c>
      <c r="R141" s="93">
        <f t="shared" si="287"/>
        <v>0</v>
      </c>
      <c r="S141" s="93">
        <f t="shared" si="292"/>
        <v>0</v>
      </c>
      <c r="T141" s="93">
        <f t="shared" si="289"/>
        <v>0</v>
      </c>
      <c r="U141" s="93">
        <f t="shared" si="290"/>
        <v>0</v>
      </c>
      <c r="V141" s="92">
        <f t="shared" si="291"/>
        <v>0</v>
      </c>
    </row>
    <row r="142" outlineLevel="1">
      <c r="A142" t="s">
        <v>318</v>
      </c>
      <c r="B142" t="s">
        <v>319</v>
      </c>
      <c r="C142" s="34" t="s">
        <v>320</v>
      </c>
      <c r="D142" s="35" t="s">
        <v>319</v>
      </c>
      <c r="E142" s="63">
        <f>SUMIF('2026 AC'!$B$3:$B$254,"*"&amp;$D142&amp;"*",'2026 AC'!C$3:C$254)</f>
        <v>0</v>
      </c>
      <c r="F142" s="53">
        <f>SUMIF('2026 AC'!$B$3:$B$254,"*"&amp;$D142&amp;"*",'2026 AC'!D$3:D$254)</f>
        <v>774.20000000000005</v>
      </c>
      <c r="G142" s="53">
        <f>SUMIF('2026 AC'!$B$3:$B$254,"*"&amp;$D142&amp;"*",'2026 AC'!E$3:E$254)</f>
        <v>0</v>
      </c>
      <c r="H142" s="53">
        <f>SUMIF('2026 AC'!$B$3:$B$254,"*"&amp;$D142&amp;"*",'2026 AC'!F$3:F$254)</f>
        <v>0</v>
      </c>
      <c r="I142" s="53">
        <f>SUMIF('2026 AC'!$B$3:$B$254,"*"&amp;$D142&amp;"*",'2026 AC'!G$3:G$254)</f>
        <v>0</v>
      </c>
      <c r="J142" s="53">
        <f>SUMIF('2026 AC'!$B$3:$B$254,"*"&amp;$D142&amp;"*",'2026 AC'!H$3:H$254)</f>
        <v>161.69999999999999</v>
      </c>
      <c r="K142" s="53">
        <f>SUMIF('2026 AC'!$B$3:$B$254,"*"&amp;$D142&amp;"*",'2026 AC'!I$3:I$254)</f>
        <v>0</v>
      </c>
      <c r="L142" s="53">
        <f>SUMIF('2026 AC'!$B$3:$B$254,"*"&amp;$D142&amp;"*",'2026 AC'!J$3:J$254)</f>
        <v>0</v>
      </c>
      <c r="M142" s="53">
        <f>SUMIF('2026 AC'!$B$3:$B$254,"*"&amp;$D142&amp;"*",'2026 AC'!K$3:K$254)</f>
        <v>0</v>
      </c>
      <c r="N142" s="53">
        <f>SUMIF('2026 AC'!$B$3:$B$254,"*"&amp;$D142&amp;"*",'2026 AC'!L$3:L$254)</f>
        <v>0</v>
      </c>
      <c r="O142" s="53">
        <f>SUMIF('2026 AC'!$B$3:$B$254,"*"&amp;$D142&amp;"*",'2026 AC'!M$3:M$254)</f>
        <v>0</v>
      </c>
      <c r="P142" s="93">
        <f>SUMIF('2026 AC'!$B$3:$B$254,"*"&amp;$D142&amp;"*",'2026 AC'!N$3:N$254)</f>
        <v>0</v>
      </c>
      <c r="Q142" s="92">
        <f t="shared" si="285"/>
        <v>935.90000000000009</v>
      </c>
      <c r="R142" s="93">
        <f t="shared" si="287"/>
        <v>774.20000000000005</v>
      </c>
      <c r="S142" s="93">
        <f t="shared" si="292"/>
        <v>161.69999999999999</v>
      </c>
      <c r="T142" s="93">
        <f t="shared" si="289"/>
        <v>0</v>
      </c>
      <c r="U142" s="93">
        <f t="shared" si="290"/>
        <v>0</v>
      </c>
      <c r="V142" s="92">
        <f t="shared" si="291"/>
        <v>935.90000000000009</v>
      </c>
    </row>
    <row r="143" outlineLevel="1">
      <c r="A143" t="s">
        <v>321</v>
      </c>
      <c r="B143" t="s">
        <v>322</v>
      </c>
      <c r="C143" s="34" t="s">
        <v>323</v>
      </c>
      <c r="D143" s="35" t="s">
        <v>322</v>
      </c>
      <c r="E143" s="63">
        <f>SUMIF('2026 AC'!$B$3:$B$254,"*"&amp;$D143&amp;"*",'2026 AC'!C$3:C$254)</f>
        <v>4390.1400000000003</v>
      </c>
      <c r="F143" s="53">
        <f>SUMIF('2026 AC'!$B$3:$B$254,"*"&amp;$D143&amp;"*",'2026 AC'!D$3:D$254)</f>
        <v>0</v>
      </c>
      <c r="G143" s="53">
        <f>SUMIF('2026 AC'!$B$3:$B$254,"*"&amp;$D143&amp;"*",'2026 AC'!E$3:E$254)</f>
        <v>0</v>
      </c>
      <c r="H143" s="53">
        <f>SUMIF('2026 AC'!$B$3:$B$254,"*"&amp;$D143&amp;"*",'2026 AC'!F$3:F$254)</f>
        <v>0</v>
      </c>
      <c r="I143" s="53">
        <f>SUMIF('2026 AC'!$B$3:$B$254,"*"&amp;$D143&amp;"*",'2026 AC'!G$3:G$254)</f>
        <v>812.63999999999999</v>
      </c>
      <c r="J143" s="53">
        <f>SUMIF('2026 AC'!$B$3:$B$254,"*"&amp;$D143&amp;"*",'2026 AC'!H$3:H$254)</f>
        <v>0</v>
      </c>
      <c r="K143" s="53">
        <f>SUMIF('2026 AC'!$B$3:$B$254,"*"&amp;$D143&amp;"*",'2026 AC'!I$3:I$254)</f>
        <v>0</v>
      </c>
      <c r="L143" s="53">
        <f>SUMIF('2026 AC'!$B$3:$B$254,"*"&amp;$D143&amp;"*",'2026 AC'!J$3:J$254)</f>
        <v>0</v>
      </c>
      <c r="M143" s="53">
        <f>SUMIF('2026 AC'!$B$3:$B$254,"*"&amp;$D143&amp;"*",'2026 AC'!K$3:K$254)</f>
        <v>0</v>
      </c>
      <c r="N143" s="53">
        <f>SUMIF('2026 AC'!$B$3:$B$254,"*"&amp;$D143&amp;"*",'2026 AC'!L$3:L$254)</f>
        <v>0</v>
      </c>
      <c r="O143" s="53">
        <f>SUMIF('2026 AC'!$B$3:$B$254,"*"&amp;$D143&amp;"*",'2026 AC'!M$3:M$254)</f>
        <v>0</v>
      </c>
      <c r="P143" s="93">
        <f>SUMIF('2026 AC'!$B$3:$B$254,"*"&amp;$D143&amp;"*",'2026 AC'!N$3:N$254)</f>
        <v>0</v>
      </c>
      <c r="Q143" s="92">
        <f t="shared" si="285"/>
        <v>5202.7800000000007</v>
      </c>
      <c r="R143" s="93">
        <f t="shared" si="287"/>
        <v>4390.1400000000003</v>
      </c>
      <c r="S143" s="93">
        <f t="shared" si="292"/>
        <v>812.63999999999999</v>
      </c>
      <c r="T143" s="93">
        <f t="shared" si="289"/>
        <v>0</v>
      </c>
      <c r="U143" s="93">
        <f t="shared" si="290"/>
        <v>0</v>
      </c>
      <c r="V143" s="92">
        <f t="shared" si="291"/>
        <v>5202.7800000000007</v>
      </c>
    </row>
    <row r="144" outlineLevel="1">
      <c r="A144" t="s">
        <v>324</v>
      </c>
      <c r="B144" t="s">
        <v>325</v>
      </c>
      <c r="C144" s="34" t="s">
        <v>326</v>
      </c>
      <c r="D144" s="35" t="s">
        <v>325</v>
      </c>
      <c r="E144" s="63">
        <f>SUMIF('2026 AC'!$B$3:$B$254,"*"&amp;$D144&amp;"*",'2026 AC'!C$3:C$254)</f>
        <v>770</v>
      </c>
      <c r="F144" s="53">
        <f>SUMIF('2026 AC'!$B$3:$B$254,"*"&amp;$D144&amp;"*",'2026 AC'!D$3:D$254)</f>
        <v>550</v>
      </c>
      <c r="G144" s="53">
        <f>SUMIF('2026 AC'!$B$3:$B$254,"*"&amp;$D144&amp;"*",'2026 AC'!E$3:E$254)</f>
        <v>615</v>
      </c>
      <c r="H144" s="53">
        <f>SUMIF('2026 AC'!$B$3:$B$254,"*"&amp;$D144&amp;"*",'2026 AC'!F$3:F$254)</f>
        <v>600</v>
      </c>
      <c r="I144" s="53">
        <f>SUMIF('2026 AC'!$B$3:$B$254,"*"&amp;$D144&amp;"*",'2026 AC'!G$3:G$254)</f>
        <v>350</v>
      </c>
      <c r="J144" s="53">
        <f>SUMIF('2026 AC'!$B$3:$B$254,"*"&amp;$D144&amp;"*",'2026 AC'!H$3:H$254)</f>
        <v>650</v>
      </c>
      <c r="K144" s="53">
        <f>SUMIF('2026 AC'!$B$3:$B$254,"*"&amp;$D144&amp;"*",'2026 AC'!I$3:I$254)</f>
        <v>0</v>
      </c>
      <c r="L144" s="53">
        <f>SUMIF('2026 AC'!$B$3:$B$254,"*"&amp;$D144&amp;"*",'2026 AC'!J$3:J$254)</f>
        <v>0</v>
      </c>
      <c r="M144" s="53">
        <f>SUMIF('2026 AC'!$B$3:$B$254,"*"&amp;$D144&amp;"*",'2026 AC'!K$3:K$254)</f>
        <v>0</v>
      </c>
      <c r="N144" s="53">
        <f>SUMIF('2026 AC'!$B$3:$B$254,"*"&amp;$D144&amp;"*",'2026 AC'!L$3:L$254)</f>
        <v>0</v>
      </c>
      <c r="O144" s="53">
        <f>SUMIF('2026 AC'!$B$3:$B$254,"*"&amp;$D144&amp;"*",'2026 AC'!M$3:M$254)</f>
        <v>0</v>
      </c>
      <c r="P144" s="93">
        <f>SUMIF('2026 AC'!$B$3:$B$254,"*"&amp;$D144&amp;"*",'2026 AC'!N$3:N$254)</f>
        <v>0</v>
      </c>
      <c r="Q144" s="92">
        <f t="shared" si="285"/>
        <v>3535</v>
      </c>
      <c r="R144" s="93">
        <f t="shared" si="287"/>
        <v>1935</v>
      </c>
      <c r="S144" s="93">
        <f t="shared" si="292"/>
        <v>1600</v>
      </c>
      <c r="T144" s="93">
        <f t="shared" si="289"/>
        <v>0</v>
      </c>
      <c r="U144" s="93">
        <f t="shared" si="290"/>
        <v>0</v>
      </c>
      <c r="V144" s="92">
        <f t="shared" si="291"/>
        <v>3535</v>
      </c>
    </row>
    <row r="145" outlineLevel="1">
      <c r="A145" t="s">
        <v>327</v>
      </c>
      <c r="B145" t="s">
        <v>328</v>
      </c>
      <c r="C145" s="34" t="s">
        <v>329</v>
      </c>
      <c r="D145" s="35" t="s">
        <v>328</v>
      </c>
      <c r="E145" s="63">
        <f>SUMIF('2026 AC'!$B$3:$B$254,"*"&amp;$D145&amp;"*",'2026 AC'!C$3:C$254)</f>
        <v>0</v>
      </c>
      <c r="F145" s="53">
        <f>SUMIF('2026 AC'!$B$3:$B$254,"*"&amp;$D145&amp;"*",'2026 AC'!D$3:D$254)</f>
        <v>0</v>
      </c>
      <c r="G145" s="53">
        <f>SUMIF('2026 AC'!$B$3:$B$254,"*"&amp;$D145&amp;"*",'2026 AC'!E$3:E$254)</f>
        <v>0</v>
      </c>
      <c r="H145" s="53">
        <f>SUMIF('2026 AC'!$B$3:$B$254,"*"&amp;$D145&amp;"*",'2026 AC'!F$3:F$254)</f>
        <v>30</v>
      </c>
      <c r="I145" s="53">
        <f>SUMIF('2026 AC'!$B$3:$B$254,"*"&amp;$D145&amp;"*",'2026 AC'!G$3:G$254)</f>
        <v>0</v>
      </c>
      <c r="J145" s="53">
        <f>SUMIF('2026 AC'!$B$3:$B$254,"*"&amp;$D145&amp;"*",'2026 AC'!H$3:H$254)</f>
        <v>0</v>
      </c>
      <c r="K145" s="53">
        <f>SUMIF('2026 AC'!$B$3:$B$254,"*"&amp;$D145&amp;"*",'2026 AC'!I$3:I$254)</f>
        <v>0</v>
      </c>
      <c r="L145" s="53">
        <f>SUMIF('2026 AC'!$B$3:$B$254,"*"&amp;$D145&amp;"*",'2026 AC'!J$3:J$254)</f>
        <v>0</v>
      </c>
      <c r="M145" s="53">
        <f>SUMIF('2026 AC'!$B$3:$B$254,"*"&amp;$D145&amp;"*",'2026 AC'!K$3:K$254)</f>
        <v>0</v>
      </c>
      <c r="N145" s="53">
        <f>SUMIF('2026 AC'!$B$3:$B$254,"*"&amp;$D145&amp;"*",'2026 AC'!L$3:L$254)</f>
        <v>0</v>
      </c>
      <c r="O145" s="53">
        <f>SUMIF('2026 AC'!$B$3:$B$254,"*"&amp;$D145&amp;"*",'2026 AC'!M$3:M$254)</f>
        <v>0</v>
      </c>
      <c r="P145" s="93">
        <f>SUMIF('2026 AC'!$B$3:$B$254,"*"&amp;$D145&amp;"*",'2026 AC'!N$3:N$254)</f>
        <v>0</v>
      </c>
      <c r="Q145" s="92">
        <f t="shared" si="285"/>
        <v>30</v>
      </c>
      <c r="R145" s="93">
        <f t="shared" si="287"/>
        <v>0</v>
      </c>
      <c r="S145" s="93">
        <f t="shared" si="292"/>
        <v>30</v>
      </c>
      <c r="T145" s="93">
        <f t="shared" si="289"/>
        <v>0</v>
      </c>
      <c r="U145" s="93">
        <f t="shared" si="290"/>
        <v>0</v>
      </c>
      <c r="V145" s="92">
        <f t="shared" si="291"/>
        <v>30</v>
      </c>
    </row>
    <row r="146" outlineLevel="1">
      <c r="A146" t="s">
        <v>330</v>
      </c>
      <c r="B146" t="s">
        <v>331</v>
      </c>
      <c r="C146" s="34" t="s">
        <v>332</v>
      </c>
      <c r="D146" s="35" t="s">
        <v>331</v>
      </c>
      <c r="E146" s="63">
        <f>SUMIF('2026 AC'!$B$3:$B$254,"*"&amp;$D146&amp;"*",'2026 AC'!C$3:C$254)</f>
        <v>50.969999999999999</v>
      </c>
      <c r="F146" s="53">
        <f>SUMIF('2026 AC'!$B$3:$B$254,"*"&amp;$D146&amp;"*",'2026 AC'!D$3:D$254)</f>
        <v>930</v>
      </c>
      <c r="G146" s="53">
        <f>SUMIF('2026 AC'!$B$3:$B$254,"*"&amp;$D146&amp;"*",'2026 AC'!E$3:E$254)</f>
        <v>7467</v>
      </c>
      <c r="H146" s="53">
        <f>SUMIF('2026 AC'!$B$3:$B$254,"*"&amp;$D146&amp;"*",'2026 AC'!F$3:F$254)</f>
        <v>45</v>
      </c>
      <c r="I146" s="53">
        <f>SUMIF('2026 AC'!$B$3:$B$254,"*"&amp;$D146&amp;"*",'2026 AC'!G$3:G$254)</f>
        <v>270</v>
      </c>
      <c r="J146" s="53">
        <f>SUMIF('2026 AC'!$B$3:$B$254,"*"&amp;$D146&amp;"*",'2026 AC'!H$3:H$254)</f>
        <v>0</v>
      </c>
      <c r="K146" s="53">
        <f>SUMIF('2026 AC'!$B$3:$B$254,"*"&amp;$D146&amp;"*",'2026 AC'!I$3:I$254)</f>
        <v>0</v>
      </c>
      <c r="L146" s="53">
        <f>SUMIF('2026 AC'!$B$3:$B$254,"*"&amp;$D146&amp;"*",'2026 AC'!J$3:J$254)</f>
        <v>0</v>
      </c>
      <c r="M146" s="53">
        <f>SUMIF('2026 AC'!$B$3:$B$254,"*"&amp;$D146&amp;"*",'2026 AC'!K$3:K$254)</f>
        <v>0</v>
      </c>
      <c r="N146" s="53">
        <f>SUMIF('2026 AC'!$B$3:$B$254,"*"&amp;$D146&amp;"*",'2026 AC'!L$3:L$254)</f>
        <v>0</v>
      </c>
      <c r="O146" s="53">
        <f>SUMIF('2026 AC'!$B$3:$B$254,"*"&amp;$D146&amp;"*",'2026 AC'!M$3:M$254)</f>
        <v>0</v>
      </c>
      <c r="P146" s="93">
        <f>SUMIF('2026 AC'!$B$3:$B$254,"*"&amp;$D146&amp;"*",'2026 AC'!N$3:N$254)</f>
        <v>0</v>
      </c>
      <c r="Q146" s="92">
        <f t="shared" si="285"/>
        <v>8762.9699999999993</v>
      </c>
      <c r="R146" s="93">
        <f t="shared" si="287"/>
        <v>8447.9699999999993</v>
      </c>
      <c r="S146" s="93">
        <f t="shared" si="292"/>
        <v>315</v>
      </c>
      <c r="T146" s="93">
        <f t="shared" si="289"/>
        <v>0</v>
      </c>
      <c r="U146" s="93">
        <f t="shared" si="290"/>
        <v>0</v>
      </c>
      <c r="V146" s="92">
        <f t="shared" si="291"/>
        <v>8762.9699999999993</v>
      </c>
    </row>
    <row r="147" outlineLevel="1">
      <c r="A147" t="s">
        <v>333</v>
      </c>
      <c r="B147" t="s">
        <v>334</v>
      </c>
      <c r="C147" s="52" t="s">
        <v>335</v>
      </c>
      <c r="D147" s="35" t="s">
        <v>334</v>
      </c>
      <c r="E147" s="168">
        <f>SUMIF('2026 AC'!$B$3:$B$254,"*"&amp;$D147&amp;"*",'2026 AC'!C$3:C$254)</f>
        <v>0</v>
      </c>
      <c r="F147" s="169">
        <f>SUMIF('2026 AC'!$B$3:$B$254,"*"&amp;$D147&amp;"*",'2026 AC'!D$3:D$254)</f>
        <v>0</v>
      </c>
      <c r="G147" s="169">
        <f>SUMIF('2026 AC'!$B$3:$B$254,"*"&amp;$D147&amp;"*",'2026 AC'!E$3:E$254)</f>
        <v>0</v>
      </c>
      <c r="H147" s="169">
        <f>SUMIF('2026 AC'!$B$3:$B$254,"*"&amp;$D147&amp;"*",'2026 AC'!F$3:F$254)</f>
        <v>0</v>
      </c>
      <c r="I147" s="169">
        <f>SUMIF('2026 AC'!$B$3:$B$254,"*"&amp;$D147&amp;"*",'2026 AC'!G$3:G$254)</f>
        <v>0</v>
      </c>
      <c r="J147" s="169">
        <f>SUMIF('2026 AC'!$B$3:$B$254,"*"&amp;$D147&amp;"*",'2026 AC'!H$3:H$254)</f>
        <v>0</v>
      </c>
      <c r="K147" s="169">
        <f>SUMIF('2026 AC'!$B$3:$B$254,"*"&amp;$D147&amp;"*",'2026 AC'!I$3:I$254)</f>
        <v>0</v>
      </c>
      <c r="L147" s="169">
        <f>SUMIF('2026 AC'!$B$3:$B$254,"*"&amp;$D147&amp;"*",'2026 AC'!J$3:J$254)</f>
        <v>0</v>
      </c>
      <c r="M147" s="169">
        <f>SUMIF('2026 AC'!$B$3:$B$254,"*"&amp;$D147&amp;"*",'2026 AC'!K$3:K$254)</f>
        <v>0</v>
      </c>
      <c r="N147" s="169">
        <f>SUMIF('2026 AC'!$B$3:$B$254,"*"&amp;$D147&amp;"*",'2026 AC'!L$3:L$254)</f>
        <v>0</v>
      </c>
      <c r="O147" s="169">
        <f>SUMIF('2026 AC'!$B$3:$B$254,"*"&amp;$D147&amp;"*",'2026 AC'!M$3:M$254)</f>
        <v>0</v>
      </c>
      <c r="P147" s="170">
        <f>SUMIF('2026 AC'!$B$3:$B$254,"*"&amp;$D147&amp;"*",'2026 AC'!N$3:N$254)</f>
        <v>0</v>
      </c>
      <c r="Q147" s="171">
        <f t="shared" si="285"/>
        <v>0</v>
      </c>
      <c r="R147" s="170">
        <f t="shared" si="287"/>
        <v>0</v>
      </c>
      <c r="S147" s="170">
        <f t="shared" si="292"/>
        <v>0</v>
      </c>
      <c r="T147" s="170">
        <f t="shared" si="289"/>
        <v>0</v>
      </c>
      <c r="U147" s="170">
        <f t="shared" si="290"/>
        <v>0</v>
      </c>
      <c r="V147" s="171">
        <f t="shared" si="291"/>
        <v>0</v>
      </c>
    </row>
    <row r="148" outlineLevel="1">
      <c r="A148" t="s">
        <v>336</v>
      </c>
      <c r="B148" t="s">
        <v>337</v>
      </c>
      <c r="C148" s="34" t="s">
        <v>338</v>
      </c>
      <c r="D148" s="35" t="s">
        <v>337</v>
      </c>
      <c r="E148" s="63">
        <f>SUMIF('2026 AC'!$B$3:$B$254,"*"&amp;$D148&amp;"*",'2026 AC'!C$3:C$254)</f>
        <v>0</v>
      </c>
      <c r="F148" s="53">
        <f>SUMIF('2026 AC'!$B$3:$B$254,"*"&amp;$D148&amp;"*",'2026 AC'!D$3:D$254)</f>
        <v>0</v>
      </c>
      <c r="G148" s="53">
        <f>SUMIF('2026 AC'!$B$3:$B$254,"*"&amp;$D148&amp;"*",'2026 AC'!E$3:E$254)</f>
        <v>0</v>
      </c>
      <c r="H148" s="53">
        <f>SUMIF('2026 AC'!$B$3:$B$254,"*"&amp;$D148&amp;"*",'2026 AC'!F$3:F$254)</f>
        <v>0</v>
      </c>
      <c r="I148" s="53">
        <f>SUMIF('2026 AC'!$B$3:$B$254,"*"&amp;$D148&amp;"*",'2026 AC'!G$3:G$254)</f>
        <v>2017.1500000000001</v>
      </c>
      <c r="J148" s="53">
        <f>SUMIF('2026 AC'!$B$3:$B$254,"*"&amp;$D148&amp;"*",'2026 AC'!H$3:H$254)</f>
        <v>0</v>
      </c>
      <c r="K148" s="53">
        <f>SUMIF('2026 AC'!$B$3:$B$254,"*"&amp;$D148&amp;"*",'2026 AC'!I$3:I$254)</f>
        <v>0</v>
      </c>
      <c r="L148" s="53">
        <f>SUMIF('2026 AC'!$B$3:$B$254,"*"&amp;$D148&amp;"*",'2026 AC'!J$3:J$254)</f>
        <v>0</v>
      </c>
      <c r="M148" s="53">
        <f>SUMIF('2026 AC'!$B$3:$B$254,"*"&amp;$D148&amp;"*",'2026 AC'!K$3:K$254)</f>
        <v>0</v>
      </c>
      <c r="N148" s="53">
        <f>SUMIF('2026 AC'!$B$3:$B$254,"*"&amp;$D148&amp;"*",'2026 AC'!L$3:L$254)</f>
        <v>0</v>
      </c>
      <c r="O148" s="53">
        <f>SUMIF('2026 AC'!$B$3:$B$254,"*"&amp;$D148&amp;"*",'2026 AC'!M$3:M$254)</f>
        <v>0</v>
      </c>
      <c r="P148" s="93">
        <f>SUMIF('2026 AC'!$B$3:$B$254,"*"&amp;$D148&amp;"*",'2026 AC'!N$3:N$254)</f>
        <v>0</v>
      </c>
      <c r="Q148" s="92">
        <f t="shared" si="285"/>
        <v>2017.1500000000001</v>
      </c>
      <c r="R148" s="93">
        <f t="shared" si="287"/>
        <v>0</v>
      </c>
      <c r="S148" s="93">
        <f t="shared" si="292"/>
        <v>2017.1500000000001</v>
      </c>
      <c r="T148" s="93">
        <f t="shared" si="289"/>
        <v>0</v>
      </c>
      <c r="U148" s="93">
        <f t="shared" si="290"/>
        <v>0</v>
      </c>
      <c r="V148" s="92">
        <f t="shared" si="291"/>
        <v>2017.1500000000001</v>
      </c>
    </row>
    <row r="149" outlineLevel="1">
      <c r="A149" t="s">
        <v>339</v>
      </c>
      <c r="B149" t="s">
        <v>340</v>
      </c>
      <c r="C149" s="52" t="s">
        <v>341</v>
      </c>
      <c r="D149" s="35" t="s">
        <v>340</v>
      </c>
      <c r="E149" s="63">
        <f>SUMIF('2026 AC'!$B$3:$B$254,"*"&amp;$D149&amp;"*",'2026 AC'!C$3:C$254)</f>
        <v>0</v>
      </c>
      <c r="F149" s="53">
        <f>SUMIF('2026 AC'!$B$3:$B$254,"*"&amp;$D149&amp;"*",'2026 AC'!D$3:D$254)</f>
        <v>0</v>
      </c>
      <c r="G149" s="53">
        <f>SUMIF('2026 AC'!$B$3:$B$254,"*"&amp;$D149&amp;"*",'2026 AC'!E$3:E$254)</f>
        <v>0</v>
      </c>
      <c r="H149" s="53">
        <f>SUMIF('2026 AC'!$B$3:$B$254,"*"&amp;$D149&amp;"*",'2026 AC'!F$3:F$254)</f>
        <v>0</v>
      </c>
      <c r="I149" s="53">
        <f>SUMIF('2026 AC'!$B$3:$B$254,"*"&amp;$D149&amp;"*",'2026 AC'!G$3:G$254)</f>
        <v>0</v>
      </c>
      <c r="J149" s="53">
        <f>SUMIF('2026 AC'!$B$3:$B$254,"*"&amp;$D149&amp;"*",'2026 AC'!H$3:H$254)</f>
        <v>0</v>
      </c>
      <c r="K149" s="53">
        <f>SUMIF('2026 AC'!$B$3:$B$254,"*"&amp;$D149&amp;"*",'2026 AC'!I$3:I$254)</f>
        <v>0</v>
      </c>
      <c r="L149" s="53">
        <f>SUMIF('2026 AC'!$B$3:$B$254,"*"&amp;$D149&amp;"*",'2026 AC'!J$3:J$254)</f>
        <v>0</v>
      </c>
      <c r="M149" s="53">
        <f>SUMIF('2026 AC'!$B$3:$B$254,"*"&amp;$D149&amp;"*",'2026 AC'!K$3:K$254)</f>
        <v>0</v>
      </c>
      <c r="N149" s="53">
        <f>SUMIF('2026 AC'!$B$3:$B$254,"*"&amp;$D149&amp;"*",'2026 AC'!L$3:L$254)</f>
        <v>0</v>
      </c>
      <c r="O149" s="53">
        <f>SUMIF('2026 AC'!$B$3:$B$254,"*"&amp;$D149&amp;"*",'2026 AC'!M$3:M$254)</f>
        <v>0</v>
      </c>
      <c r="P149" s="93">
        <f>SUMIF('2026 AC'!$B$3:$B$254,"*"&amp;$D149&amp;"*",'2026 AC'!N$3:N$254)</f>
        <v>0</v>
      </c>
      <c r="Q149" s="92">
        <f t="shared" si="285"/>
        <v>0</v>
      </c>
      <c r="R149" s="93">
        <f t="shared" si="287"/>
        <v>0</v>
      </c>
      <c r="S149" s="93">
        <f t="shared" si="292"/>
        <v>0</v>
      </c>
      <c r="T149" s="93">
        <f t="shared" si="289"/>
        <v>0</v>
      </c>
      <c r="U149" s="93">
        <f t="shared" si="290"/>
        <v>0</v>
      </c>
      <c r="V149" s="92">
        <f t="shared" si="291"/>
        <v>0</v>
      </c>
    </row>
    <row r="150" outlineLevel="1">
      <c r="A150" t="s">
        <v>342</v>
      </c>
      <c r="B150" t="s">
        <v>343</v>
      </c>
      <c r="C150" s="52" t="s">
        <v>344</v>
      </c>
      <c r="D150" s="35" t="s">
        <v>343</v>
      </c>
      <c r="E150" s="63">
        <f>SUMIF('2026 AC'!$B$3:$B$254,"*"&amp;$D150&amp;"*",'2026 AC'!C$3:C$254)</f>
        <v>0</v>
      </c>
      <c r="F150" s="53">
        <f>SUMIF('2026 AC'!$B$3:$B$254,"*"&amp;$D150&amp;"*",'2026 AC'!D$3:D$254)</f>
        <v>0</v>
      </c>
      <c r="G150" s="53">
        <f>SUMIF('2026 AC'!$B$3:$B$254,"*"&amp;$D150&amp;"*",'2026 AC'!E$3:E$254)</f>
        <v>0</v>
      </c>
      <c r="H150" s="53">
        <f>SUMIF('2026 AC'!$B$3:$B$254,"*"&amp;$D150&amp;"*",'2026 AC'!F$3:F$254)</f>
        <v>0</v>
      </c>
      <c r="I150" s="53">
        <f>SUMIF('2026 AC'!$B$3:$B$254,"*"&amp;$D150&amp;"*",'2026 AC'!G$3:G$254)</f>
        <v>0</v>
      </c>
      <c r="J150" s="53">
        <f>SUMIF('2026 AC'!$B$3:$B$254,"*"&amp;$D150&amp;"*",'2026 AC'!H$3:H$254)</f>
        <v>0</v>
      </c>
      <c r="K150" s="53">
        <f>SUMIF('2026 AC'!$B$3:$B$254,"*"&amp;$D150&amp;"*",'2026 AC'!I$3:I$254)</f>
        <v>0</v>
      </c>
      <c r="L150" s="53">
        <f>SUMIF('2026 AC'!$B$3:$B$254,"*"&amp;$D150&amp;"*",'2026 AC'!J$3:J$254)</f>
        <v>0</v>
      </c>
      <c r="M150" s="53">
        <f>SUMIF('2026 AC'!$B$3:$B$254,"*"&amp;$D150&amp;"*",'2026 AC'!K$3:K$254)</f>
        <v>0</v>
      </c>
      <c r="N150" s="53">
        <f>SUMIF('2026 AC'!$B$3:$B$254,"*"&amp;$D150&amp;"*",'2026 AC'!L$3:L$254)</f>
        <v>0</v>
      </c>
      <c r="O150" s="53">
        <f>SUMIF('2026 AC'!$B$3:$B$254,"*"&amp;$D150&amp;"*",'2026 AC'!M$3:M$254)</f>
        <v>0</v>
      </c>
      <c r="P150" s="93">
        <f>SUMIF('2026 AC'!$B$3:$B$254,"*"&amp;$D150&amp;"*",'2026 AC'!N$3:N$254)</f>
        <v>0</v>
      </c>
      <c r="Q150" s="92">
        <f t="shared" si="285"/>
        <v>0</v>
      </c>
      <c r="R150" s="93">
        <f t="shared" si="287"/>
        <v>0</v>
      </c>
      <c r="S150" s="93">
        <f t="shared" si="292"/>
        <v>0</v>
      </c>
      <c r="T150" s="93">
        <f t="shared" si="289"/>
        <v>0</v>
      </c>
      <c r="U150" s="93">
        <f t="shared" si="290"/>
        <v>0</v>
      </c>
      <c r="V150" s="92">
        <f t="shared" si="291"/>
        <v>0</v>
      </c>
    </row>
    <row r="151" outlineLevel="1">
      <c r="A151" t="s">
        <v>345</v>
      </c>
      <c r="B151" t="s">
        <v>346</v>
      </c>
      <c r="C151" s="34" t="s">
        <v>347</v>
      </c>
      <c r="D151" s="35" t="s">
        <v>346</v>
      </c>
      <c r="E151" s="63">
        <f>SUMIF('2026 AC'!$B$3:$B$254,"*"&amp;$D151&amp;"*",'2026 AC'!C$3:C$254)</f>
        <v>0</v>
      </c>
      <c r="F151" s="53">
        <f>SUMIF('2026 AC'!$B$3:$B$254,"*"&amp;$D151&amp;"*",'2026 AC'!D$3:D$254)</f>
        <v>0</v>
      </c>
      <c r="G151" s="53">
        <f>SUMIF('2026 AC'!$B$3:$B$254,"*"&amp;$D151&amp;"*",'2026 AC'!E$3:E$254)</f>
        <v>0</v>
      </c>
      <c r="H151" s="53">
        <f>SUMIF('2026 AC'!$B$3:$B$254,"*"&amp;$D151&amp;"*",'2026 AC'!F$3:F$254)</f>
        <v>0</v>
      </c>
      <c r="I151" s="53">
        <f>SUMIF('2026 AC'!$B$3:$B$254,"*"&amp;$D151&amp;"*",'2026 AC'!G$3:G$254)</f>
        <v>0</v>
      </c>
      <c r="J151" s="53">
        <f>SUMIF('2026 AC'!$B$3:$B$254,"*"&amp;$D151&amp;"*",'2026 AC'!H$3:H$254)</f>
        <v>0</v>
      </c>
      <c r="K151" s="53">
        <f>SUMIF('2026 AC'!$B$3:$B$254,"*"&amp;$D151&amp;"*",'2026 AC'!I$3:I$254)</f>
        <v>0</v>
      </c>
      <c r="L151" s="53">
        <f>SUMIF('2026 AC'!$B$3:$B$254,"*"&amp;$D151&amp;"*",'2026 AC'!J$3:J$254)</f>
        <v>0</v>
      </c>
      <c r="M151" s="53">
        <f>SUMIF('2026 AC'!$B$3:$B$254,"*"&amp;$D151&amp;"*",'2026 AC'!K$3:K$254)</f>
        <v>0</v>
      </c>
      <c r="N151" s="53">
        <f>SUMIF('2026 AC'!$B$3:$B$254,"*"&amp;$D151&amp;"*",'2026 AC'!L$3:L$254)</f>
        <v>0</v>
      </c>
      <c r="O151" s="53">
        <f>SUMIF('2026 AC'!$B$3:$B$254,"*"&amp;$D151&amp;"*",'2026 AC'!M$3:M$254)</f>
        <v>0</v>
      </c>
      <c r="P151" s="93">
        <f>SUMIF('2026 AC'!$B$3:$B$254,"*"&amp;$D151&amp;"*",'2026 AC'!N$3:N$254)</f>
        <v>0</v>
      </c>
      <c r="Q151" s="92">
        <f t="shared" si="285"/>
        <v>0</v>
      </c>
      <c r="R151" s="93">
        <f t="shared" si="287"/>
        <v>0</v>
      </c>
      <c r="S151" s="93">
        <f t="shared" si="292"/>
        <v>0</v>
      </c>
      <c r="T151" s="93">
        <f t="shared" si="289"/>
        <v>0</v>
      </c>
      <c r="U151" s="93">
        <f t="shared" si="290"/>
        <v>0</v>
      </c>
      <c r="V151" s="92">
        <f t="shared" si="291"/>
        <v>0</v>
      </c>
    </row>
    <row r="152" outlineLevel="1">
      <c r="A152" t="s">
        <v>348</v>
      </c>
      <c r="B152" t="s">
        <v>349</v>
      </c>
      <c r="C152" s="34" t="s">
        <v>350</v>
      </c>
      <c r="D152" s="35" t="s">
        <v>349</v>
      </c>
      <c r="E152" s="63">
        <f>SUMIF('2026 AC'!$B$3:$B$254,"*"&amp;$D152&amp;"*",'2026 AC'!C$3:C$254)</f>
        <v>3166.5</v>
      </c>
      <c r="F152" s="53">
        <f>SUMIF('2026 AC'!$B$3:$B$254,"*"&amp;$D152&amp;"*",'2026 AC'!D$3:D$254)</f>
        <v>2698.2199999999998</v>
      </c>
      <c r="G152" s="53">
        <f>SUMIF('2026 AC'!$B$3:$B$254,"*"&amp;$D152&amp;"*",'2026 AC'!E$3:E$254)</f>
        <v>3123.4200000000001</v>
      </c>
      <c r="H152" s="53">
        <f>SUMIF('2026 AC'!$B$3:$B$254,"*"&amp;$D152&amp;"*",'2026 AC'!F$3:F$254)</f>
        <v>2253.6399999999999</v>
      </c>
      <c r="I152" s="53">
        <f>SUMIF('2026 AC'!$B$3:$B$254,"*"&amp;$D152&amp;"*",'2026 AC'!G$3:G$254)</f>
        <v>1223.48</v>
      </c>
      <c r="J152" s="53">
        <f>SUMIF('2026 AC'!$B$3:$B$254,"*"&amp;$D152&amp;"*",'2026 AC'!H$3:H$254)</f>
        <v>1385.26</v>
      </c>
      <c r="K152" s="53">
        <f>SUMIF('2026 AC'!$B$3:$B$254,"*"&amp;$D152&amp;"*",'2026 AC'!I$3:I$254)</f>
        <v>0</v>
      </c>
      <c r="L152" s="53">
        <f>SUMIF('2026 AC'!$B$3:$B$254,"*"&amp;$D152&amp;"*",'2026 AC'!J$3:J$254)</f>
        <v>0</v>
      </c>
      <c r="M152" s="53">
        <f>SUMIF('2026 AC'!$B$3:$B$254,"*"&amp;$D152&amp;"*",'2026 AC'!K$3:K$254)</f>
        <v>0</v>
      </c>
      <c r="N152" s="53">
        <f>SUMIF('2026 AC'!$B$3:$B$254,"*"&amp;$D152&amp;"*",'2026 AC'!L$3:L$254)</f>
        <v>0</v>
      </c>
      <c r="O152" s="53">
        <f>SUMIF('2026 AC'!$B$3:$B$254,"*"&amp;$D152&amp;"*",'2026 AC'!M$3:M$254)</f>
        <v>0</v>
      </c>
      <c r="P152" s="93">
        <f>SUMIF('2026 AC'!$B$3:$B$254,"*"&amp;$D152&amp;"*",'2026 AC'!N$3:N$254)</f>
        <v>0</v>
      </c>
      <c r="Q152" s="92">
        <f t="shared" si="285"/>
        <v>13850.519999999999</v>
      </c>
      <c r="R152" s="93">
        <f t="shared" si="287"/>
        <v>8988.1399999999994</v>
      </c>
      <c r="S152" s="93">
        <f t="shared" si="292"/>
        <v>4862.3800000000001</v>
      </c>
      <c r="T152" s="93">
        <f t="shared" si="289"/>
        <v>0</v>
      </c>
      <c r="U152" s="93">
        <f t="shared" si="290"/>
        <v>0</v>
      </c>
      <c r="V152" s="92">
        <f t="shared" si="291"/>
        <v>13850.52</v>
      </c>
    </row>
    <row r="153" outlineLevel="1">
      <c r="A153" t="s">
        <v>351</v>
      </c>
      <c r="B153" t="s">
        <v>352</v>
      </c>
      <c r="C153" s="34" t="s">
        <v>353</v>
      </c>
      <c r="D153" s="35" t="s">
        <v>352</v>
      </c>
      <c r="E153" s="63">
        <f>SUMIF('2026 AC'!$B$3:$B$254,"*"&amp;$D153&amp;"*",'2026 AC'!C$3:C$254)</f>
        <v>0</v>
      </c>
      <c r="F153" s="53">
        <f>SUMIF('2026 AC'!$B$3:$B$254,"*"&amp;$D153&amp;"*",'2026 AC'!D$3:D$254)</f>
        <v>180</v>
      </c>
      <c r="G153" s="53">
        <f>SUMIF('2026 AC'!$B$3:$B$254,"*"&amp;$D153&amp;"*",'2026 AC'!E$3:E$254)</f>
        <v>0</v>
      </c>
      <c r="H153" s="53">
        <f>SUMIF('2026 AC'!$B$3:$B$254,"*"&amp;$D153&amp;"*",'2026 AC'!F$3:F$254)</f>
        <v>0</v>
      </c>
      <c r="I153" s="53">
        <f>SUMIF('2026 AC'!$B$3:$B$254,"*"&amp;$D153&amp;"*",'2026 AC'!G$3:G$254)</f>
        <v>192</v>
      </c>
      <c r="J153" s="53">
        <f>SUMIF('2026 AC'!$B$3:$B$254,"*"&amp;$D153&amp;"*",'2026 AC'!H$3:H$254)</f>
        <v>32</v>
      </c>
      <c r="K153" s="53">
        <f>SUMIF('2026 AC'!$B$3:$B$254,"*"&amp;$D153&amp;"*",'2026 AC'!I$3:I$254)</f>
        <v>0</v>
      </c>
      <c r="L153" s="53">
        <f>SUMIF('2026 AC'!$B$3:$B$254,"*"&amp;$D153&amp;"*",'2026 AC'!J$3:J$254)</f>
        <v>0</v>
      </c>
      <c r="M153" s="53">
        <f>SUMIF('2026 AC'!$B$3:$B$254,"*"&amp;$D153&amp;"*",'2026 AC'!K$3:K$254)</f>
        <v>0</v>
      </c>
      <c r="N153" s="53">
        <f>SUMIF('2026 AC'!$B$3:$B$254,"*"&amp;$D153&amp;"*",'2026 AC'!L$3:L$254)</f>
        <v>0</v>
      </c>
      <c r="O153" s="53">
        <f>SUMIF('2026 AC'!$B$3:$B$254,"*"&amp;$D153&amp;"*",'2026 AC'!M$3:M$254)</f>
        <v>0</v>
      </c>
      <c r="P153" s="93">
        <f>SUMIF('2026 AC'!$B$3:$B$254,"*"&amp;$D153&amp;"*",'2026 AC'!N$3:N$254)</f>
        <v>0</v>
      </c>
      <c r="Q153" s="92">
        <f t="shared" si="285"/>
        <v>404</v>
      </c>
      <c r="R153" s="93">
        <f t="shared" si="287"/>
        <v>180</v>
      </c>
      <c r="S153" s="93">
        <f t="shared" si="292"/>
        <v>224</v>
      </c>
      <c r="T153" s="93">
        <f t="shared" si="289"/>
        <v>0</v>
      </c>
      <c r="U153" s="93">
        <f t="shared" si="290"/>
        <v>0</v>
      </c>
      <c r="V153" s="92">
        <f t="shared" si="291"/>
        <v>404</v>
      </c>
    </row>
    <row r="154" outlineLevel="1">
      <c r="A154" t="s">
        <v>354</v>
      </c>
      <c r="B154" t="s">
        <v>355</v>
      </c>
      <c r="C154" s="34" t="s">
        <v>356</v>
      </c>
      <c r="D154" s="35" t="s">
        <v>355</v>
      </c>
      <c r="E154" s="63">
        <f>SUMIF('2026 AC'!$B$3:$B$254,"*"&amp;$D154&amp;"*",'2026 AC'!C$3:C$254)</f>
        <v>1900</v>
      </c>
      <c r="F154" s="53">
        <f>SUMIF('2026 AC'!$B$3:$B$254,"*"&amp;$D154&amp;"*",'2026 AC'!D$3:D$254)</f>
        <v>2219.2399999999998</v>
      </c>
      <c r="G154" s="53">
        <f>SUMIF('2026 AC'!$B$3:$B$254,"*"&amp;$D154&amp;"*",'2026 AC'!E$3:E$254)</f>
        <v>1900</v>
      </c>
      <c r="H154" s="53">
        <f>SUMIF('2026 AC'!$B$3:$B$254,"*"&amp;$D154&amp;"*",'2026 AC'!F$3:F$254)</f>
        <v>1900</v>
      </c>
      <c r="I154" s="53">
        <f>SUMIF('2026 AC'!$B$3:$B$254,"*"&amp;$D154&amp;"*",'2026 AC'!G$3:G$254)</f>
        <v>4300</v>
      </c>
      <c r="J154" s="53">
        <f>SUMIF('2026 AC'!$B$3:$B$254,"*"&amp;$D154&amp;"*",'2026 AC'!H$3:H$254)</f>
        <v>1900</v>
      </c>
      <c r="K154" s="53">
        <f>SUMIF('2026 AC'!$B$3:$B$254,"*"&amp;$D154&amp;"*",'2026 AC'!I$3:I$254)</f>
        <v>0</v>
      </c>
      <c r="L154" s="53">
        <f>SUMIF('2026 AC'!$B$3:$B$254,"*"&amp;$D154&amp;"*",'2026 AC'!J$3:J$254)</f>
        <v>0</v>
      </c>
      <c r="M154" s="53">
        <f>SUMIF('2026 AC'!$B$3:$B$254,"*"&amp;$D154&amp;"*",'2026 AC'!K$3:K$254)</f>
        <v>0</v>
      </c>
      <c r="N154" s="53">
        <f>SUMIF('2026 AC'!$B$3:$B$254,"*"&amp;$D154&amp;"*",'2026 AC'!L$3:L$254)</f>
        <v>0</v>
      </c>
      <c r="O154" s="53">
        <f>SUMIF('2026 AC'!$B$3:$B$254,"*"&amp;$D154&amp;"*",'2026 AC'!M$3:M$254)</f>
        <v>0</v>
      </c>
      <c r="P154" s="93">
        <f>SUMIF('2026 AC'!$B$3:$B$254,"*"&amp;$D154&amp;"*",'2026 AC'!N$3:N$254)</f>
        <v>0</v>
      </c>
      <c r="Q154" s="92">
        <f t="shared" si="285"/>
        <v>14119.24</v>
      </c>
      <c r="R154" s="93">
        <f t="shared" si="287"/>
        <v>6019.2399999999998</v>
      </c>
      <c r="S154" s="93">
        <f t="shared" si="292"/>
        <v>8100</v>
      </c>
      <c r="T154" s="93">
        <f t="shared" si="289"/>
        <v>0</v>
      </c>
      <c r="U154" s="93">
        <f t="shared" si="290"/>
        <v>0</v>
      </c>
      <c r="V154" s="92">
        <f t="shared" si="291"/>
        <v>14119.24</v>
      </c>
    </row>
    <row r="155" s="137" customFormat="1">
      <c r="A155" s="137" t="s">
        <v>357</v>
      </c>
      <c r="B155" s="137" t="s">
        <v>358</v>
      </c>
      <c r="C155" s="187" t="s">
        <v>359</v>
      </c>
      <c r="D155" s="139" t="s">
        <v>360</v>
      </c>
      <c r="E155" s="145">
        <f>SUMIF('2026 AC'!$B$3:$B$254,"*"&amp;$D155&amp;"*",'2026 AC'!C$3:C$254)</f>
        <v>7</v>
      </c>
      <c r="F155" s="146">
        <f>SUMIF('2026 AC'!$B$3:$B$254,"*"&amp;$D155&amp;"*",'2026 AC'!D$3:D$254)</f>
        <v>7</v>
      </c>
      <c r="G155" s="146">
        <f>SUMIF('2026 AC'!$B$3:$B$254,"*"&amp;$D155&amp;"*",'2026 AC'!E$3:E$254)</f>
        <v>7</v>
      </c>
      <c r="H155" s="146">
        <f>SUMIF('2026 AC'!$B$3:$B$254,"*"&amp;$D155&amp;"*",'2026 AC'!F$3:F$254)</f>
        <v>14.300000000000001</v>
      </c>
      <c r="I155" s="146">
        <f>SUMIF('2026 AC'!$B$3:$B$254,"*"&amp;$D155&amp;"*",'2026 AC'!G$3:G$254)</f>
        <v>57.5</v>
      </c>
      <c r="J155" s="146">
        <f>SUMIF('2026 AC'!$B$3:$B$254,"*"&amp;$D155&amp;"*",'2026 AC'!H$3:H$254)</f>
        <v>14.300000000000001</v>
      </c>
      <c r="K155" s="146">
        <f>SUMIF('2026 AC'!$B$3:$B$254,"*"&amp;$D155&amp;"*",'2026 AC'!I$3:I$254)</f>
        <v>0</v>
      </c>
      <c r="L155" s="146">
        <f>SUMIF('2026 AC'!$B$3:$B$254,"*"&amp;$D155&amp;"*",'2026 AC'!J$3:J$254)</f>
        <v>0</v>
      </c>
      <c r="M155" s="146">
        <f>SUMIF('2026 AC'!$B$3:$B$254,"*"&amp;$D155&amp;"*",'2026 AC'!K$3:K$254)</f>
        <v>0</v>
      </c>
      <c r="N155" s="146">
        <f>SUMIF('2026 AC'!$B$3:$B$254,"*"&amp;$D155&amp;"*",'2026 AC'!L$3:L$254)</f>
        <v>0</v>
      </c>
      <c r="O155" s="146">
        <f>SUMIF('2026 AC'!$B$3:$B$254,"*"&amp;$D155&amp;"*",'2026 AC'!M$3:M$254)</f>
        <v>0</v>
      </c>
      <c r="P155" s="147">
        <f>SUMIF('2026 AC'!$B$3:$B$254,"*"&amp;$D155&amp;"*",'2026 AC'!N$3:N$254)</f>
        <v>0</v>
      </c>
      <c r="Q155" s="148">
        <f t="shared" si="285"/>
        <v>107.09999999999999</v>
      </c>
      <c r="R155" s="147">
        <f t="shared" si="287"/>
        <v>21</v>
      </c>
      <c r="S155" s="147">
        <f t="shared" si="292"/>
        <v>86.099999999999994</v>
      </c>
      <c r="T155" s="147">
        <f t="shared" si="289"/>
        <v>0</v>
      </c>
      <c r="U155" s="147">
        <f t="shared" si="290"/>
        <v>0</v>
      </c>
      <c r="V155" s="148">
        <f t="shared" si="291"/>
        <v>107.09999999999999</v>
      </c>
    </row>
    <row r="156" ht="15" customHeight="1" outlineLevel="1">
      <c r="A156" t="s">
        <v>361</v>
      </c>
      <c r="B156" t="s">
        <v>362</v>
      </c>
      <c r="C156" s="52" t="s">
        <v>363</v>
      </c>
      <c r="D156" s="35" t="s">
        <v>364</v>
      </c>
      <c r="E156" s="63">
        <f>SUMIF('2026 AC'!$B$3:$B$254,"*"&amp;$D156&amp;"*",'2026 AC'!C$3:C$254)</f>
        <v>7</v>
      </c>
      <c r="F156" s="53">
        <f>SUMIF('2026 AC'!$B$3:$B$254,"*"&amp;$D156&amp;"*",'2026 AC'!D$3:D$254)</f>
        <v>7</v>
      </c>
      <c r="G156" s="53">
        <f>SUMIF('2026 AC'!$B$3:$B$254,"*"&amp;$D156&amp;"*",'2026 AC'!E$3:E$254)</f>
        <v>7</v>
      </c>
      <c r="H156" s="53">
        <f>SUMIF('2026 AC'!$B$3:$B$254,"*"&amp;$D156&amp;"*",'2026 AC'!F$3:F$254)</f>
        <v>14.300000000000001</v>
      </c>
      <c r="I156" s="53">
        <f>SUMIF('2026 AC'!$B$3:$B$254,"*"&amp;$D156&amp;"*",'2026 AC'!G$3:G$254)</f>
        <v>57.5</v>
      </c>
      <c r="J156" s="53">
        <f>SUMIF('2026 AC'!$B$3:$B$254,"*"&amp;$D156&amp;"*",'2026 AC'!H$3:H$254)</f>
        <v>14.300000000000001</v>
      </c>
      <c r="K156" s="53">
        <f>SUMIF('2026 AC'!$B$3:$B$254,"*"&amp;$D156&amp;"*",'2026 AC'!I$3:I$254)</f>
        <v>0</v>
      </c>
      <c r="L156" s="53">
        <f>SUMIF('2026 AC'!$B$3:$B$254,"*"&amp;$D156&amp;"*",'2026 AC'!J$3:J$254)</f>
        <v>0</v>
      </c>
      <c r="M156" s="53">
        <f>SUMIF('2026 AC'!$B$3:$B$254,"*"&amp;$D156&amp;"*",'2026 AC'!K$3:K$254)</f>
        <v>0</v>
      </c>
      <c r="N156" s="53">
        <f>SUMIF('2026 AC'!$B$3:$B$254,"*"&amp;$D156&amp;"*",'2026 AC'!L$3:L$254)</f>
        <v>0</v>
      </c>
      <c r="O156" s="53">
        <f>SUMIF('2026 AC'!$B$3:$B$254,"*"&amp;$D156&amp;"*",'2026 AC'!M$3:M$254)</f>
        <v>0</v>
      </c>
      <c r="P156" s="93">
        <f>SUMIF('2026 AC'!$B$3:$B$254,"*"&amp;$D156&amp;"*",'2026 AC'!N$3:N$254)</f>
        <v>0</v>
      </c>
      <c r="Q156" s="92">
        <f t="shared" si="285"/>
        <v>107.09999999999999</v>
      </c>
      <c r="R156" s="93">
        <f t="shared" si="287"/>
        <v>21</v>
      </c>
      <c r="S156" s="93">
        <f t="shared" si="292"/>
        <v>86.099999999999994</v>
      </c>
      <c r="T156" s="93">
        <f t="shared" si="289"/>
        <v>0</v>
      </c>
      <c r="U156" s="93">
        <f t="shared" si="290"/>
        <v>0</v>
      </c>
      <c r="V156" s="92">
        <f t="shared" si="291"/>
        <v>107.09999999999999</v>
      </c>
    </row>
    <row r="157" ht="15" customHeight="1" outlineLevel="1">
      <c r="A157" t="s">
        <v>365</v>
      </c>
      <c r="B157" t="s">
        <v>366</v>
      </c>
      <c r="C157" s="52" t="s">
        <v>367</v>
      </c>
      <c r="D157" s="35" t="s">
        <v>368</v>
      </c>
      <c r="E157" s="63">
        <f>SUMIF('2026 AC'!$B$3:$B$254,"*"&amp;$D157&amp;"*",'2026 AC'!C$3:C$254)</f>
        <v>0</v>
      </c>
      <c r="F157" s="53">
        <f>SUMIF('2026 AC'!$B$3:$B$254,"*"&amp;$D157&amp;"*",'2026 AC'!D$3:D$254)</f>
        <v>0</v>
      </c>
      <c r="G157" s="53">
        <f>SUMIF('2026 AC'!$B$3:$B$254,"*"&amp;$D157&amp;"*",'2026 AC'!E$3:E$254)</f>
        <v>0</v>
      </c>
      <c r="H157" s="53">
        <f>SUMIF('2026 AC'!$B$3:$B$254,"*"&amp;$D157&amp;"*",'2026 AC'!F$3:F$254)</f>
        <v>0</v>
      </c>
      <c r="I157" s="53">
        <f>SUMIF('2026 AC'!$B$3:$B$254,"*"&amp;$D157&amp;"*",'2026 AC'!G$3:G$254)</f>
        <v>0</v>
      </c>
      <c r="J157" s="53">
        <f>SUMIF('2026 AC'!$B$3:$B$254,"*"&amp;$D157&amp;"*",'2026 AC'!H$3:H$254)</f>
        <v>0</v>
      </c>
      <c r="K157" s="53">
        <f>SUMIF('2026 AC'!$B$3:$B$254,"*"&amp;$D157&amp;"*",'2026 AC'!I$3:I$254)</f>
        <v>0</v>
      </c>
      <c r="L157" s="53">
        <f>SUMIF('2026 AC'!$B$3:$B$254,"*"&amp;$D157&amp;"*",'2026 AC'!J$3:J$254)</f>
        <v>0</v>
      </c>
      <c r="M157" s="53">
        <f>SUMIF('2026 AC'!$B$3:$B$254,"*"&amp;$D157&amp;"*",'2026 AC'!K$3:K$254)</f>
        <v>0</v>
      </c>
      <c r="N157" s="53">
        <f>SUMIF('2026 AC'!$B$3:$B$254,"*"&amp;$D157&amp;"*",'2026 AC'!L$3:L$254)</f>
        <v>0</v>
      </c>
      <c r="O157" s="53">
        <f>SUMIF('2026 AC'!$B$3:$B$254,"*"&amp;$D157&amp;"*",'2026 AC'!M$3:M$254)</f>
        <v>0</v>
      </c>
      <c r="P157" s="93">
        <f>SUMIF('2026 AC'!$B$3:$B$254,"*"&amp;$D157&amp;"*",'2026 AC'!N$3:N$254)</f>
        <v>0</v>
      </c>
      <c r="Q157" s="92">
        <f t="shared" si="285"/>
        <v>0</v>
      </c>
      <c r="R157" s="93">
        <f t="shared" si="287"/>
        <v>0</v>
      </c>
      <c r="S157" s="93">
        <f t="shared" si="292"/>
        <v>0</v>
      </c>
      <c r="T157" s="93">
        <f t="shared" si="289"/>
        <v>0</v>
      </c>
      <c r="U157" s="93">
        <f t="shared" si="290"/>
        <v>0</v>
      </c>
      <c r="V157" s="92">
        <f t="shared" si="291"/>
        <v>0</v>
      </c>
    </row>
    <row r="158" s="137" customFormat="1" ht="15" customHeight="1">
      <c r="A158" s="137" t="s">
        <v>369</v>
      </c>
      <c r="B158" s="137" t="s">
        <v>370</v>
      </c>
      <c r="C158" s="187" t="s">
        <v>371</v>
      </c>
      <c r="D158" s="139" t="s">
        <v>372</v>
      </c>
      <c r="E158" s="145">
        <f>SUMIF('2026 AC'!$B$3:$B$254,"*"&amp;$D158&amp;"*",'2026 AC'!C$3:C$254)</f>
        <v>94363.399999999994</v>
      </c>
      <c r="F158" s="146">
        <f>SUMIF('2026 AC'!$B$3:$B$254,"*"&amp;$D158&amp;"*",'2026 AC'!D$3:D$254)</f>
        <v>98888.529999999999</v>
      </c>
      <c r="G158" s="146">
        <f>SUMIF('2026 AC'!$B$3:$B$254,"*"&amp;$D158&amp;"*",'2026 AC'!E$3:E$254)</f>
        <v>98817.899999999994</v>
      </c>
      <c r="H158" s="146">
        <f>SUMIF('2026 AC'!$B$3:$B$254,"*"&amp;$D158&amp;"*",'2026 AC'!F$3:F$254)</f>
        <v>100279.34</v>
      </c>
      <c r="I158" s="146">
        <f>SUMIF('2026 AC'!$B$3:$B$254,"*"&amp;$D158&amp;"*",'2026 AC'!G$3:G$254)</f>
        <v>100447.44</v>
      </c>
      <c r="J158" s="146">
        <f>SUMIF('2026 AC'!$B$3:$B$254,"*"&amp;$D158&amp;"*",'2026 AC'!H$3:H$254)</f>
        <v>100454.36</v>
      </c>
      <c r="K158" s="146">
        <f>SUMIF('2026 AC'!$B$3:$B$254,"*"&amp;$D158&amp;"*",'2026 AC'!I$3:I$254)</f>
        <v>0</v>
      </c>
      <c r="L158" s="146">
        <f>SUMIF('2026 AC'!$B$3:$B$254,"*"&amp;$D158&amp;"*",'2026 AC'!J$3:J$254)</f>
        <v>0</v>
      </c>
      <c r="M158" s="146">
        <f>SUMIF('2026 AC'!$B$3:$B$254,"*"&amp;$D158&amp;"*",'2026 AC'!K$3:K$254)</f>
        <v>0</v>
      </c>
      <c r="N158" s="146">
        <f>SUMIF('2026 AC'!$B$3:$B$254,"*"&amp;$D158&amp;"*",'2026 AC'!L$3:L$254)</f>
        <v>0</v>
      </c>
      <c r="O158" s="146">
        <f>SUMIF('2026 AC'!$B$3:$B$254,"*"&amp;$D158&amp;"*",'2026 AC'!M$3:M$254)</f>
        <v>0</v>
      </c>
      <c r="P158" s="147">
        <f>SUMIF('2026 AC'!$B$3:$B$254,"*"&amp;$D158&amp;"*",'2026 AC'!N$3:N$254)</f>
        <v>0</v>
      </c>
      <c r="Q158" s="148">
        <f t="shared" si="285"/>
        <v>593250.96999999997</v>
      </c>
      <c r="R158" s="147">
        <f t="shared" si="287"/>
        <v>292069.82999999996</v>
      </c>
      <c r="S158" s="147">
        <f t="shared" si="292"/>
        <v>301181.14000000001</v>
      </c>
      <c r="T158" s="147">
        <f t="shared" si="289"/>
        <v>0</v>
      </c>
      <c r="U158" s="147">
        <f t="shared" si="290"/>
        <v>0</v>
      </c>
      <c r="V158" s="148">
        <f t="shared" si="291"/>
        <v>593250.96999999997</v>
      </c>
    </row>
    <row r="159" s="137" customFormat="1" ht="15" customHeight="1">
      <c r="A159" s="137" t="s">
        <v>373</v>
      </c>
      <c r="B159" s="137" t="s">
        <v>374</v>
      </c>
      <c r="C159" s="187" t="s">
        <v>268</v>
      </c>
      <c r="D159" s="139" t="s">
        <v>375</v>
      </c>
      <c r="E159" s="145">
        <f>SUMIF('2026 AC'!$B$3:$B$254,"*"&amp;$D159&amp;"*",'2026 AC'!C$3:C$254)</f>
        <v>151422.98000000001</v>
      </c>
      <c r="F159" s="146">
        <f>SUMIF('2026 AC'!$B$3:$B$254,"*"&amp;$D159&amp;"*",'2026 AC'!D$3:D$254)</f>
        <v>161972.45999999999</v>
      </c>
      <c r="G159" s="146">
        <f>SUMIF('2026 AC'!$B$3:$B$254,"*"&amp;$D159&amp;"*",'2026 AC'!E$3:E$254)</f>
        <v>198047.62</v>
      </c>
      <c r="H159" s="146">
        <f>SUMIF('2026 AC'!$B$3:$B$254,"*"&amp;$D159&amp;"*",'2026 AC'!F$3:F$254)</f>
        <v>147031.66</v>
      </c>
      <c r="I159" s="146">
        <f>SUMIF('2026 AC'!$B$3:$B$254,"*"&amp;$D159&amp;"*",'2026 AC'!G$3:G$254)</f>
        <v>164601.32999999999</v>
      </c>
      <c r="J159" s="146">
        <f>SUMIF('2026 AC'!$B$3:$B$254,"*"&amp;$D159&amp;"*",'2026 AC'!H$3:H$254)</f>
        <v>156331.67999999999</v>
      </c>
      <c r="K159" s="146">
        <f>SUMIF('2026 AC'!$B$3:$B$254,"*"&amp;$D159&amp;"*",'2026 AC'!I$3:I$254)</f>
        <v>0</v>
      </c>
      <c r="L159" s="146">
        <f>SUMIF('2026 AC'!$B$3:$B$254,"*"&amp;$D159&amp;"*",'2026 AC'!J$3:J$254)</f>
        <v>0</v>
      </c>
      <c r="M159" s="146">
        <f>SUMIF('2026 AC'!$B$3:$B$254,"*"&amp;$D159&amp;"*",'2026 AC'!K$3:K$254)</f>
        <v>0</v>
      </c>
      <c r="N159" s="146">
        <f>SUMIF('2026 AC'!$B$3:$B$254,"*"&amp;$D159&amp;"*",'2026 AC'!L$3:L$254)</f>
        <v>0</v>
      </c>
      <c r="O159" s="146">
        <f>SUMIF('2026 AC'!$B$3:$B$254,"*"&amp;$D159&amp;"*",'2026 AC'!M$3:M$254)</f>
        <v>0</v>
      </c>
      <c r="P159" s="147">
        <f>SUMIF('2026 AC'!$B$3:$B$254,"*"&amp;$D159&amp;"*",'2026 AC'!N$3:N$254)</f>
        <v>0</v>
      </c>
      <c r="Q159" s="148">
        <f t="shared" si="285"/>
        <v>979407.72999999998</v>
      </c>
      <c r="R159" s="147">
        <f t="shared" si="287"/>
        <v>511443.06</v>
      </c>
      <c r="S159" s="147">
        <f t="shared" si="292"/>
        <v>467964.66999999998</v>
      </c>
      <c r="T159" s="147">
        <f t="shared" si="289"/>
        <v>0</v>
      </c>
      <c r="U159" s="147">
        <f t="shared" si="290"/>
        <v>0</v>
      </c>
      <c r="V159" s="148">
        <f t="shared" si="291"/>
        <v>979407.72999999998</v>
      </c>
    </row>
    <row r="160" ht="15" customHeight="1" outlineLevel="1">
      <c r="A160" t="s">
        <v>376</v>
      </c>
      <c r="B160" t="s">
        <v>377</v>
      </c>
      <c r="C160" s="34" t="s">
        <v>378</v>
      </c>
      <c r="D160" s="35" t="s">
        <v>379</v>
      </c>
      <c r="E160" s="63">
        <f>SUMIF('2026 AC'!$B$3:$B$254,"*"&amp;$D160&amp;"*",'2026 AC'!C$3:C$254)</f>
        <v>0</v>
      </c>
      <c r="F160" s="53">
        <f>SUMIF('2026 AC'!$B$3:$B$254,"*"&amp;$D160&amp;"*",'2026 AC'!D$3:D$254)</f>
        <v>0</v>
      </c>
      <c r="G160" s="53">
        <f>SUMIF('2026 AC'!$B$3:$B$254,"*"&amp;$D160&amp;"*",'2026 AC'!E$3:E$254)</f>
        <v>0</v>
      </c>
      <c r="H160" s="53">
        <f>SUMIF('2026 AC'!$B$3:$B$254,"*"&amp;$D160&amp;"*",'2026 AC'!F$3:F$254)</f>
        <v>0</v>
      </c>
      <c r="I160" s="53">
        <f>SUMIF('2026 AC'!$B$3:$B$254,"*"&amp;$D160&amp;"*",'2026 AC'!G$3:G$254)</f>
        <v>0</v>
      </c>
      <c r="J160" s="53">
        <f>SUMIF('2026 AC'!$B$3:$B$254,"*"&amp;$D160&amp;"*",'2026 AC'!H$3:H$254)</f>
        <v>0</v>
      </c>
      <c r="K160" s="53">
        <f>SUMIF('2026 AC'!$B$3:$B$254,"*"&amp;$D160&amp;"*",'2026 AC'!I$3:I$254)</f>
        <v>0</v>
      </c>
      <c r="L160" s="53">
        <f>SUMIF('2026 AC'!$B$3:$B$254,"*"&amp;$D160&amp;"*",'2026 AC'!J$3:J$254)</f>
        <v>0</v>
      </c>
      <c r="M160" s="53">
        <f>SUMIF('2026 AC'!$B$3:$B$254,"*"&amp;$D160&amp;"*",'2026 AC'!K$3:K$254)</f>
        <v>0</v>
      </c>
      <c r="N160" s="53">
        <f>SUMIF('2026 AC'!$B$3:$B$254,"*"&amp;$D160&amp;"*",'2026 AC'!L$3:L$254)</f>
        <v>0</v>
      </c>
      <c r="O160" s="53">
        <f>SUMIF('2026 AC'!$B$3:$B$254,"*"&amp;$D160&amp;"*",'2026 AC'!M$3:M$254)</f>
        <v>0</v>
      </c>
      <c r="P160" s="93">
        <f>SUMIF('2026 AC'!$B$3:$B$254,"*"&amp;$D160&amp;"*",'2026 AC'!N$3:N$254)</f>
        <v>0</v>
      </c>
      <c r="Q160" s="92">
        <f t="shared" si="285"/>
        <v>0</v>
      </c>
      <c r="R160" s="93">
        <f t="shared" si="287"/>
        <v>0</v>
      </c>
      <c r="S160" s="93">
        <f t="shared" si="292"/>
        <v>0</v>
      </c>
      <c r="T160" s="93">
        <f t="shared" si="289"/>
        <v>0</v>
      </c>
      <c r="U160" s="93">
        <f t="shared" si="290"/>
        <v>0</v>
      </c>
      <c r="V160" s="92">
        <f t="shared" si="291"/>
        <v>0</v>
      </c>
    </row>
    <row r="161" ht="15" customHeight="1" outlineLevel="1">
      <c r="A161" t="s">
        <v>380</v>
      </c>
      <c r="B161" t="s">
        <v>381</v>
      </c>
      <c r="C161" s="34" t="s">
        <v>382</v>
      </c>
      <c r="D161" s="35" t="s">
        <v>383</v>
      </c>
      <c r="E161" s="63">
        <f>SUMIF('2026 AC'!$B$3:$B$254,"*"&amp;$D161&amp;"*",'2026 AC'!C$3:C$254)</f>
        <v>0</v>
      </c>
      <c r="F161" s="53">
        <f>SUMIF('2026 AC'!$B$3:$B$254,"*"&amp;$D161&amp;"*",'2026 AC'!D$3:D$254)</f>
        <v>0</v>
      </c>
      <c r="G161" s="53">
        <f>SUMIF('2026 AC'!$B$3:$B$254,"*"&amp;$D161&amp;"*",'2026 AC'!E$3:E$254)</f>
        <v>0</v>
      </c>
      <c r="H161" s="53">
        <f>SUMIF('2026 AC'!$B$3:$B$254,"*"&amp;$D161&amp;"*",'2026 AC'!F$3:F$254)</f>
        <v>0</v>
      </c>
      <c r="I161" s="53">
        <f>SUMIF('2026 AC'!$B$3:$B$254,"*"&amp;$D161&amp;"*",'2026 AC'!G$3:G$254)</f>
        <v>0</v>
      </c>
      <c r="J161" s="53">
        <f>SUMIF('2026 AC'!$B$3:$B$254,"*"&amp;$D161&amp;"*",'2026 AC'!H$3:H$254)</f>
        <v>0</v>
      </c>
      <c r="K161" s="53">
        <f>SUMIF('2026 AC'!$B$3:$B$254,"*"&amp;$D161&amp;"*",'2026 AC'!I$3:I$254)</f>
        <v>0</v>
      </c>
      <c r="L161" s="53">
        <f>SUMIF('2026 AC'!$B$3:$B$254,"*"&amp;$D161&amp;"*",'2026 AC'!J$3:J$254)</f>
        <v>0</v>
      </c>
      <c r="M161" s="53">
        <f>SUMIF('2026 AC'!$B$3:$B$254,"*"&amp;$D161&amp;"*",'2026 AC'!K$3:K$254)</f>
        <v>0</v>
      </c>
      <c r="N161" s="53">
        <f>SUMIF('2026 AC'!$B$3:$B$254,"*"&amp;$D161&amp;"*",'2026 AC'!L$3:L$254)</f>
        <v>0</v>
      </c>
      <c r="O161" s="53">
        <f>SUMIF('2026 AC'!$B$3:$B$254,"*"&amp;$D161&amp;"*",'2026 AC'!M$3:M$254)</f>
        <v>0</v>
      </c>
      <c r="P161" s="93">
        <f>SUMIF('2026 AC'!$B$3:$B$254,"*"&amp;$D161&amp;"*",'2026 AC'!N$3:N$254)</f>
        <v>0</v>
      </c>
      <c r="Q161" s="92">
        <f t="shared" si="285"/>
        <v>0</v>
      </c>
      <c r="R161" s="93">
        <f t="shared" si="287"/>
        <v>0</v>
      </c>
      <c r="S161" s="93">
        <f t="shared" si="292"/>
        <v>0</v>
      </c>
      <c r="T161" s="93">
        <f t="shared" si="289"/>
        <v>0</v>
      </c>
      <c r="U161" s="93">
        <f t="shared" si="290"/>
        <v>0</v>
      </c>
      <c r="V161" s="92">
        <f t="shared" si="291"/>
        <v>0</v>
      </c>
    </row>
    <row r="162" ht="15" customHeight="1" outlineLevel="1">
      <c r="A162" t="s">
        <v>384</v>
      </c>
      <c r="B162" t="s">
        <v>385</v>
      </c>
      <c r="C162" s="34" t="s">
        <v>386</v>
      </c>
      <c r="D162" s="35" t="s">
        <v>387</v>
      </c>
      <c r="E162" s="63">
        <f>SUMIF('2026 AC'!$B$3:$B$254,"*"&amp;$D162&amp;"*",'2026 AC'!C$3:C$254)</f>
        <v>0</v>
      </c>
      <c r="F162" s="53">
        <f>SUMIF('2026 AC'!$B$3:$B$254,"*"&amp;$D162&amp;"*",'2026 AC'!D$3:D$254)</f>
        <v>0</v>
      </c>
      <c r="G162" s="53">
        <f>SUMIF('2026 AC'!$B$3:$B$254,"*"&amp;$D162&amp;"*",'2026 AC'!E$3:E$254)</f>
        <v>0</v>
      </c>
      <c r="H162" s="53">
        <f>SUMIF('2026 AC'!$B$3:$B$254,"*"&amp;$D162&amp;"*",'2026 AC'!F$3:F$254)</f>
        <v>0</v>
      </c>
      <c r="I162" s="53">
        <f>SUMIF('2026 AC'!$B$3:$B$254,"*"&amp;$D162&amp;"*",'2026 AC'!G$3:G$254)</f>
        <v>0</v>
      </c>
      <c r="J162" s="53">
        <f>SUMIF('2026 AC'!$B$3:$B$254,"*"&amp;$D162&amp;"*",'2026 AC'!H$3:H$254)</f>
        <v>0</v>
      </c>
      <c r="K162" s="53">
        <f>SUMIF('2026 AC'!$B$3:$B$254,"*"&amp;$D162&amp;"*",'2026 AC'!I$3:I$254)</f>
        <v>0</v>
      </c>
      <c r="L162" s="53">
        <f>SUMIF('2026 AC'!$B$3:$B$254,"*"&amp;$D162&amp;"*",'2026 AC'!J$3:J$254)</f>
        <v>0</v>
      </c>
      <c r="M162" s="53">
        <f>SUMIF('2026 AC'!$B$3:$B$254,"*"&amp;$D162&amp;"*",'2026 AC'!K$3:K$254)</f>
        <v>0</v>
      </c>
      <c r="N162" s="53">
        <f>SUMIF('2026 AC'!$B$3:$B$254,"*"&amp;$D162&amp;"*",'2026 AC'!L$3:L$254)</f>
        <v>0</v>
      </c>
      <c r="O162" s="53">
        <f>SUMIF('2026 AC'!$B$3:$B$254,"*"&amp;$D162&amp;"*",'2026 AC'!M$3:M$254)</f>
        <v>0</v>
      </c>
      <c r="P162" s="93">
        <f>SUMIF('2026 AC'!$B$3:$B$254,"*"&amp;$D162&amp;"*",'2026 AC'!N$3:N$254)</f>
        <v>0</v>
      </c>
      <c r="Q162" s="92">
        <f t="shared" si="285"/>
        <v>0</v>
      </c>
      <c r="R162" s="93">
        <f t="shared" si="287"/>
        <v>0</v>
      </c>
      <c r="S162" s="93">
        <f t="shared" si="292"/>
        <v>0</v>
      </c>
      <c r="T162" s="93">
        <f t="shared" si="289"/>
        <v>0</v>
      </c>
      <c r="U162" s="93">
        <f t="shared" si="290"/>
        <v>0</v>
      </c>
      <c r="V162" s="92">
        <f t="shared" si="291"/>
        <v>0</v>
      </c>
    </row>
    <row r="163" ht="15" customHeight="1" outlineLevel="1">
      <c r="A163" t="s">
        <v>388</v>
      </c>
      <c r="B163" t="s">
        <v>389</v>
      </c>
      <c r="C163" s="34" t="s">
        <v>390</v>
      </c>
      <c r="D163" s="35" t="s">
        <v>391</v>
      </c>
      <c r="E163" s="63">
        <f>SUMIF('2026 AC'!$B$3:$B$254,"*"&amp;$D163&amp;"*",'2026 AC'!C$3:C$254)</f>
        <v>41.100000000000001</v>
      </c>
      <c r="F163" s="53">
        <f>SUMIF('2026 AC'!$B$3:$B$254,"*"&amp;$D163&amp;"*",'2026 AC'!D$3:D$254)</f>
        <v>81.200000000000003</v>
      </c>
      <c r="G163" s="53">
        <f>SUMIF('2026 AC'!$B$3:$B$254,"*"&amp;$D163&amp;"*",'2026 AC'!E$3:E$254)</f>
        <v>317.51999999999998</v>
      </c>
      <c r="H163" s="53">
        <f>SUMIF('2026 AC'!$B$3:$B$254,"*"&amp;$D163&amp;"*",'2026 AC'!F$3:F$254)</f>
        <v>64.549999999999997</v>
      </c>
      <c r="I163" s="53">
        <f>SUMIF('2026 AC'!$B$3:$B$254,"*"&amp;$D163&amp;"*",'2026 AC'!G$3:G$254)</f>
        <v>42.799999999999997</v>
      </c>
      <c r="J163" s="53">
        <f>SUMIF('2026 AC'!$B$3:$B$254,"*"&amp;$D163&amp;"*",'2026 AC'!H$3:H$254)</f>
        <v>207.80000000000001</v>
      </c>
      <c r="K163" s="53">
        <f>SUMIF('2026 AC'!$B$3:$B$254,"*"&amp;$D163&amp;"*",'2026 AC'!I$3:I$254)</f>
        <v>0</v>
      </c>
      <c r="L163" s="53">
        <f>SUMIF('2026 AC'!$B$3:$B$254,"*"&amp;$D163&amp;"*",'2026 AC'!J$3:J$254)</f>
        <v>0</v>
      </c>
      <c r="M163" s="53">
        <f>SUMIF('2026 AC'!$B$3:$B$254,"*"&amp;$D163&amp;"*",'2026 AC'!K$3:K$254)</f>
        <v>0</v>
      </c>
      <c r="N163" s="53">
        <f>SUMIF('2026 AC'!$B$3:$B$254,"*"&amp;$D163&amp;"*",'2026 AC'!L$3:L$254)</f>
        <v>0</v>
      </c>
      <c r="O163" s="53">
        <f>SUMIF('2026 AC'!$B$3:$B$254,"*"&amp;$D163&amp;"*",'2026 AC'!M$3:M$254)</f>
        <v>0</v>
      </c>
      <c r="P163" s="93">
        <f>SUMIF('2026 AC'!$B$3:$B$254,"*"&amp;$D163&amp;"*",'2026 AC'!N$3:N$254)</f>
        <v>0</v>
      </c>
      <c r="Q163" s="92">
        <f t="shared" si="285"/>
        <v>754.97000000000003</v>
      </c>
      <c r="R163" s="93">
        <f t="shared" si="287"/>
        <v>439.81999999999999</v>
      </c>
      <c r="S163" s="93">
        <f t="shared" si="292"/>
        <v>315.14999999999998</v>
      </c>
      <c r="T163" s="93">
        <f t="shared" si="289"/>
        <v>0</v>
      </c>
      <c r="U163" s="93">
        <f t="shared" si="290"/>
        <v>0</v>
      </c>
      <c r="V163" s="92">
        <f t="shared" si="291"/>
        <v>754.97000000000003</v>
      </c>
    </row>
    <row r="164" ht="15" customHeight="1" outlineLevel="1">
      <c r="A164" t="s">
        <v>392</v>
      </c>
      <c r="B164" t="s">
        <v>393</v>
      </c>
      <c r="C164" s="34" t="s">
        <v>394</v>
      </c>
      <c r="D164" s="35" t="s">
        <v>395</v>
      </c>
      <c r="E164" s="63">
        <f>SUMIF('2026 AC'!$B$3:$B$254,"*"&amp;$D164&amp;"*",'2026 AC'!C$3:C$254)</f>
        <v>4250</v>
      </c>
      <c r="F164" s="53">
        <f>SUMIF('2026 AC'!$B$3:$B$254,"*"&amp;$D164&amp;"*",'2026 AC'!D$3:D$254)</f>
        <v>3785.71</v>
      </c>
      <c r="G164" s="53">
        <f>SUMIF('2026 AC'!$B$3:$B$254,"*"&amp;$D164&amp;"*",'2026 AC'!E$3:E$254)</f>
        <v>3096.77</v>
      </c>
      <c r="H164" s="53">
        <f>SUMIF('2026 AC'!$B$3:$B$254,"*"&amp;$D164&amp;"*",'2026 AC'!F$3:F$254)</f>
        <v>3473.3299999999999</v>
      </c>
      <c r="I164" s="53">
        <f>SUMIF('2026 AC'!$B$3:$B$254,"*"&amp;$D164&amp;"*",'2026 AC'!G$3:G$254)</f>
        <v>15200</v>
      </c>
      <c r="J164" s="53">
        <f>SUMIF('2026 AC'!$B$3:$B$254,"*"&amp;$D164&amp;"*",'2026 AC'!H$3:H$254)</f>
        <v>0</v>
      </c>
      <c r="K164" s="53">
        <f>SUMIF('2026 AC'!$B$3:$B$254,"*"&amp;$D164&amp;"*",'2026 AC'!I$3:I$254)</f>
        <v>0</v>
      </c>
      <c r="L164" s="53">
        <f>SUMIF('2026 AC'!$B$3:$B$254,"*"&amp;$D164&amp;"*",'2026 AC'!J$3:J$254)</f>
        <v>0</v>
      </c>
      <c r="M164" s="53">
        <f>SUMIF('2026 AC'!$B$3:$B$254,"*"&amp;$D164&amp;"*",'2026 AC'!K$3:K$254)</f>
        <v>0</v>
      </c>
      <c r="N164" s="53">
        <f>SUMIF('2026 AC'!$B$3:$B$254,"*"&amp;$D164&amp;"*",'2026 AC'!L$3:L$254)</f>
        <v>0</v>
      </c>
      <c r="O164" s="53">
        <f>SUMIF('2026 AC'!$B$3:$B$254,"*"&amp;$D164&amp;"*",'2026 AC'!M$3:M$254)</f>
        <v>0</v>
      </c>
      <c r="P164" s="93">
        <f>SUMIF('2026 AC'!$B$3:$B$254,"*"&amp;$D164&amp;"*",'2026 AC'!N$3:N$254)</f>
        <v>0</v>
      </c>
      <c r="Q164" s="92">
        <f t="shared" si="285"/>
        <v>29805.809999999998</v>
      </c>
      <c r="R164" s="93">
        <f t="shared" si="287"/>
        <v>11132.48</v>
      </c>
      <c r="S164" s="93">
        <f t="shared" si="292"/>
        <v>18673.330000000002</v>
      </c>
      <c r="T164" s="93">
        <f t="shared" si="289"/>
        <v>0</v>
      </c>
      <c r="U164" s="93">
        <f t="shared" si="290"/>
        <v>0</v>
      </c>
      <c r="V164" s="92">
        <f t="shared" si="291"/>
        <v>29805.810000000001</v>
      </c>
    </row>
    <row r="165" ht="15" customHeight="1" outlineLevel="1">
      <c r="A165" t="s">
        <v>396</v>
      </c>
      <c r="B165" t="s">
        <v>397</v>
      </c>
      <c r="C165" s="34" t="s">
        <v>398</v>
      </c>
      <c r="D165" s="35" t="s">
        <v>399</v>
      </c>
      <c r="E165" s="63">
        <f>SUMIF('2026 AC'!$B$3:$B$254,"*"&amp;$D165&amp;"*",'2026 AC'!C$3:C$254)</f>
        <v>8957.7299999999996</v>
      </c>
      <c r="F165" s="53">
        <f>SUMIF('2026 AC'!$B$3:$B$254,"*"&amp;$D165&amp;"*",'2026 AC'!D$3:D$254)</f>
        <v>8094</v>
      </c>
      <c r="G165" s="53">
        <f>SUMIF('2026 AC'!$B$3:$B$254,"*"&amp;$D165&amp;"*",'2026 AC'!E$3:E$254)</f>
        <v>4710</v>
      </c>
      <c r="H165" s="53">
        <f>SUMIF('2026 AC'!$B$3:$B$254,"*"&amp;$D165&amp;"*",'2026 AC'!F$3:F$254)</f>
        <v>3935.5999999999999</v>
      </c>
      <c r="I165" s="53">
        <f>SUMIF('2026 AC'!$B$3:$B$254,"*"&amp;$D165&amp;"*",'2026 AC'!G$3:G$254)</f>
        <v>4559.5</v>
      </c>
      <c r="J165" s="53">
        <f>SUMIF('2026 AC'!$B$3:$B$254,"*"&amp;$D165&amp;"*",'2026 AC'!H$3:H$254)</f>
        <v>3701</v>
      </c>
      <c r="K165" s="53">
        <f>SUMIF('2026 AC'!$B$3:$B$254,"*"&amp;$D165&amp;"*",'2026 AC'!I$3:I$254)</f>
        <v>0</v>
      </c>
      <c r="L165" s="53">
        <f>SUMIF('2026 AC'!$B$3:$B$254,"*"&amp;$D165&amp;"*",'2026 AC'!J$3:J$254)</f>
        <v>0</v>
      </c>
      <c r="M165" s="53">
        <f>SUMIF('2026 AC'!$B$3:$B$254,"*"&amp;$D165&amp;"*",'2026 AC'!K$3:K$254)</f>
        <v>0</v>
      </c>
      <c r="N165" s="53">
        <f>SUMIF('2026 AC'!$B$3:$B$254,"*"&amp;$D165&amp;"*",'2026 AC'!L$3:L$254)</f>
        <v>0</v>
      </c>
      <c r="O165" s="53">
        <f>SUMIF('2026 AC'!$B$3:$B$254,"*"&amp;$D165&amp;"*",'2026 AC'!M$3:M$254)</f>
        <v>0</v>
      </c>
      <c r="P165" s="93">
        <f>SUMIF('2026 AC'!$B$3:$B$254,"*"&amp;$D165&amp;"*",'2026 AC'!N$3:N$254)</f>
        <v>0</v>
      </c>
      <c r="Q165" s="92">
        <f t="shared" si="285"/>
        <v>33957.830000000002</v>
      </c>
      <c r="R165" s="93">
        <f t="shared" si="287"/>
        <v>21761.73</v>
      </c>
      <c r="S165" s="93">
        <f t="shared" si="292"/>
        <v>12196.1</v>
      </c>
      <c r="T165" s="93">
        <f t="shared" si="289"/>
        <v>0</v>
      </c>
      <c r="U165" s="93">
        <f t="shared" si="290"/>
        <v>0</v>
      </c>
      <c r="V165" s="92">
        <f t="shared" si="291"/>
        <v>33957.830000000002</v>
      </c>
    </row>
    <row r="166" ht="15" customHeight="1" outlineLevel="1">
      <c r="A166" t="s">
        <v>400</v>
      </c>
      <c r="B166" t="s">
        <v>401</v>
      </c>
      <c r="C166" s="34" t="s">
        <v>402</v>
      </c>
      <c r="D166" s="35" t="s">
        <v>403</v>
      </c>
      <c r="E166" s="63">
        <f>SUMIF('2026 AC'!$B$3:$B$254,"*"&amp;$D166&amp;"*",'2026 AC'!C$3:C$254)</f>
        <v>660</v>
      </c>
      <c r="F166" s="53">
        <f>SUMIF('2026 AC'!$B$3:$B$254,"*"&amp;$D166&amp;"*",'2026 AC'!D$3:D$254)</f>
        <v>445</v>
      </c>
      <c r="G166" s="53">
        <f>SUMIF('2026 AC'!$B$3:$B$254,"*"&amp;$D166&amp;"*",'2026 AC'!E$3:E$254)</f>
        <v>180</v>
      </c>
      <c r="H166" s="53">
        <f>SUMIF('2026 AC'!$B$3:$B$254,"*"&amp;$D166&amp;"*",'2026 AC'!F$3:F$254)</f>
        <v>1720</v>
      </c>
      <c r="I166" s="53">
        <f>SUMIF('2026 AC'!$B$3:$B$254,"*"&amp;$D166&amp;"*",'2026 AC'!G$3:G$254)</f>
        <v>620</v>
      </c>
      <c r="J166" s="53">
        <f>SUMIF('2026 AC'!$B$3:$B$254,"*"&amp;$D166&amp;"*",'2026 AC'!H$3:H$254)</f>
        <v>0</v>
      </c>
      <c r="K166" s="53">
        <f>SUMIF('2026 AC'!$B$3:$B$254,"*"&amp;$D166&amp;"*",'2026 AC'!I$3:I$254)</f>
        <v>0</v>
      </c>
      <c r="L166" s="53">
        <f>SUMIF('2026 AC'!$B$3:$B$254,"*"&amp;$D166&amp;"*",'2026 AC'!J$3:J$254)</f>
        <v>0</v>
      </c>
      <c r="M166" s="53">
        <f>SUMIF('2026 AC'!$B$3:$B$254,"*"&amp;$D166&amp;"*",'2026 AC'!K$3:K$254)</f>
        <v>0</v>
      </c>
      <c r="N166" s="53">
        <f>SUMIF('2026 AC'!$B$3:$B$254,"*"&amp;$D166&amp;"*",'2026 AC'!L$3:L$254)</f>
        <v>0</v>
      </c>
      <c r="O166" s="53">
        <f>SUMIF('2026 AC'!$B$3:$B$254,"*"&amp;$D166&amp;"*",'2026 AC'!M$3:M$254)</f>
        <v>0</v>
      </c>
      <c r="P166" s="93">
        <f>SUMIF('2026 AC'!$B$3:$B$254,"*"&amp;$D166&amp;"*",'2026 AC'!N$3:N$254)</f>
        <v>0</v>
      </c>
      <c r="Q166" s="92">
        <f t="shared" si="285"/>
        <v>3625</v>
      </c>
      <c r="R166" s="93">
        <f t="shared" si="287"/>
        <v>1285</v>
      </c>
      <c r="S166" s="93">
        <f t="shared" si="292"/>
        <v>2340</v>
      </c>
      <c r="T166" s="93">
        <f t="shared" si="289"/>
        <v>0</v>
      </c>
      <c r="U166" s="93">
        <f t="shared" si="290"/>
        <v>0</v>
      </c>
      <c r="V166" s="92">
        <f t="shared" si="291"/>
        <v>3625</v>
      </c>
    </row>
    <row r="167" ht="15" customHeight="1" outlineLevel="1">
      <c r="A167" t="s">
        <v>404</v>
      </c>
      <c r="B167" t="s">
        <v>405</v>
      </c>
      <c r="C167" s="34" t="s">
        <v>406</v>
      </c>
      <c r="D167" s="35" t="s">
        <v>407</v>
      </c>
      <c r="E167" s="63">
        <f>SUMIF('2026 AC'!$B$3:$B$254,"*"&amp;$D167&amp;"*",'2026 AC'!C$3:C$254)</f>
        <v>4870.6099999999997</v>
      </c>
      <c r="F167" s="53">
        <f>SUMIF('2026 AC'!$B$3:$B$254,"*"&amp;$D167&amp;"*",'2026 AC'!D$3:D$254)</f>
        <v>4870.6099999999997</v>
      </c>
      <c r="G167" s="53">
        <f>SUMIF('2026 AC'!$B$3:$B$254,"*"&amp;$D167&amp;"*",'2026 AC'!E$3:E$254)</f>
        <v>4870.6099999999997</v>
      </c>
      <c r="H167" s="53">
        <f>SUMIF('2026 AC'!$B$3:$B$254,"*"&amp;$D167&amp;"*",'2026 AC'!F$3:F$254)</f>
        <v>4870.6099999999997</v>
      </c>
      <c r="I167" s="53">
        <f>SUMIF('2026 AC'!$B$3:$B$254,"*"&amp;$D167&amp;"*",'2026 AC'!G$3:G$254)</f>
        <v>4870.6099999999997</v>
      </c>
      <c r="J167" s="53">
        <f>SUMIF('2026 AC'!$B$3:$B$254,"*"&amp;$D167&amp;"*",'2026 AC'!H$3:H$254)</f>
        <v>4870.6099999999997</v>
      </c>
      <c r="K167" s="53">
        <f>SUMIF('2026 AC'!$B$3:$B$254,"*"&amp;$D167&amp;"*",'2026 AC'!I$3:I$254)</f>
        <v>0</v>
      </c>
      <c r="L167" s="53">
        <f>SUMIF('2026 AC'!$B$3:$B$254,"*"&amp;$D167&amp;"*",'2026 AC'!J$3:J$254)</f>
        <v>0</v>
      </c>
      <c r="M167" s="53">
        <f>SUMIF('2026 AC'!$B$3:$B$254,"*"&amp;$D167&amp;"*",'2026 AC'!K$3:K$254)</f>
        <v>0</v>
      </c>
      <c r="N167" s="53">
        <f>SUMIF('2026 AC'!$B$3:$B$254,"*"&amp;$D167&amp;"*",'2026 AC'!L$3:L$254)</f>
        <v>0</v>
      </c>
      <c r="O167" s="53">
        <f>SUMIF('2026 AC'!$B$3:$B$254,"*"&amp;$D167&amp;"*",'2026 AC'!M$3:M$254)</f>
        <v>0</v>
      </c>
      <c r="P167" s="93">
        <f>SUMIF('2026 AC'!$B$3:$B$254,"*"&amp;$D167&amp;"*",'2026 AC'!N$3:N$254)</f>
        <v>0</v>
      </c>
      <c r="Q167" s="92">
        <f t="shared" si="285"/>
        <v>29223.66</v>
      </c>
      <c r="R167" s="93">
        <f t="shared" si="287"/>
        <v>14611.829999999998</v>
      </c>
      <c r="S167" s="93">
        <f t="shared" si="292"/>
        <v>14611.829999999998</v>
      </c>
      <c r="T167" s="93">
        <f t="shared" si="289"/>
        <v>0</v>
      </c>
      <c r="U167" s="93">
        <f t="shared" si="290"/>
        <v>0</v>
      </c>
      <c r="V167" s="92">
        <f t="shared" si="291"/>
        <v>29223.659999999996</v>
      </c>
    </row>
    <row r="168" ht="15" customHeight="1" outlineLevel="1">
      <c r="A168" t="s">
        <v>408</v>
      </c>
      <c r="B168" t="s">
        <v>409</v>
      </c>
      <c r="C168" s="34" t="s">
        <v>410</v>
      </c>
      <c r="D168" s="35" t="s">
        <v>411</v>
      </c>
      <c r="E168" s="63">
        <f>SUMIF('2026 AC'!$B$3:$B$254,"*"&amp;$D168&amp;"*",'2026 AC'!C$3:C$254)</f>
        <v>0</v>
      </c>
      <c r="F168" s="53">
        <f>SUMIF('2026 AC'!$B$3:$B$254,"*"&amp;$D168&amp;"*",'2026 AC'!D$3:D$254)</f>
        <v>0</v>
      </c>
      <c r="G168" s="53">
        <f>SUMIF('2026 AC'!$B$3:$B$254,"*"&amp;$D168&amp;"*",'2026 AC'!E$3:E$254)</f>
        <v>0</v>
      </c>
      <c r="H168" s="53">
        <f>SUMIF('2026 AC'!$B$3:$B$254,"*"&amp;$D168&amp;"*",'2026 AC'!F$3:F$254)</f>
        <v>0</v>
      </c>
      <c r="I168" s="53">
        <f>SUMIF('2026 AC'!$B$3:$B$254,"*"&amp;$D168&amp;"*",'2026 AC'!G$3:G$254)</f>
        <v>0</v>
      </c>
      <c r="J168" s="53">
        <f>SUMIF('2026 AC'!$B$3:$B$254,"*"&amp;$D168&amp;"*",'2026 AC'!H$3:H$254)</f>
        <v>0</v>
      </c>
      <c r="K168" s="53">
        <f>SUMIF('2026 AC'!$B$3:$B$254,"*"&amp;$D168&amp;"*",'2026 AC'!I$3:I$254)</f>
        <v>0</v>
      </c>
      <c r="L168" s="53">
        <f>SUMIF('2026 AC'!$B$3:$B$254,"*"&amp;$D168&amp;"*",'2026 AC'!J$3:J$254)</f>
        <v>0</v>
      </c>
      <c r="M168" s="53">
        <f>SUMIF('2026 AC'!$B$3:$B$254,"*"&amp;$D168&amp;"*",'2026 AC'!K$3:K$254)</f>
        <v>0</v>
      </c>
      <c r="N168" s="53">
        <f>SUMIF('2026 AC'!$B$3:$B$254,"*"&amp;$D168&amp;"*",'2026 AC'!L$3:L$254)</f>
        <v>0</v>
      </c>
      <c r="O168" s="53">
        <f>SUMIF('2026 AC'!$B$3:$B$254,"*"&amp;$D168&amp;"*",'2026 AC'!M$3:M$254)</f>
        <v>0</v>
      </c>
      <c r="P168" s="93">
        <f>SUMIF('2026 AC'!$B$3:$B$254,"*"&amp;$D168&amp;"*",'2026 AC'!N$3:N$254)</f>
        <v>0</v>
      </c>
      <c r="Q168" s="92">
        <f t="shared" si="285"/>
        <v>0</v>
      </c>
      <c r="R168" s="93">
        <f t="shared" si="287"/>
        <v>0</v>
      </c>
      <c r="S168" s="93">
        <f t="shared" si="292"/>
        <v>0</v>
      </c>
      <c r="T168" s="93">
        <f t="shared" si="289"/>
        <v>0</v>
      </c>
      <c r="U168" s="93">
        <f t="shared" si="290"/>
        <v>0</v>
      </c>
      <c r="V168" s="92">
        <f t="shared" si="291"/>
        <v>0</v>
      </c>
    </row>
    <row r="169" ht="15" customHeight="1" outlineLevel="1">
      <c r="A169" t="s">
        <v>412</v>
      </c>
      <c r="B169" t="s">
        <v>413</v>
      </c>
      <c r="C169" s="34" t="s">
        <v>414</v>
      </c>
      <c r="D169" s="35" t="s">
        <v>358</v>
      </c>
      <c r="E169" s="63">
        <f>SUMIF('2026 AC'!$B$3:$B$254,"*"&amp;$D169&amp;"*",'2026 AC'!C$3:C$254)</f>
        <v>0</v>
      </c>
      <c r="F169" s="53">
        <f>SUMIF('2026 AC'!$B$3:$B$254,"*"&amp;$D169&amp;"*",'2026 AC'!D$3:D$254)</f>
        <v>0</v>
      </c>
      <c r="G169" s="53">
        <f>SUMIF('2026 AC'!$B$3:$B$254,"*"&amp;$D169&amp;"*",'2026 AC'!E$3:E$254)</f>
        <v>0</v>
      </c>
      <c r="H169" s="53">
        <f>SUMIF('2026 AC'!$B$3:$B$254,"*"&amp;$D169&amp;"*",'2026 AC'!F$3:F$254)</f>
        <v>0</v>
      </c>
      <c r="I169" s="53">
        <f>SUMIF('2026 AC'!$B$3:$B$254,"*"&amp;$D169&amp;"*",'2026 AC'!G$3:G$254)</f>
        <v>0</v>
      </c>
      <c r="J169" s="53">
        <f>SUMIF('2026 AC'!$B$3:$B$254,"*"&amp;$D169&amp;"*",'2026 AC'!H$3:H$254)</f>
        <v>0</v>
      </c>
      <c r="K169" s="53">
        <f>SUMIF('2026 AC'!$B$3:$B$254,"*"&amp;$D169&amp;"*",'2026 AC'!I$3:I$254)</f>
        <v>0</v>
      </c>
      <c r="L169" s="53">
        <f>SUMIF('2026 AC'!$B$3:$B$254,"*"&amp;$D169&amp;"*",'2026 AC'!J$3:J$254)</f>
        <v>0</v>
      </c>
      <c r="M169" s="53">
        <f>SUMIF('2026 AC'!$B$3:$B$254,"*"&amp;$D169&amp;"*",'2026 AC'!K$3:K$254)</f>
        <v>0</v>
      </c>
      <c r="N169" s="53">
        <f>SUMIF('2026 AC'!$B$3:$B$254,"*"&amp;$D169&amp;"*",'2026 AC'!L$3:L$254)</f>
        <v>0</v>
      </c>
      <c r="O169" s="53">
        <f>SUMIF('2026 AC'!$B$3:$B$254,"*"&amp;$D169&amp;"*",'2026 AC'!M$3:M$254)</f>
        <v>0</v>
      </c>
      <c r="P169" s="93">
        <f>SUMIF('2026 AC'!$B$3:$B$254,"*"&amp;$D169&amp;"*",'2026 AC'!N$3:N$254)</f>
        <v>0</v>
      </c>
      <c r="Q169" s="92">
        <f t="shared" si="285"/>
        <v>0</v>
      </c>
      <c r="R169" s="93">
        <f t="shared" si="287"/>
        <v>0</v>
      </c>
      <c r="S169" s="93">
        <f t="shared" si="292"/>
        <v>0</v>
      </c>
      <c r="T169" s="93">
        <f t="shared" si="289"/>
        <v>0</v>
      </c>
      <c r="U169" s="93">
        <f t="shared" si="290"/>
        <v>0</v>
      </c>
      <c r="V169" s="92">
        <f t="shared" si="291"/>
        <v>0</v>
      </c>
    </row>
    <row r="170" outlineLevel="1">
      <c r="A170" t="s">
        <v>415</v>
      </c>
      <c r="B170" t="s">
        <v>416</v>
      </c>
      <c r="C170" s="34" t="s">
        <v>417</v>
      </c>
      <c r="D170" s="35" t="s">
        <v>362</v>
      </c>
      <c r="E170" s="63">
        <f>SUMIF('2026 AC'!$B$3:$B$254,"*"&amp;$D170&amp;"*",'2026 AC'!C$3:C$254)</f>
        <v>0</v>
      </c>
      <c r="F170" s="53">
        <f>SUMIF('2026 AC'!$B$3:$B$254,"*"&amp;$D170&amp;"*",'2026 AC'!D$3:D$254)</f>
        <v>0</v>
      </c>
      <c r="G170" s="53">
        <f>SUMIF('2026 AC'!$B$3:$B$254,"*"&amp;$D170&amp;"*",'2026 AC'!E$3:E$254)</f>
        <v>0</v>
      </c>
      <c r="H170" s="53">
        <f>SUMIF('2026 AC'!$B$3:$B$254,"*"&amp;$D170&amp;"*",'2026 AC'!F$3:F$254)</f>
        <v>0</v>
      </c>
      <c r="I170" s="53">
        <f>SUMIF('2026 AC'!$B$3:$B$254,"*"&amp;$D170&amp;"*",'2026 AC'!G$3:G$254)</f>
        <v>0</v>
      </c>
      <c r="J170" s="53">
        <f>SUMIF('2026 AC'!$B$3:$B$254,"*"&amp;$D170&amp;"*",'2026 AC'!H$3:H$254)</f>
        <v>0</v>
      </c>
      <c r="K170" s="53">
        <f>SUMIF('2026 AC'!$B$3:$B$254,"*"&amp;$D170&amp;"*",'2026 AC'!I$3:I$254)</f>
        <v>0</v>
      </c>
      <c r="L170" s="53">
        <f>SUMIF('2026 AC'!$B$3:$B$254,"*"&amp;$D170&amp;"*",'2026 AC'!J$3:J$254)</f>
        <v>0</v>
      </c>
      <c r="M170" s="53">
        <f>SUMIF('2026 AC'!$B$3:$B$254,"*"&amp;$D170&amp;"*",'2026 AC'!K$3:K$254)</f>
        <v>0</v>
      </c>
      <c r="N170" s="53">
        <f>SUMIF('2026 AC'!$B$3:$B$254,"*"&amp;$D170&amp;"*",'2026 AC'!L$3:L$254)</f>
        <v>0</v>
      </c>
      <c r="O170" s="53">
        <f>SUMIF('2026 AC'!$B$3:$B$254,"*"&amp;$D170&amp;"*",'2026 AC'!M$3:M$254)</f>
        <v>0</v>
      </c>
      <c r="P170" s="93">
        <f>SUMIF('2026 AC'!$B$3:$B$254,"*"&amp;$D170&amp;"*",'2026 AC'!N$3:N$254)</f>
        <v>0</v>
      </c>
      <c r="Q170" s="92">
        <f t="shared" si="285"/>
        <v>0</v>
      </c>
      <c r="R170" s="93">
        <f t="shared" si="287"/>
        <v>0</v>
      </c>
      <c r="S170" s="93">
        <f t="shared" si="292"/>
        <v>0</v>
      </c>
      <c r="T170" s="93">
        <f t="shared" si="289"/>
        <v>0</v>
      </c>
      <c r="U170" s="93">
        <f t="shared" si="290"/>
        <v>0</v>
      </c>
      <c r="V170" s="92">
        <f t="shared" si="291"/>
        <v>0</v>
      </c>
    </row>
    <row r="171" outlineLevel="1">
      <c r="A171" t="s">
        <v>418</v>
      </c>
      <c r="B171" t="s">
        <v>419</v>
      </c>
      <c r="C171" s="34" t="s">
        <v>420</v>
      </c>
      <c r="D171" s="35" t="s">
        <v>366</v>
      </c>
      <c r="E171" s="63">
        <f>SUMIF('2026 AC'!$B$3:$B$254,"*"&amp;$D171&amp;"*",'2026 AC'!C$3:C$254)</f>
        <v>0</v>
      </c>
      <c r="F171" s="53">
        <f>SUMIF('2026 AC'!$B$3:$B$254,"*"&amp;$D171&amp;"*",'2026 AC'!D$3:D$254)</f>
        <v>0</v>
      </c>
      <c r="G171" s="53">
        <f>SUMIF('2026 AC'!$B$3:$B$254,"*"&amp;$D171&amp;"*",'2026 AC'!E$3:E$254)</f>
        <v>0</v>
      </c>
      <c r="H171" s="53">
        <f>SUMIF('2026 AC'!$B$3:$B$254,"*"&amp;$D171&amp;"*",'2026 AC'!F$3:F$254)</f>
        <v>0</v>
      </c>
      <c r="I171" s="53">
        <f>SUMIF('2026 AC'!$B$3:$B$254,"*"&amp;$D171&amp;"*",'2026 AC'!G$3:G$254)</f>
        <v>0</v>
      </c>
      <c r="J171" s="53">
        <f>SUMIF('2026 AC'!$B$3:$B$254,"*"&amp;$D171&amp;"*",'2026 AC'!H$3:H$254)</f>
        <v>0</v>
      </c>
      <c r="K171" s="53">
        <f>SUMIF('2026 AC'!$B$3:$B$254,"*"&amp;$D171&amp;"*",'2026 AC'!I$3:I$254)</f>
        <v>0</v>
      </c>
      <c r="L171" s="53">
        <f>SUMIF('2026 AC'!$B$3:$B$254,"*"&amp;$D171&amp;"*",'2026 AC'!J$3:J$254)</f>
        <v>0</v>
      </c>
      <c r="M171" s="53">
        <f>SUMIF('2026 AC'!$B$3:$B$254,"*"&amp;$D171&amp;"*",'2026 AC'!K$3:K$254)</f>
        <v>0</v>
      </c>
      <c r="N171" s="53">
        <f>SUMIF('2026 AC'!$B$3:$B$254,"*"&amp;$D171&amp;"*",'2026 AC'!L$3:L$254)</f>
        <v>0</v>
      </c>
      <c r="O171" s="53">
        <f>SUMIF('2026 AC'!$B$3:$B$254,"*"&amp;$D171&amp;"*",'2026 AC'!M$3:M$254)</f>
        <v>0</v>
      </c>
      <c r="P171" s="93">
        <f>SUMIF('2026 AC'!$B$3:$B$254,"*"&amp;$D171&amp;"*",'2026 AC'!N$3:N$254)</f>
        <v>0</v>
      </c>
      <c r="Q171" s="92">
        <f t="shared" si="285"/>
        <v>0</v>
      </c>
      <c r="R171" s="93">
        <f t="shared" si="287"/>
        <v>0</v>
      </c>
      <c r="S171" s="93">
        <f t="shared" si="292"/>
        <v>0</v>
      </c>
      <c r="T171" s="93">
        <f t="shared" si="289"/>
        <v>0</v>
      </c>
      <c r="U171" s="93">
        <f t="shared" si="290"/>
        <v>0</v>
      </c>
      <c r="V171" s="92">
        <f t="shared" si="291"/>
        <v>0</v>
      </c>
    </row>
    <row r="172" outlineLevel="1">
      <c r="A172" t="s">
        <v>421</v>
      </c>
      <c r="B172" t="s">
        <v>422</v>
      </c>
      <c r="C172" s="34" t="s">
        <v>423</v>
      </c>
      <c r="D172" s="35" t="s">
        <v>370</v>
      </c>
      <c r="E172" s="63">
        <f>SUMIF('2026 AC'!$B$3:$B$254,"*"&amp;$D172&amp;"*",'2026 AC'!C$3:C$254)</f>
        <v>3047.0599999999999</v>
      </c>
      <c r="F172" s="53">
        <f>SUMIF('2026 AC'!$B$3:$B$254,"*"&amp;$D172&amp;"*",'2026 AC'!D$3:D$254)</f>
        <v>1691.04</v>
      </c>
      <c r="G172" s="53">
        <f>SUMIF('2026 AC'!$B$3:$B$254,"*"&amp;$D172&amp;"*",'2026 AC'!E$3:E$254)</f>
        <v>2889.04</v>
      </c>
      <c r="H172" s="53">
        <f>SUMIF('2026 AC'!$B$3:$B$254,"*"&amp;$D172&amp;"*",'2026 AC'!F$3:F$254)</f>
        <v>3112.48</v>
      </c>
      <c r="I172" s="53">
        <f>SUMIF('2026 AC'!$B$3:$B$254,"*"&amp;$D172&amp;"*",'2026 AC'!G$3:G$254)</f>
        <v>1907.3299999999999</v>
      </c>
      <c r="J172" s="53">
        <f>SUMIF('2026 AC'!$B$3:$B$254,"*"&amp;$D172&amp;"*",'2026 AC'!H$3:H$254)</f>
        <v>1271.28</v>
      </c>
      <c r="K172" s="53">
        <f>SUMIF('2026 AC'!$B$3:$B$254,"*"&amp;$D172&amp;"*",'2026 AC'!I$3:I$254)</f>
        <v>0</v>
      </c>
      <c r="L172" s="53">
        <f>SUMIF('2026 AC'!$B$3:$B$254,"*"&amp;$D172&amp;"*",'2026 AC'!J$3:J$254)</f>
        <v>0</v>
      </c>
      <c r="M172" s="53">
        <f>SUMIF('2026 AC'!$B$3:$B$254,"*"&amp;$D172&amp;"*",'2026 AC'!K$3:K$254)</f>
        <v>0</v>
      </c>
      <c r="N172" s="53">
        <f>SUMIF('2026 AC'!$B$3:$B$254,"*"&amp;$D172&amp;"*",'2026 AC'!L$3:L$254)</f>
        <v>0</v>
      </c>
      <c r="O172" s="53">
        <f>SUMIF('2026 AC'!$B$3:$B$254,"*"&amp;$D172&amp;"*",'2026 AC'!M$3:M$254)</f>
        <v>0</v>
      </c>
      <c r="P172" s="93">
        <f>SUMIF('2026 AC'!$B$3:$B$254,"*"&amp;$D172&amp;"*",'2026 AC'!N$3:N$254)</f>
        <v>0</v>
      </c>
      <c r="Q172" s="92">
        <f t="shared" si="285"/>
        <v>13918.230000000001</v>
      </c>
      <c r="R172" s="93">
        <f t="shared" si="287"/>
        <v>7627.1400000000003</v>
      </c>
      <c r="S172" s="93">
        <f t="shared" si="292"/>
        <v>6291.0899999999992</v>
      </c>
      <c r="T172" s="93">
        <f t="shared" si="289"/>
        <v>0</v>
      </c>
      <c r="U172" s="93">
        <f t="shared" si="290"/>
        <v>0</v>
      </c>
      <c r="V172" s="92">
        <f t="shared" si="291"/>
        <v>13918.23</v>
      </c>
    </row>
    <row r="173" outlineLevel="1">
      <c r="A173" t="s">
        <v>424</v>
      </c>
      <c r="B173" t="s">
        <v>425</v>
      </c>
      <c r="C173" s="34" t="s">
        <v>426</v>
      </c>
      <c r="D173" s="35" t="s">
        <v>381</v>
      </c>
      <c r="E173" s="63">
        <f>SUMIF('2026 AC'!$B$3:$B$254,"*"&amp;$D173&amp;"*",'2026 AC'!C$3:C$254)</f>
        <v>2900</v>
      </c>
      <c r="F173" s="53">
        <f>SUMIF('2026 AC'!$B$3:$B$254,"*"&amp;$D173&amp;"*",'2026 AC'!D$3:D$254)</f>
        <v>6267.1999999999998</v>
      </c>
      <c r="G173" s="53">
        <f>SUMIF('2026 AC'!$B$3:$B$254,"*"&amp;$D173&amp;"*",'2026 AC'!E$3:E$254)</f>
        <v>2900</v>
      </c>
      <c r="H173" s="53">
        <f>SUMIF('2026 AC'!$B$3:$B$254,"*"&amp;$D173&amp;"*",'2026 AC'!F$3:F$254)</f>
        <v>2900</v>
      </c>
      <c r="I173" s="53">
        <f>SUMIF('2026 AC'!$B$3:$B$254,"*"&amp;$D173&amp;"*",'2026 AC'!G$3:G$254)</f>
        <v>2900</v>
      </c>
      <c r="J173" s="53">
        <f>SUMIF('2026 AC'!$B$3:$B$254,"*"&amp;$D173&amp;"*",'2026 AC'!H$3:H$254)</f>
        <v>2900</v>
      </c>
      <c r="K173" s="53">
        <f>SUMIF('2026 AC'!$B$3:$B$254,"*"&amp;$D173&amp;"*",'2026 AC'!I$3:I$254)</f>
        <v>0</v>
      </c>
      <c r="L173" s="53">
        <f>SUMIF('2026 AC'!$B$3:$B$254,"*"&amp;$D173&amp;"*",'2026 AC'!J$3:J$254)</f>
        <v>0</v>
      </c>
      <c r="M173" s="53">
        <f>SUMIF('2026 AC'!$B$3:$B$254,"*"&amp;$D173&amp;"*",'2026 AC'!K$3:K$254)</f>
        <v>0</v>
      </c>
      <c r="N173" s="53">
        <f>SUMIF('2026 AC'!$B$3:$B$254,"*"&amp;$D173&amp;"*",'2026 AC'!L$3:L$254)</f>
        <v>0</v>
      </c>
      <c r="O173" s="53">
        <f>SUMIF('2026 AC'!$B$3:$B$254,"*"&amp;$D173&amp;"*",'2026 AC'!M$3:M$254)</f>
        <v>0</v>
      </c>
      <c r="P173" s="93">
        <f>SUMIF('2026 AC'!$B$3:$B$254,"*"&amp;$D173&amp;"*",'2026 AC'!N$3:N$254)</f>
        <v>0</v>
      </c>
      <c r="Q173" s="92">
        <f t="shared" si="285"/>
        <v>20767.200000000001</v>
      </c>
      <c r="R173" s="93">
        <f t="shared" si="287"/>
        <v>12067.200000000001</v>
      </c>
      <c r="S173" s="93">
        <f t="shared" si="292"/>
        <v>8700</v>
      </c>
      <c r="T173" s="93">
        <f t="shared" si="289"/>
        <v>0</v>
      </c>
      <c r="U173" s="93">
        <f t="shared" si="290"/>
        <v>0</v>
      </c>
      <c r="V173" s="92">
        <f t="shared" si="291"/>
        <v>20767.200000000001</v>
      </c>
    </row>
    <row r="174" outlineLevel="1">
      <c r="A174" t="s">
        <v>427</v>
      </c>
      <c r="B174" t="s">
        <v>428</v>
      </c>
      <c r="C174" s="34" t="s">
        <v>429</v>
      </c>
      <c r="D174" s="35" t="s">
        <v>389</v>
      </c>
      <c r="E174" s="63">
        <f>SUMIF('2026 AC'!$B$3:$B$254,"*"&amp;$D174&amp;"*",'2026 AC'!C$3:C$254)</f>
        <v>0</v>
      </c>
      <c r="F174" s="53">
        <f>SUMIF('2026 AC'!$B$3:$B$254,"*"&amp;$D174&amp;"*",'2026 AC'!D$3:D$254)</f>
        <v>0</v>
      </c>
      <c r="G174" s="53">
        <f>SUMIF('2026 AC'!$B$3:$B$254,"*"&amp;$D174&amp;"*",'2026 AC'!E$3:E$254)</f>
        <v>0</v>
      </c>
      <c r="H174" s="53">
        <f>SUMIF('2026 AC'!$B$3:$B$254,"*"&amp;$D174&amp;"*",'2026 AC'!F$3:F$254)</f>
        <v>2500</v>
      </c>
      <c r="I174" s="53">
        <f>SUMIF('2026 AC'!$B$3:$B$254,"*"&amp;$D174&amp;"*",'2026 AC'!G$3:G$254)</f>
        <v>0</v>
      </c>
      <c r="J174" s="53">
        <f>SUMIF('2026 AC'!$B$3:$B$254,"*"&amp;$D174&amp;"*",'2026 AC'!H$3:H$254)</f>
        <v>0</v>
      </c>
      <c r="K174" s="53">
        <f>SUMIF('2026 AC'!$B$3:$B$254,"*"&amp;$D174&amp;"*",'2026 AC'!I$3:I$254)</f>
        <v>0</v>
      </c>
      <c r="L174" s="53">
        <f>SUMIF('2026 AC'!$B$3:$B$254,"*"&amp;$D174&amp;"*",'2026 AC'!J$3:J$254)</f>
        <v>0</v>
      </c>
      <c r="M174" s="53">
        <f>SUMIF('2026 AC'!$B$3:$B$254,"*"&amp;$D174&amp;"*",'2026 AC'!K$3:K$254)</f>
        <v>0</v>
      </c>
      <c r="N174" s="53">
        <f>SUMIF('2026 AC'!$B$3:$B$254,"*"&amp;$D174&amp;"*",'2026 AC'!L$3:L$254)</f>
        <v>0</v>
      </c>
      <c r="O174" s="53">
        <f>SUMIF('2026 AC'!$B$3:$B$254,"*"&amp;$D174&amp;"*",'2026 AC'!M$3:M$254)</f>
        <v>0</v>
      </c>
      <c r="P174" s="93">
        <f>SUMIF('2026 AC'!$B$3:$B$254,"*"&amp;$D174&amp;"*",'2026 AC'!N$3:N$254)</f>
        <v>0</v>
      </c>
      <c r="Q174" s="92">
        <f t="shared" si="285"/>
        <v>2500</v>
      </c>
      <c r="R174" s="93">
        <f t="shared" si="287"/>
        <v>0</v>
      </c>
      <c r="S174" s="93">
        <f t="shared" si="292"/>
        <v>2500</v>
      </c>
      <c r="T174" s="93">
        <f t="shared" si="289"/>
        <v>0</v>
      </c>
      <c r="U174" s="93">
        <f t="shared" si="290"/>
        <v>0</v>
      </c>
      <c r="V174" s="92">
        <f t="shared" si="291"/>
        <v>2500</v>
      </c>
    </row>
    <row r="175" ht="15" customHeight="1" outlineLevel="1">
      <c r="A175" t="s">
        <v>430</v>
      </c>
      <c r="B175" t="s">
        <v>431</v>
      </c>
      <c r="C175" s="34" t="s">
        <v>432</v>
      </c>
      <c r="D175" s="35" t="s">
        <v>393</v>
      </c>
      <c r="E175" s="63">
        <f>SUMIF('2026 AC'!$B$3:$B$254,"*"&amp;$D175&amp;"*",'2026 AC'!C$3:C$254)</f>
        <v>11655</v>
      </c>
      <c r="F175" s="53">
        <f>SUMIF('2026 AC'!$B$3:$B$254,"*"&amp;$D175&amp;"*",'2026 AC'!D$3:D$254)</f>
        <v>6156</v>
      </c>
      <c r="G175" s="53">
        <f>SUMIF('2026 AC'!$B$3:$B$254,"*"&amp;$D175&amp;"*",'2026 AC'!E$3:E$254)</f>
        <v>6220.8000000000002</v>
      </c>
      <c r="H175" s="53">
        <f>SUMIF('2026 AC'!$B$3:$B$254,"*"&amp;$D175&amp;"*",'2026 AC'!F$3:F$254)</f>
        <v>6275</v>
      </c>
      <c r="I175" s="53">
        <f>SUMIF('2026 AC'!$B$3:$B$254,"*"&amp;$D175&amp;"*",'2026 AC'!G$3:G$254)</f>
        <v>6156</v>
      </c>
      <c r="J175" s="53">
        <f>SUMIF('2026 AC'!$B$3:$B$254,"*"&amp;$D175&amp;"*",'2026 AC'!H$3:H$254)</f>
        <v>6156</v>
      </c>
      <c r="K175" s="53">
        <f>SUMIF('2026 AC'!$B$3:$B$254,"*"&amp;$D175&amp;"*",'2026 AC'!I$3:I$254)</f>
        <v>0</v>
      </c>
      <c r="L175" s="53">
        <f>SUMIF('2026 AC'!$B$3:$B$254,"*"&amp;$D175&amp;"*",'2026 AC'!J$3:J$254)</f>
        <v>0</v>
      </c>
      <c r="M175" s="53">
        <f>SUMIF('2026 AC'!$B$3:$B$254,"*"&amp;$D175&amp;"*",'2026 AC'!K$3:K$254)</f>
        <v>0</v>
      </c>
      <c r="N175" s="53">
        <f>SUMIF('2026 AC'!$B$3:$B$254,"*"&amp;$D175&amp;"*",'2026 AC'!L$3:L$254)</f>
        <v>0</v>
      </c>
      <c r="O175" s="53">
        <f>SUMIF('2026 AC'!$B$3:$B$254,"*"&amp;$D175&amp;"*",'2026 AC'!M$3:M$254)</f>
        <v>0</v>
      </c>
      <c r="P175" s="93">
        <f>SUMIF('2026 AC'!$B$3:$B$254,"*"&amp;$D175&amp;"*",'2026 AC'!N$3:N$254)</f>
        <v>0</v>
      </c>
      <c r="Q175" s="92">
        <f t="shared" si="285"/>
        <v>42618.800000000003</v>
      </c>
      <c r="R175" s="93">
        <f t="shared" si="287"/>
        <v>24031.799999999999</v>
      </c>
      <c r="S175" s="93">
        <f t="shared" si="292"/>
        <v>18587</v>
      </c>
      <c r="T175" s="93">
        <f t="shared" si="289"/>
        <v>0</v>
      </c>
      <c r="U175" s="93">
        <f t="shared" si="290"/>
        <v>0</v>
      </c>
      <c r="V175" s="92">
        <f t="shared" si="291"/>
        <v>42618.800000000003</v>
      </c>
    </row>
    <row r="176" ht="15" customHeight="1" outlineLevel="1">
      <c r="A176" t="s">
        <v>433</v>
      </c>
      <c r="B176" t="s">
        <v>434</v>
      </c>
      <c r="C176" s="34" t="s">
        <v>435</v>
      </c>
      <c r="D176" s="35" t="s">
        <v>397</v>
      </c>
      <c r="E176" s="63">
        <f>SUMIF('2026 AC'!$B$3:$B$254,"*"&amp;$D176&amp;"*",'2026 AC'!C$3:C$254)</f>
        <v>0</v>
      </c>
      <c r="F176" s="53">
        <f>SUMIF('2026 AC'!$B$3:$B$254,"*"&amp;$D176&amp;"*",'2026 AC'!D$3:D$254)</f>
        <v>0</v>
      </c>
      <c r="G176" s="53">
        <f>SUMIF('2026 AC'!$B$3:$B$254,"*"&amp;$D176&amp;"*",'2026 AC'!E$3:E$254)</f>
        <v>0</v>
      </c>
      <c r="H176" s="53">
        <f>SUMIF('2026 AC'!$B$3:$B$254,"*"&amp;$D176&amp;"*",'2026 AC'!F$3:F$254)</f>
        <v>0</v>
      </c>
      <c r="I176" s="53">
        <f>SUMIF('2026 AC'!$B$3:$B$254,"*"&amp;$D176&amp;"*",'2026 AC'!G$3:G$254)</f>
        <v>0</v>
      </c>
      <c r="J176" s="53">
        <f>SUMIF('2026 AC'!$B$3:$B$254,"*"&amp;$D176&amp;"*",'2026 AC'!H$3:H$254)</f>
        <v>0</v>
      </c>
      <c r="K176" s="53">
        <f>SUMIF('2026 AC'!$B$3:$B$254,"*"&amp;$D176&amp;"*",'2026 AC'!I$3:I$254)</f>
        <v>0</v>
      </c>
      <c r="L176" s="53">
        <f>SUMIF('2026 AC'!$B$3:$B$254,"*"&amp;$D176&amp;"*",'2026 AC'!J$3:J$254)</f>
        <v>0</v>
      </c>
      <c r="M176" s="53">
        <f>SUMIF('2026 AC'!$B$3:$B$254,"*"&amp;$D176&amp;"*",'2026 AC'!K$3:K$254)</f>
        <v>0</v>
      </c>
      <c r="N176" s="53">
        <f>SUMIF('2026 AC'!$B$3:$B$254,"*"&amp;$D176&amp;"*",'2026 AC'!L$3:L$254)</f>
        <v>0</v>
      </c>
      <c r="O176" s="53">
        <f>SUMIF('2026 AC'!$B$3:$B$254,"*"&amp;$D176&amp;"*",'2026 AC'!M$3:M$254)</f>
        <v>0</v>
      </c>
      <c r="P176" s="93">
        <f>SUMIF('2026 AC'!$B$3:$B$254,"*"&amp;$D176&amp;"*",'2026 AC'!N$3:N$254)</f>
        <v>0</v>
      </c>
      <c r="Q176" s="92">
        <f t="shared" si="285"/>
        <v>0</v>
      </c>
      <c r="R176" s="93">
        <f t="shared" si="287"/>
        <v>0</v>
      </c>
      <c r="S176" s="93">
        <f t="shared" si="292"/>
        <v>0</v>
      </c>
      <c r="T176" s="93">
        <f t="shared" si="289"/>
        <v>0</v>
      </c>
      <c r="U176" s="93">
        <f t="shared" si="290"/>
        <v>0</v>
      </c>
      <c r="V176" s="92">
        <f t="shared" si="291"/>
        <v>0</v>
      </c>
    </row>
    <row r="177" outlineLevel="1">
      <c r="A177" t="s">
        <v>436</v>
      </c>
      <c r="B177" t="s">
        <v>437</v>
      </c>
      <c r="C177" s="34" t="s">
        <v>438</v>
      </c>
      <c r="D177" s="35" t="s">
        <v>401</v>
      </c>
      <c r="E177" s="63">
        <f>SUMIF('2026 AC'!$B$3:$B$254,"*"&amp;$D177&amp;"*",'2026 AC'!C$3:C$254)</f>
        <v>3753</v>
      </c>
      <c r="F177" s="53">
        <f>SUMIF('2026 AC'!$B$3:$B$254,"*"&amp;$D177&amp;"*",'2026 AC'!D$3:D$254)</f>
        <v>6644.8999999999996</v>
      </c>
      <c r="G177" s="53">
        <f>SUMIF('2026 AC'!$B$3:$B$254,"*"&amp;$D177&amp;"*",'2026 AC'!E$3:E$254)</f>
        <v>5154.1400000000003</v>
      </c>
      <c r="H177" s="53">
        <f>SUMIF('2026 AC'!$B$3:$B$254,"*"&amp;$D177&amp;"*",'2026 AC'!F$3:F$254)</f>
        <v>5353.29</v>
      </c>
      <c r="I177" s="53">
        <f>SUMIF('2026 AC'!$B$3:$B$254,"*"&amp;$D177&amp;"*",'2026 AC'!G$3:G$254)</f>
        <v>5178.4899999999998</v>
      </c>
      <c r="J177" s="53">
        <f>SUMIF('2026 AC'!$B$3:$B$254,"*"&amp;$D177&amp;"*",'2026 AC'!H$3:H$254)</f>
        <v>5386.9200000000001</v>
      </c>
      <c r="K177" s="53">
        <f>SUMIF('2026 AC'!$B$3:$B$254,"*"&amp;$D177&amp;"*",'2026 AC'!I$3:I$254)</f>
        <v>0</v>
      </c>
      <c r="L177" s="53">
        <f>SUMIF('2026 AC'!$B$3:$B$254,"*"&amp;$D177&amp;"*",'2026 AC'!J$3:J$254)</f>
        <v>0</v>
      </c>
      <c r="M177" s="53">
        <f>SUMIF('2026 AC'!$B$3:$B$254,"*"&amp;$D177&amp;"*",'2026 AC'!K$3:K$254)</f>
        <v>0</v>
      </c>
      <c r="N177" s="53">
        <f>SUMIF('2026 AC'!$B$3:$B$254,"*"&amp;$D177&amp;"*",'2026 AC'!L$3:L$254)</f>
        <v>0</v>
      </c>
      <c r="O177" s="53">
        <f>SUMIF('2026 AC'!$B$3:$B$254,"*"&amp;$D177&amp;"*",'2026 AC'!M$3:M$254)</f>
        <v>0</v>
      </c>
      <c r="P177" s="93">
        <f>SUMIF('2026 AC'!$B$3:$B$254,"*"&amp;$D177&amp;"*",'2026 AC'!N$3:N$254)</f>
        <v>0</v>
      </c>
      <c r="Q177" s="92">
        <f t="shared" si="285"/>
        <v>31470.739999999998</v>
      </c>
      <c r="R177" s="93">
        <f t="shared" si="287"/>
        <v>15552.040000000001</v>
      </c>
      <c r="S177" s="93">
        <f t="shared" si="292"/>
        <v>15918.699999999999</v>
      </c>
      <c r="T177" s="93">
        <f t="shared" si="289"/>
        <v>0</v>
      </c>
      <c r="U177" s="93">
        <f t="shared" si="290"/>
        <v>0</v>
      </c>
      <c r="V177" s="92">
        <f t="shared" si="291"/>
        <v>31470.739999999998</v>
      </c>
    </row>
    <row r="178" ht="15" customHeight="1" outlineLevel="1">
      <c r="A178" t="s">
        <v>439</v>
      </c>
      <c r="B178" t="s">
        <v>440</v>
      </c>
      <c r="C178" s="34" t="s">
        <v>441</v>
      </c>
      <c r="D178" s="35" t="s">
        <v>442</v>
      </c>
      <c r="E178" s="63">
        <f>SUMIF('2026 AC'!$B$3:$B$254,"*"&amp;$D178&amp;"*",'2026 AC'!C$3:C$254)</f>
        <v>0</v>
      </c>
      <c r="F178" s="53">
        <f>SUMIF('2026 AC'!$B$3:$B$254,"*"&amp;$D178&amp;"*",'2026 AC'!D$3:D$254)</f>
        <v>0</v>
      </c>
      <c r="G178" s="53">
        <f>SUMIF('2026 AC'!$B$3:$B$254,"*"&amp;$D178&amp;"*",'2026 AC'!E$3:E$254)</f>
        <v>27.5</v>
      </c>
      <c r="H178" s="53">
        <f>SUMIF('2026 AC'!$B$3:$B$254,"*"&amp;$D178&amp;"*",'2026 AC'!F$3:F$254)</f>
        <v>0</v>
      </c>
      <c r="I178" s="53">
        <f>SUMIF('2026 AC'!$B$3:$B$254,"*"&amp;$D178&amp;"*",'2026 AC'!G$3:G$254)</f>
        <v>2800</v>
      </c>
      <c r="J178" s="53">
        <f>SUMIF('2026 AC'!$B$3:$B$254,"*"&amp;$D178&amp;"*",'2026 AC'!H$3:H$254)</f>
        <v>0</v>
      </c>
      <c r="K178" s="53">
        <f>SUMIF('2026 AC'!$B$3:$B$254,"*"&amp;$D178&amp;"*",'2026 AC'!I$3:I$254)</f>
        <v>0</v>
      </c>
      <c r="L178" s="53">
        <f>SUMIF('2026 AC'!$B$3:$B$254,"*"&amp;$D178&amp;"*",'2026 AC'!J$3:J$254)</f>
        <v>0</v>
      </c>
      <c r="M178" s="53">
        <f>SUMIF('2026 AC'!$B$3:$B$254,"*"&amp;$D178&amp;"*",'2026 AC'!K$3:K$254)</f>
        <v>0</v>
      </c>
      <c r="N178" s="53">
        <f>SUMIF('2026 AC'!$B$3:$B$254,"*"&amp;$D178&amp;"*",'2026 AC'!L$3:L$254)</f>
        <v>0</v>
      </c>
      <c r="O178" s="53">
        <f>SUMIF('2026 AC'!$B$3:$B$254,"*"&amp;$D178&amp;"*",'2026 AC'!M$3:M$254)</f>
        <v>0</v>
      </c>
      <c r="P178" s="93">
        <f>SUMIF('2026 AC'!$B$3:$B$254,"*"&amp;$D178&amp;"*",'2026 AC'!N$3:N$254)</f>
        <v>0</v>
      </c>
      <c r="Q178" s="92">
        <f t="shared" ref="Q178:Q228" si="293">SUM(E178:P178)</f>
        <v>2827.5</v>
      </c>
      <c r="R178" s="93">
        <f t="shared" si="287"/>
        <v>27.5</v>
      </c>
      <c r="S178" s="93">
        <f t="shared" si="292"/>
        <v>2800</v>
      </c>
      <c r="T178" s="93">
        <f t="shared" si="289"/>
        <v>0</v>
      </c>
      <c r="U178" s="93">
        <f t="shared" si="290"/>
        <v>0</v>
      </c>
      <c r="V178" s="92">
        <f t="shared" si="291"/>
        <v>2827.5</v>
      </c>
    </row>
    <row r="179" ht="15" customHeight="1" outlineLevel="1">
      <c r="A179" t="s">
        <v>443</v>
      </c>
      <c r="B179" t="s">
        <v>444</v>
      </c>
      <c r="C179" s="34" t="s">
        <v>445</v>
      </c>
      <c r="D179" s="35" t="s">
        <v>409</v>
      </c>
      <c r="E179" s="63">
        <f>SUMIF('2026 AC'!$B$3:$B$254,"*"&amp;$D179&amp;"*",'2026 AC'!C$3:C$254)</f>
        <v>3504.5999999999999</v>
      </c>
      <c r="F179" s="53">
        <f>SUMIF('2026 AC'!$B$3:$B$254,"*"&amp;$D179&amp;"*",'2026 AC'!D$3:D$254)</f>
        <v>3504.5999999999999</v>
      </c>
      <c r="G179" s="53">
        <f>SUMIF('2026 AC'!$B$3:$B$254,"*"&amp;$D179&amp;"*",'2026 AC'!E$3:E$254)</f>
        <v>3504.5999999999999</v>
      </c>
      <c r="H179" s="53">
        <f>SUMIF('2026 AC'!$B$3:$B$254,"*"&amp;$D179&amp;"*",'2026 AC'!F$3:F$254)</f>
        <v>3853.4400000000001</v>
      </c>
      <c r="I179" s="53">
        <f>SUMIF('2026 AC'!$B$3:$B$254,"*"&amp;$D179&amp;"*",'2026 AC'!G$3:G$254)</f>
        <v>3853.4400000000001</v>
      </c>
      <c r="J179" s="53">
        <f>SUMIF('2026 AC'!$B$3:$B$254,"*"&amp;$D179&amp;"*",'2026 AC'!H$3:H$254)</f>
        <v>3853.4400000000001</v>
      </c>
      <c r="K179" s="53">
        <f>SUMIF('2026 AC'!$B$3:$B$254,"*"&amp;$D179&amp;"*",'2026 AC'!I$3:I$254)</f>
        <v>0</v>
      </c>
      <c r="L179" s="53">
        <f>SUMIF('2026 AC'!$B$3:$B$254,"*"&amp;$D179&amp;"*",'2026 AC'!J$3:J$254)</f>
        <v>0</v>
      </c>
      <c r="M179" s="53">
        <f>SUMIF('2026 AC'!$B$3:$B$254,"*"&amp;$D179&amp;"*",'2026 AC'!K$3:K$254)</f>
        <v>0</v>
      </c>
      <c r="N179" s="53">
        <f>SUMIF('2026 AC'!$B$3:$B$254,"*"&amp;$D179&amp;"*",'2026 AC'!L$3:L$254)</f>
        <v>0</v>
      </c>
      <c r="O179" s="53">
        <f>SUMIF('2026 AC'!$B$3:$B$254,"*"&amp;$D179&amp;"*",'2026 AC'!M$3:M$254)</f>
        <v>0</v>
      </c>
      <c r="P179" s="93">
        <f>SUMIF('2026 AC'!$B$3:$B$254,"*"&amp;$D179&amp;"*",'2026 AC'!N$3:N$254)</f>
        <v>0</v>
      </c>
      <c r="Q179" s="92">
        <f t="shared" si="293"/>
        <v>22074.119999999999</v>
      </c>
      <c r="R179" s="93">
        <f t="shared" si="287"/>
        <v>10513.799999999999</v>
      </c>
      <c r="S179" s="93">
        <f t="shared" si="292"/>
        <v>11560.32</v>
      </c>
      <c r="T179" s="93">
        <f t="shared" si="289"/>
        <v>0</v>
      </c>
      <c r="U179" s="93">
        <f t="shared" si="290"/>
        <v>0</v>
      </c>
      <c r="V179" s="92">
        <f t="shared" si="291"/>
        <v>22074.119999999999</v>
      </c>
    </row>
    <row r="180" ht="15" customHeight="1" outlineLevel="1">
      <c r="A180" t="s">
        <v>446</v>
      </c>
      <c r="B180" t="s">
        <v>447</v>
      </c>
      <c r="C180" s="34" t="s">
        <v>448</v>
      </c>
      <c r="D180" s="35" t="s">
        <v>413</v>
      </c>
      <c r="E180" s="63">
        <f>SUMIF('2026 AC'!$B$3:$B$254,"*"&amp;$D180&amp;"*",'2026 AC'!C$3:C$254)</f>
        <v>260</v>
      </c>
      <c r="F180" s="53">
        <f>SUMIF('2026 AC'!$B$3:$B$254,"*"&amp;$D180&amp;"*",'2026 AC'!D$3:D$254)</f>
        <v>260</v>
      </c>
      <c r="G180" s="53">
        <f>SUMIF('2026 AC'!$B$3:$B$254,"*"&amp;$D180&amp;"*",'2026 AC'!E$3:E$254)</f>
        <v>260</v>
      </c>
      <c r="H180" s="53">
        <f>SUMIF('2026 AC'!$B$3:$B$254,"*"&amp;$D180&amp;"*",'2026 AC'!F$3:F$254)</f>
        <v>2630</v>
      </c>
      <c r="I180" s="53">
        <f>SUMIF('2026 AC'!$B$3:$B$254,"*"&amp;$D180&amp;"*",'2026 AC'!G$3:G$254)</f>
        <v>260</v>
      </c>
      <c r="J180" s="53">
        <f>SUMIF('2026 AC'!$B$3:$B$254,"*"&amp;$D180&amp;"*",'2026 AC'!H$3:H$254)</f>
        <v>1240</v>
      </c>
      <c r="K180" s="53">
        <f>SUMIF('2026 AC'!$B$3:$B$254,"*"&amp;$D180&amp;"*",'2026 AC'!I$3:I$254)</f>
        <v>0</v>
      </c>
      <c r="L180" s="53">
        <f>SUMIF('2026 AC'!$B$3:$B$254,"*"&amp;$D180&amp;"*",'2026 AC'!J$3:J$254)</f>
        <v>0</v>
      </c>
      <c r="M180" s="53">
        <f>SUMIF('2026 AC'!$B$3:$B$254,"*"&amp;$D180&amp;"*",'2026 AC'!K$3:K$254)</f>
        <v>0</v>
      </c>
      <c r="N180" s="53">
        <f>SUMIF('2026 AC'!$B$3:$B$254,"*"&amp;$D180&amp;"*",'2026 AC'!L$3:L$254)</f>
        <v>0</v>
      </c>
      <c r="O180" s="53">
        <f>SUMIF('2026 AC'!$B$3:$B$254,"*"&amp;$D180&amp;"*",'2026 AC'!M$3:M$254)</f>
        <v>0</v>
      </c>
      <c r="P180" s="93">
        <f>SUMIF('2026 AC'!$B$3:$B$254,"*"&amp;$D180&amp;"*",'2026 AC'!N$3:N$254)</f>
        <v>0</v>
      </c>
      <c r="Q180" s="92">
        <f t="shared" si="293"/>
        <v>4910</v>
      </c>
      <c r="R180" s="93">
        <f t="shared" si="287"/>
        <v>780</v>
      </c>
      <c r="S180" s="93">
        <f t="shared" si="292"/>
        <v>4130</v>
      </c>
      <c r="T180" s="93">
        <f t="shared" si="289"/>
        <v>0</v>
      </c>
      <c r="U180" s="93">
        <f t="shared" si="290"/>
        <v>0</v>
      </c>
      <c r="V180" s="92">
        <f t="shared" si="291"/>
        <v>4910</v>
      </c>
    </row>
    <row r="181" ht="15" customHeight="1" outlineLevel="1">
      <c r="A181" t="s">
        <v>449</v>
      </c>
      <c r="B181" t="s">
        <v>450</v>
      </c>
      <c r="C181" s="34" t="s">
        <v>451</v>
      </c>
      <c r="D181" s="35" t="s">
        <v>416</v>
      </c>
      <c r="E181" s="63">
        <f>SUMIF('2026 AC'!$B$3:$B$254,"*"&amp;$D181&amp;"*",'2026 AC'!C$3:C$254)</f>
        <v>0</v>
      </c>
      <c r="F181" s="53">
        <f>SUMIF('2026 AC'!$B$3:$B$254,"*"&amp;$D181&amp;"*",'2026 AC'!D$3:D$254)</f>
        <v>0</v>
      </c>
      <c r="G181" s="53">
        <f>SUMIF('2026 AC'!$B$3:$B$254,"*"&amp;$D181&amp;"*",'2026 AC'!E$3:E$254)</f>
        <v>0</v>
      </c>
      <c r="H181" s="53">
        <f>SUMIF('2026 AC'!$B$3:$B$254,"*"&amp;$D181&amp;"*",'2026 AC'!F$3:F$254)</f>
        <v>0</v>
      </c>
      <c r="I181" s="53">
        <f>SUMIF('2026 AC'!$B$3:$B$254,"*"&amp;$D181&amp;"*",'2026 AC'!G$3:G$254)</f>
        <v>0</v>
      </c>
      <c r="J181" s="53">
        <f>SUMIF('2026 AC'!$B$3:$B$254,"*"&amp;$D181&amp;"*",'2026 AC'!H$3:H$254)</f>
        <v>0</v>
      </c>
      <c r="K181" s="53">
        <f>SUMIF('2026 AC'!$B$3:$B$254,"*"&amp;$D181&amp;"*",'2026 AC'!I$3:I$254)</f>
        <v>0</v>
      </c>
      <c r="L181" s="53">
        <f>SUMIF('2026 AC'!$B$3:$B$254,"*"&amp;$D181&amp;"*",'2026 AC'!J$3:J$254)</f>
        <v>0</v>
      </c>
      <c r="M181" s="53">
        <f>SUMIF('2026 AC'!$B$3:$B$254,"*"&amp;$D181&amp;"*",'2026 AC'!K$3:K$254)</f>
        <v>0</v>
      </c>
      <c r="N181" s="53">
        <f>SUMIF('2026 AC'!$B$3:$B$254,"*"&amp;$D181&amp;"*",'2026 AC'!L$3:L$254)</f>
        <v>0</v>
      </c>
      <c r="O181" s="53">
        <f>SUMIF('2026 AC'!$B$3:$B$254,"*"&amp;$D181&amp;"*",'2026 AC'!M$3:M$254)</f>
        <v>0</v>
      </c>
      <c r="P181" s="93">
        <f>SUMIF('2026 AC'!$B$3:$B$254,"*"&amp;$D181&amp;"*",'2026 AC'!N$3:N$254)</f>
        <v>0</v>
      </c>
      <c r="Q181" s="92">
        <f t="shared" si="293"/>
        <v>0</v>
      </c>
      <c r="R181" s="93">
        <f t="shared" si="287"/>
        <v>0</v>
      </c>
      <c r="S181" s="93">
        <f t="shared" si="292"/>
        <v>0</v>
      </c>
      <c r="T181" s="93">
        <f t="shared" si="289"/>
        <v>0</v>
      </c>
      <c r="U181" s="93">
        <f t="shared" si="290"/>
        <v>0</v>
      </c>
      <c r="V181" s="92">
        <f t="shared" si="291"/>
        <v>0</v>
      </c>
    </row>
    <row r="182" ht="15" customHeight="1" outlineLevel="1">
      <c r="A182" t="s">
        <v>452</v>
      </c>
      <c r="B182" t="s">
        <v>453</v>
      </c>
      <c r="C182" s="34" t="s">
        <v>454</v>
      </c>
      <c r="D182" s="35" t="s">
        <v>419</v>
      </c>
      <c r="E182" s="63">
        <f>SUMIF('2026 AC'!$B$3:$B$254,"*"&amp;$D182&amp;"*",'2026 AC'!C$3:C$254)</f>
        <v>0</v>
      </c>
      <c r="F182" s="53">
        <f>SUMIF('2026 AC'!$B$3:$B$254,"*"&amp;$D182&amp;"*",'2026 AC'!D$3:D$254)</f>
        <v>0</v>
      </c>
      <c r="G182" s="53">
        <f>SUMIF('2026 AC'!$B$3:$B$254,"*"&amp;$D182&amp;"*",'2026 AC'!E$3:E$254)</f>
        <v>0</v>
      </c>
      <c r="H182" s="53">
        <f>SUMIF('2026 AC'!$B$3:$B$254,"*"&amp;$D182&amp;"*",'2026 AC'!F$3:F$254)</f>
        <v>0</v>
      </c>
      <c r="I182" s="53">
        <f>SUMIF('2026 AC'!$B$3:$B$254,"*"&amp;$D182&amp;"*",'2026 AC'!G$3:G$254)</f>
        <v>0</v>
      </c>
      <c r="J182" s="53">
        <f>SUMIF('2026 AC'!$B$3:$B$254,"*"&amp;$D182&amp;"*",'2026 AC'!H$3:H$254)</f>
        <v>0</v>
      </c>
      <c r="K182" s="53">
        <f>SUMIF('2026 AC'!$B$3:$B$254,"*"&amp;$D182&amp;"*",'2026 AC'!I$3:I$254)</f>
        <v>0</v>
      </c>
      <c r="L182" s="53">
        <f>SUMIF('2026 AC'!$B$3:$B$254,"*"&amp;$D182&amp;"*",'2026 AC'!J$3:J$254)</f>
        <v>0</v>
      </c>
      <c r="M182" s="53">
        <f>SUMIF('2026 AC'!$B$3:$B$254,"*"&amp;$D182&amp;"*",'2026 AC'!K$3:K$254)</f>
        <v>0</v>
      </c>
      <c r="N182" s="53">
        <f>SUMIF('2026 AC'!$B$3:$B$254,"*"&amp;$D182&amp;"*",'2026 AC'!L$3:L$254)</f>
        <v>0</v>
      </c>
      <c r="O182" s="53">
        <f>SUMIF('2026 AC'!$B$3:$B$254,"*"&amp;$D182&amp;"*",'2026 AC'!M$3:M$254)</f>
        <v>0</v>
      </c>
      <c r="P182" s="93">
        <f>SUMIF('2026 AC'!$B$3:$B$254,"*"&amp;$D182&amp;"*",'2026 AC'!N$3:N$254)</f>
        <v>0</v>
      </c>
      <c r="Q182" s="92">
        <f t="shared" si="293"/>
        <v>0</v>
      </c>
      <c r="R182" s="93">
        <f t="shared" si="287"/>
        <v>0</v>
      </c>
      <c r="S182" s="93">
        <f t="shared" si="292"/>
        <v>0</v>
      </c>
      <c r="T182" s="93">
        <f t="shared" si="289"/>
        <v>0</v>
      </c>
      <c r="U182" s="93">
        <f t="shared" si="290"/>
        <v>0</v>
      </c>
      <c r="V182" s="92">
        <f t="shared" si="291"/>
        <v>0</v>
      </c>
    </row>
    <row r="183" ht="15" customHeight="1" outlineLevel="1">
      <c r="A183" t="s">
        <v>455</v>
      </c>
      <c r="B183" t="s">
        <v>456</v>
      </c>
      <c r="C183" s="34" t="s">
        <v>457</v>
      </c>
      <c r="D183" s="35" t="s">
        <v>422</v>
      </c>
      <c r="E183" s="63">
        <f>SUMIF('2026 AC'!$B$3:$B$254,"*"&amp;$D183&amp;"*",'2026 AC'!C$3:C$254)</f>
        <v>0</v>
      </c>
      <c r="F183" s="53">
        <f>SUMIF('2026 AC'!$B$3:$B$254,"*"&amp;$D183&amp;"*",'2026 AC'!D$3:D$254)</f>
        <v>0</v>
      </c>
      <c r="G183" s="53">
        <f>SUMIF('2026 AC'!$B$3:$B$254,"*"&amp;$D183&amp;"*",'2026 AC'!E$3:E$254)</f>
        <v>150</v>
      </c>
      <c r="H183" s="53">
        <f>SUMIF('2026 AC'!$B$3:$B$254,"*"&amp;$D183&amp;"*",'2026 AC'!F$3:F$254)</f>
        <v>107</v>
      </c>
      <c r="I183" s="53">
        <f>SUMIF('2026 AC'!$B$3:$B$254,"*"&amp;$D183&amp;"*",'2026 AC'!G$3:G$254)</f>
        <v>120.40000000000001</v>
      </c>
      <c r="J183" s="53">
        <f>SUMIF('2026 AC'!$B$3:$B$254,"*"&amp;$D183&amp;"*",'2026 AC'!H$3:H$254)</f>
        <v>1221</v>
      </c>
      <c r="K183" s="53">
        <f>SUMIF('2026 AC'!$B$3:$B$254,"*"&amp;$D183&amp;"*",'2026 AC'!I$3:I$254)</f>
        <v>0</v>
      </c>
      <c r="L183" s="53">
        <f>SUMIF('2026 AC'!$B$3:$B$254,"*"&amp;$D183&amp;"*",'2026 AC'!J$3:J$254)</f>
        <v>0</v>
      </c>
      <c r="M183" s="53">
        <f>SUMIF('2026 AC'!$B$3:$B$254,"*"&amp;$D183&amp;"*",'2026 AC'!K$3:K$254)</f>
        <v>0</v>
      </c>
      <c r="N183" s="53">
        <f>SUMIF('2026 AC'!$B$3:$B$254,"*"&amp;$D183&amp;"*",'2026 AC'!L$3:L$254)</f>
        <v>0</v>
      </c>
      <c r="O183" s="53">
        <f>SUMIF('2026 AC'!$B$3:$B$254,"*"&amp;$D183&amp;"*",'2026 AC'!M$3:M$254)</f>
        <v>0</v>
      </c>
      <c r="P183" s="93">
        <f>SUMIF('2026 AC'!$B$3:$B$254,"*"&amp;$D183&amp;"*",'2026 AC'!N$3:N$254)</f>
        <v>0</v>
      </c>
      <c r="Q183" s="92">
        <f t="shared" si="293"/>
        <v>1598.4000000000001</v>
      </c>
      <c r="R183" s="93">
        <f t="shared" si="287"/>
        <v>150</v>
      </c>
      <c r="S183" s="93">
        <f t="shared" si="292"/>
        <v>1448.4000000000001</v>
      </c>
      <c r="T183" s="93">
        <f t="shared" si="289"/>
        <v>0</v>
      </c>
      <c r="U183" s="93">
        <f t="shared" si="290"/>
        <v>0</v>
      </c>
      <c r="V183" s="92">
        <f t="shared" si="291"/>
        <v>1598.4000000000001</v>
      </c>
    </row>
    <row r="184" ht="15" customHeight="1" outlineLevel="1">
      <c r="A184" t="s">
        <v>458</v>
      </c>
      <c r="B184" t="s">
        <v>459</v>
      </c>
      <c r="C184" s="34" t="s">
        <v>460</v>
      </c>
      <c r="D184" s="35" t="s">
        <v>461</v>
      </c>
      <c r="E184" s="63">
        <f>SUMIF('2026 AC'!$B$3:$B$254,"*"&amp;$D184&amp;"*",'2026 AC'!C$3:C$254)</f>
        <v>2214</v>
      </c>
      <c r="F184" s="53">
        <f>SUMIF('2026 AC'!$B$3:$B$254,"*"&amp;$D184&amp;"*",'2026 AC'!D$3:D$254)</f>
        <v>2214</v>
      </c>
      <c r="G184" s="53">
        <f>SUMIF('2026 AC'!$B$3:$B$254,"*"&amp;$D184&amp;"*",'2026 AC'!E$3:E$254)</f>
        <v>2214</v>
      </c>
      <c r="H184" s="53">
        <f>SUMIF('2026 AC'!$B$3:$B$254,"*"&amp;$D184&amp;"*",'2026 AC'!F$3:F$254)</f>
        <v>2214</v>
      </c>
      <c r="I184" s="53">
        <f>SUMIF('2026 AC'!$B$3:$B$254,"*"&amp;$D184&amp;"*",'2026 AC'!G$3:G$254)</f>
        <v>2214</v>
      </c>
      <c r="J184" s="53">
        <f>SUMIF('2026 AC'!$B$3:$B$254,"*"&amp;$D184&amp;"*",'2026 AC'!H$3:H$254)</f>
        <v>2214</v>
      </c>
      <c r="K184" s="53">
        <f>SUMIF('2026 AC'!$B$3:$B$254,"*"&amp;$D184&amp;"*",'2026 AC'!I$3:I$254)</f>
        <v>0</v>
      </c>
      <c r="L184" s="53">
        <f>SUMIF('2026 AC'!$B$3:$B$254,"*"&amp;$D184&amp;"*",'2026 AC'!J$3:J$254)</f>
        <v>0</v>
      </c>
      <c r="M184" s="53">
        <f>SUMIF('2026 AC'!$B$3:$B$254,"*"&amp;$D184&amp;"*",'2026 AC'!K$3:K$254)</f>
        <v>0</v>
      </c>
      <c r="N184" s="53">
        <f>SUMIF('2026 AC'!$B$3:$B$254,"*"&amp;$D184&amp;"*",'2026 AC'!L$3:L$254)</f>
        <v>0</v>
      </c>
      <c r="O184" s="53">
        <f>SUMIF('2026 AC'!$B$3:$B$254,"*"&amp;$D184&amp;"*",'2026 AC'!M$3:M$254)</f>
        <v>0</v>
      </c>
      <c r="P184" s="93">
        <f>SUMIF('2026 AC'!$B$3:$B$254,"*"&amp;$D184&amp;"*",'2026 AC'!N$3:N$254)</f>
        <v>0</v>
      </c>
      <c r="Q184" s="92">
        <f t="shared" si="293"/>
        <v>13284</v>
      </c>
      <c r="R184" s="93">
        <f t="shared" si="287"/>
        <v>6642</v>
      </c>
      <c r="S184" s="93">
        <f t="shared" si="292"/>
        <v>6642</v>
      </c>
      <c r="T184" s="93">
        <f t="shared" si="289"/>
        <v>0</v>
      </c>
      <c r="U184" s="93">
        <f t="shared" si="290"/>
        <v>0</v>
      </c>
      <c r="V184" s="92">
        <f t="shared" si="291"/>
        <v>13284</v>
      </c>
    </row>
    <row r="185" ht="15" customHeight="1" outlineLevel="1">
      <c r="A185" t="s">
        <v>462</v>
      </c>
      <c r="B185" t="s">
        <v>463</v>
      </c>
      <c r="C185" s="34" t="s">
        <v>464</v>
      </c>
      <c r="D185" s="35" t="s">
        <v>465</v>
      </c>
      <c r="E185" s="63">
        <f>SUMIF('2026 AC'!$B$3:$B$254,"*"&amp;$D185&amp;"*",'2026 AC'!C$3:C$254)</f>
        <v>200</v>
      </c>
      <c r="F185" s="53">
        <f>SUMIF('2026 AC'!$B$3:$B$254,"*"&amp;$D185&amp;"*",'2026 AC'!D$3:D$254)</f>
        <v>0</v>
      </c>
      <c r="G185" s="53">
        <f>SUMIF('2026 AC'!$B$3:$B$254,"*"&amp;$D185&amp;"*",'2026 AC'!E$3:E$254)</f>
        <v>0</v>
      </c>
      <c r="H185" s="53">
        <f>SUMIF('2026 AC'!$B$3:$B$254,"*"&amp;$D185&amp;"*",'2026 AC'!F$3:F$254)</f>
        <v>0</v>
      </c>
      <c r="I185" s="53">
        <f>SUMIF('2026 AC'!$B$3:$B$254,"*"&amp;$D185&amp;"*",'2026 AC'!G$3:G$254)</f>
        <v>0</v>
      </c>
      <c r="J185" s="53">
        <f>SUMIF('2026 AC'!$B$3:$B$254,"*"&amp;$D185&amp;"*",'2026 AC'!H$3:H$254)</f>
        <v>0</v>
      </c>
      <c r="K185" s="53">
        <f>SUMIF('2026 AC'!$B$3:$B$254,"*"&amp;$D185&amp;"*",'2026 AC'!I$3:I$254)</f>
        <v>0</v>
      </c>
      <c r="L185" s="53">
        <f>SUMIF('2026 AC'!$B$3:$B$254,"*"&amp;$D185&amp;"*",'2026 AC'!J$3:J$254)</f>
        <v>0</v>
      </c>
      <c r="M185" s="53">
        <f>SUMIF('2026 AC'!$B$3:$B$254,"*"&amp;$D185&amp;"*",'2026 AC'!K$3:K$254)</f>
        <v>0</v>
      </c>
      <c r="N185" s="53">
        <f>SUMIF('2026 AC'!$B$3:$B$254,"*"&amp;$D185&amp;"*",'2026 AC'!L$3:L$254)</f>
        <v>0</v>
      </c>
      <c r="O185" s="53">
        <f>SUMIF('2026 AC'!$B$3:$B$254,"*"&amp;$D185&amp;"*",'2026 AC'!M$3:M$254)</f>
        <v>0</v>
      </c>
      <c r="P185" s="93">
        <f>SUMIF('2026 AC'!$B$3:$B$254,"*"&amp;$D185&amp;"*",'2026 AC'!N$3:N$254)</f>
        <v>0</v>
      </c>
      <c r="Q185" s="92">
        <f t="shared" si="293"/>
        <v>200</v>
      </c>
      <c r="R185" s="93">
        <f t="shared" si="287"/>
        <v>200</v>
      </c>
      <c r="S185" s="93">
        <f t="shared" si="292"/>
        <v>0</v>
      </c>
      <c r="T185" s="93">
        <f t="shared" si="289"/>
        <v>0</v>
      </c>
      <c r="U185" s="93">
        <f t="shared" si="290"/>
        <v>0</v>
      </c>
      <c r="V185" s="92">
        <f t="shared" si="291"/>
        <v>200</v>
      </c>
    </row>
    <row r="186" ht="15" customHeight="1" outlineLevel="1">
      <c r="A186" t="s">
        <v>466</v>
      </c>
      <c r="B186" t="s">
        <v>467</v>
      </c>
      <c r="C186" s="34" t="s">
        <v>468</v>
      </c>
      <c r="D186" s="35" t="s">
        <v>425</v>
      </c>
      <c r="E186" s="63">
        <f>SUMIF('2026 AC'!$B$3:$B$254,"*"&amp;$D186&amp;"*",'2026 AC'!C$3:C$254)</f>
        <v>2646</v>
      </c>
      <c r="F186" s="53">
        <f>SUMIF('2026 AC'!$B$3:$B$254,"*"&amp;$D186&amp;"*",'2026 AC'!D$3:D$254)</f>
        <v>6696</v>
      </c>
      <c r="G186" s="53">
        <f>SUMIF('2026 AC'!$B$3:$B$254,"*"&amp;$D186&amp;"*",'2026 AC'!E$3:E$254)</f>
        <v>3132</v>
      </c>
      <c r="H186" s="53">
        <f>SUMIF('2026 AC'!$B$3:$B$254,"*"&amp;$D186&amp;"*",'2026 AC'!F$3:F$254)</f>
        <v>0</v>
      </c>
      <c r="I186" s="53">
        <f>SUMIF('2026 AC'!$B$3:$B$254,"*"&amp;$D186&amp;"*",'2026 AC'!G$3:G$254)</f>
        <v>0</v>
      </c>
      <c r="J186" s="53">
        <f>SUMIF('2026 AC'!$B$3:$B$254,"*"&amp;$D186&amp;"*",'2026 AC'!H$3:H$254)</f>
        <v>0</v>
      </c>
      <c r="K186" s="53">
        <f>SUMIF('2026 AC'!$B$3:$B$254,"*"&amp;$D186&amp;"*",'2026 AC'!I$3:I$254)</f>
        <v>0</v>
      </c>
      <c r="L186" s="53">
        <f>SUMIF('2026 AC'!$B$3:$B$254,"*"&amp;$D186&amp;"*",'2026 AC'!J$3:J$254)</f>
        <v>0</v>
      </c>
      <c r="M186" s="53">
        <f>SUMIF('2026 AC'!$B$3:$B$254,"*"&amp;$D186&amp;"*",'2026 AC'!K$3:K$254)</f>
        <v>0</v>
      </c>
      <c r="N186" s="53">
        <f>SUMIF('2026 AC'!$B$3:$B$254,"*"&amp;$D186&amp;"*",'2026 AC'!L$3:L$254)</f>
        <v>0</v>
      </c>
      <c r="O186" s="53">
        <f>SUMIF('2026 AC'!$B$3:$B$254,"*"&amp;$D186&amp;"*",'2026 AC'!M$3:M$254)</f>
        <v>0</v>
      </c>
      <c r="P186" s="93">
        <f>SUMIF('2026 AC'!$B$3:$B$254,"*"&amp;$D186&amp;"*",'2026 AC'!N$3:N$254)</f>
        <v>0</v>
      </c>
      <c r="Q186" s="92">
        <f t="shared" si="293"/>
        <v>12474</v>
      </c>
      <c r="R186" s="93">
        <f t="shared" si="287"/>
        <v>12474</v>
      </c>
      <c r="S186" s="93">
        <f t="shared" si="292"/>
        <v>0</v>
      </c>
      <c r="T186" s="93">
        <f t="shared" si="289"/>
        <v>0</v>
      </c>
      <c r="U186" s="93">
        <f t="shared" si="290"/>
        <v>0</v>
      </c>
      <c r="V186" s="92">
        <f t="shared" si="291"/>
        <v>12474</v>
      </c>
    </row>
    <row r="187" ht="15" customHeight="1" outlineLevel="1">
      <c r="A187" t="s">
        <v>469</v>
      </c>
      <c r="B187" t="s">
        <v>470</v>
      </c>
      <c r="C187" s="34" t="s">
        <v>471</v>
      </c>
      <c r="D187" s="35" t="s">
        <v>472</v>
      </c>
      <c r="E187" s="63">
        <f>SUMIF('2026 AC'!$B$3:$B$254,"*"&amp;$D187&amp;"*",'2026 AC'!C$3:C$254)</f>
        <v>0</v>
      </c>
      <c r="F187" s="53">
        <f>SUMIF('2026 AC'!$B$3:$B$254,"*"&amp;$D187&amp;"*",'2026 AC'!D$3:D$254)</f>
        <v>0</v>
      </c>
      <c r="G187" s="53">
        <f>SUMIF('2026 AC'!$B$3:$B$254,"*"&amp;$D187&amp;"*",'2026 AC'!E$3:E$254)</f>
        <v>6432</v>
      </c>
      <c r="H187" s="53">
        <f>SUMIF('2026 AC'!$B$3:$B$254,"*"&amp;$D187&amp;"*",'2026 AC'!F$3:F$254)</f>
        <v>3132</v>
      </c>
      <c r="I187" s="53">
        <f>SUMIF('2026 AC'!$B$3:$B$254,"*"&amp;$D187&amp;"*",'2026 AC'!G$3:G$254)</f>
        <v>1980</v>
      </c>
      <c r="J187" s="53">
        <f>SUMIF('2026 AC'!$B$3:$B$254,"*"&amp;$D187&amp;"*",'2026 AC'!H$3:H$254)</f>
        <v>0</v>
      </c>
      <c r="K187" s="53">
        <f>SUMIF('2026 AC'!$B$3:$B$254,"*"&amp;$D187&amp;"*",'2026 AC'!I$3:I$254)</f>
        <v>0</v>
      </c>
      <c r="L187" s="53">
        <f>SUMIF('2026 AC'!$B$3:$B$254,"*"&amp;$D187&amp;"*",'2026 AC'!J$3:J$254)</f>
        <v>0</v>
      </c>
      <c r="M187" s="53">
        <f>SUMIF('2026 AC'!$B$3:$B$254,"*"&amp;$D187&amp;"*",'2026 AC'!K$3:K$254)</f>
        <v>0</v>
      </c>
      <c r="N187" s="53">
        <f>SUMIF('2026 AC'!$B$3:$B$254,"*"&amp;$D187&amp;"*",'2026 AC'!L$3:L$254)</f>
        <v>0</v>
      </c>
      <c r="O187" s="53">
        <f>SUMIF('2026 AC'!$B$3:$B$254,"*"&amp;$D187&amp;"*",'2026 AC'!M$3:M$254)</f>
        <v>0</v>
      </c>
      <c r="P187" s="93">
        <f>SUMIF('2026 AC'!$B$3:$B$254,"*"&amp;$D187&amp;"*",'2026 AC'!N$3:N$254)</f>
        <v>0</v>
      </c>
      <c r="Q187" s="92">
        <f t="shared" si="293"/>
        <v>11544</v>
      </c>
      <c r="R187" s="93">
        <f t="shared" si="287"/>
        <v>6432</v>
      </c>
      <c r="S187" s="93">
        <f t="shared" si="292"/>
        <v>5112</v>
      </c>
      <c r="T187" s="93">
        <f t="shared" si="289"/>
        <v>0</v>
      </c>
      <c r="U187" s="93">
        <f t="shared" si="290"/>
        <v>0</v>
      </c>
      <c r="V187" s="92">
        <f t="shared" si="291"/>
        <v>11544</v>
      </c>
    </row>
    <row r="188" ht="15" customHeight="1" outlineLevel="1">
      <c r="A188" t="s">
        <v>473</v>
      </c>
      <c r="B188" t="s">
        <v>474</v>
      </c>
      <c r="C188" s="34" t="s">
        <v>475</v>
      </c>
      <c r="D188" s="35" t="s">
        <v>428</v>
      </c>
      <c r="E188" s="63">
        <f>SUMIF('2026 AC'!$B$3:$B$254,"*"&amp;$D188&amp;"*",'2026 AC'!C$3:C$254)</f>
        <v>400</v>
      </c>
      <c r="F188" s="53">
        <f>SUMIF('2026 AC'!$B$3:$B$254,"*"&amp;$D188&amp;"*",'2026 AC'!D$3:D$254)</f>
        <v>16120</v>
      </c>
      <c r="G188" s="53">
        <f>SUMIF('2026 AC'!$B$3:$B$254,"*"&amp;$D188&amp;"*",'2026 AC'!E$3:E$254)</f>
        <v>56200</v>
      </c>
      <c r="H188" s="53">
        <f>SUMIF('2026 AC'!$B$3:$B$254,"*"&amp;$D188&amp;"*",'2026 AC'!F$3:F$254)</f>
        <v>0</v>
      </c>
      <c r="I188" s="53">
        <f>SUMIF('2026 AC'!$B$3:$B$254,"*"&amp;$D188&amp;"*",'2026 AC'!G$3:G$254)</f>
        <v>0</v>
      </c>
      <c r="J188" s="53">
        <f>SUMIF('2026 AC'!$B$3:$B$254,"*"&amp;$D188&amp;"*",'2026 AC'!H$3:H$254)</f>
        <v>0</v>
      </c>
      <c r="K188" s="53">
        <f>SUMIF('2026 AC'!$B$3:$B$254,"*"&amp;$D188&amp;"*",'2026 AC'!I$3:I$254)</f>
        <v>0</v>
      </c>
      <c r="L188" s="53">
        <f>SUMIF('2026 AC'!$B$3:$B$254,"*"&amp;$D188&amp;"*",'2026 AC'!J$3:J$254)</f>
        <v>0</v>
      </c>
      <c r="M188" s="53">
        <f>SUMIF('2026 AC'!$B$3:$B$254,"*"&amp;$D188&amp;"*",'2026 AC'!K$3:K$254)</f>
        <v>0</v>
      </c>
      <c r="N188" s="53">
        <f>SUMIF('2026 AC'!$B$3:$B$254,"*"&amp;$D188&amp;"*",'2026 AC'!L$3:L$254)</f>
        <v>0</v>
      </c>
      <c r="O188" s="53">
        <f>SUMIF('2026 AC'!$B$3:$B$254,"*"&amp;$D188&amp;"*",'2026 AC'!M$3:M$254)</f>
        <v>0</v>
      </c>
      <c r="P188" s="93">
        <f>SUMIF('2026 AC'!$B$3:$B$254,"*"&amp;$D188&amp;"*",'2026 AC'!N$3:N$254)</f>
        <v>0</v>
      </c>
      <c r="Q188" s="92">
        <f t="shared" si="293"/>
        <v>72720</v>
      </c>
      <c r="R188" s="93">
        <f t="shared" si="287"/>
        <v>72720</v>
      </c>
      <c r="S188" s="93">
        <f t="shared" si="292"/>
        <v>0</v>
      </c>
      <c r="T188" s="93">
        <f t="shared" si="289"/>
        <v>0</v>
      </c>
      <c r="U188" s="93">
        <f t="shared" si="290"/>
        <v>0</v>
      </c>
      <c r="V188" s="92">
        <f t="shared" si="291"/>
        <v>72720</v>
      </c>
    </row>
    <row r="189" ht="15" customHeight="1" outlineLevel="1">
      <c r="A189" t="s">
        <v>476</v>
      </c>
      <c r="B189" t="s">
        <v>477</v>
      </c>
      <c r="C189" s="34" t="s">
        <v>478</v>
      </c>
      <c r="D189" s="35" t="s">
        <v>431</v>
      </c>
      <c r="E189" s="63">
        <f>SUMIF('2026 AC'!$B$3:$B$254,"*"&amp;$D189&amp;"*",'2026 AC'!C$3:C$254)</f>
        <v>0</v>
      </c>
      <c r="F189" s="53">
        <f>SUMIF('2026 AC'!$B$3:$B$254,"*"&amp;$D189&amp;"*",'2026 AC'!D$3:D$254)</f>
        <v>0</v>
      </c>
      <c r="G189" s="53">
        <f>SUMIF('2026 AC'!$B$3:$B$254,"*"&amp;$D189&amp;"*",'2026 AC'!E$3:E$254)</f>
        <v>1350</v>
      </c>
      <c r="H189" s="53">
        <f>SUMIF('2026 AC'!$B$3:$B$254,"*"&amp;$D189&amp;"*",'2026 AC'!F$3:F$254)</f>
        <v>0</v>
      </c>
      <c r="I189" s="53">
        <f>SUMIF('2026 AC'!$B$3:$B$254,"*"&amp;$D189&amp;"*",'2026 AC'!G$3:G$254)</f>
        <v>4860</v>
      </c>
      <c r="J189" s="53">
        <f>SUMIF('2026 AC'!$B$3:$B$254,"*"&amp;$D189&amp;"*",'2026 AC'!H$3:H$254)</f>
        <v>1300</v>
      </c>
      <c r="K189" s="53">
        <f>SUMIF('2026 AC'!$B$3:$B$254,"*"&amp;$D189&amp;"*",'2026 AC'!I$3:I$254)</f>
        <v>0</v>
      </c>
      <c r="L189" s="53">
        <f>SUMIF('2026 AC'!$B$3:$B$254,"*"&amp;$D189&amp;"*",'2026 AC'!J$3:J$254)</f>
        <v>0</v>
      </c>
      <c r="M189" s="53">
        <f>SUMIF('2026 AC'!$B$3:$B$254,"*"&amp;$D189&amp;"*",'2026 AC'!K$3:K$254)</f>
        <v>0</v>
      </c>
      <c r="N189" s="53">
        <f>SUMIF('2026 AC'!$B$3:$B$254,"*"&amp;$D189&amp;"*",'2026 AC'!L$3:L$254)</f>
        <v>0</v>
      </c>
      <c r="O189" s="53">
        <f>SUMIF('2026 AC'!$B$3:$B$254,"*"&amp;$D189&amp;"*",'2026 AC'!M$3:M$254)</f>
        <v>0</v>
      </c>
      <c r="P189" s="93">
        <f>SUMIF('2026 AC'!$B$3:$B$254,"*"&amp;$D189&amp;"*",'2026 AC'!N$3:N$254)</f>
        <v>0</v>
      </c>
      <c r="Q189" s="92">
        <f t="shared" si="293"/>
        <v>7510</v>
      </c>
      <c r="R189" s="93">
        <f t="shared" si="287"/>
        <v>1350</v>
      </c>
      <c r="S189" s="93">
        <f t="shared" si="292"/>
        <v>6160</v>
      </c>
      <c r="T189" s="93">
        <f t="shared" si="289"/>
        <v>0</v>
      </c>
      <c r="U189" s="93">
        <f t="shared" si="290"/>
        <v>0</v>
      </c>
      <c r="V189" s="92">
        <f t="shared" si="291"/>
        <v>7510</v>
      </c>
    </row>
    <row r="190" ht="15" customHeight="1" outlineLevel="1">
      <c r="A190" t="s">
        <v>479</v>
      </c>
      <c r="B190" t="s">
        <v>480</v>
      </c>
      <c r="C190" s="34" t="s">
        <v>481</v>
      </c>
      <c r="D190" s="35" t="s">
        <v>434</v>
      </c>
      <c r="E190" s="63">
        <f>SUMIF('2026 AC'!$B$3:$B$254,"*"&amp;$D190&amp;"*",'2026 AC'!C$3:C$254)</f>
        <v>2139.9000000000001</v>
      </c>
      <c r="F190" s="53">
        <f>SUMIF('2026 AC'!$B$3:$B$254,"*"&amp;$D190&amp;"*",'2026 AC'!D$3:D$254)</f>
        <v>87.5</v>
      </c>
      <c r="G190" s="53">
        <f>SUMIF('2026 AC'!$B$3:$B$254,"*"&amp;$D190&amp;"*",'2026 AC'!E$3:E$254)</f>
        <v>3356.8000000000002</v>
      </c>
      <c r="H190" s="53">
        <f>SUMIF('2026 AC'!$B$3:$B$254,"*"&amp;$D190&amp;"*",'2026 AC'!F$3:F$254)</f>
        <v>40.5</v>
      </c>
      <c r="I190" s="53">
        <f>SUMIF('2026 AC'!$B$3:$B$254,"*"&amp;$D190&amp;"*",'2026 AC'!G$3:G$254)</f>
        <v>1728.75</v>
      </c>
      <c r="J190" s="53">
        <f>SUMIF('2026 AC'!$B$3:$B$254,"*"&amp;$D190&amp;"*",'2026 AC'!H$3:H$254)</f>
        <v>7071.3999999999996</v>
      </c>
      <c r="K190" s="53">
        <f>SUMIF('2026 AC'!$B$3:$B$254,"*"&amp;$D190&amp;"*",'2026 AC'!I$3:I$254)</f>
        <v>0</v>
      </c>
      <c r="L190" s="53">
        <f>SUMIF('2026 AC'!$B$3:$B$254,"*"&amp;$D190&amp;"*",'2026 AC'!J$3:J$254)</f>
        <v>0</v>
      </c>
      <c r="M190" s="53">
        <f>SUMIF('2026 AC'!$B$3:$B$254,"*"&amp;$D190&amp;"*",'2026 AC'!K$3:K$254)</f>
        <v>0</v>
      </c>
      <c r="N190" s="53">
        <f>SUMIF('2026 AC'!$B$3:$B$254,"*"&amp;$D190&amp;"*",'2026 AC'!L$3:L$254)</f>
        <v>0</v>
      </c>
      <c r="O190" s="53">
        <f>SUMIF('2026 AC'!$B$3:$B$254,"*"&amp;$D190&amp;"*",'2026 AC'!M$3:M$254)</f>
        <v>0</v>
      </c>
      <c r="P190" s="93">
        <f>SUMIF('2026 AC'!$B$3:$B$254,"*"&amp;$D190&amp;"*",'2026 AC'!N$3:N$254)</f>
        <v>0</v>
      </c>
      <c r="Q190" s="92">
        <f t="shared" si="293"/>
        <v>14424.85</v>
      </c>
      <c r="R190" s="93">
        <f t="shared" si="287"/>
        <v>5584.2000000000007</v>
      </c>
      <c r="S190" s="93">
        <f t="shared" si="292"/>
        <v>8840.6499999999996</v>
      </c>
      <c r="T190" s="93">
        <f t="shared" si="289"/>
        <v>0</v>
      </c>
      <c r="U190" s="93">
        <f t="shared" si="290"/>
        <v>0</v>
      </c>
      <c r="V190" s="92">
        <f t="shared" si="291"/>
        <v>14424.85</v>
      </c>
    </row>
    <row r="191" ht="15" customHeight="1" outlineLevel="1">
      <c r="A191" t="s">
        <v>482</v>
      </c>
      <c r="B191" t="s">
        <v>483</v>
      </c>
      <c r="C191" s="34" t="s">
        <v>484</v>
      </c>
      <c r="D191" s="35" t="s">
        <v>437</v>
      </c>
      <c r="E191" s="63">
        <f>SUMIF('2026 AC'!$B$3:$B$254,"*"&amp;$D191&amp;"*",'2026 AC'!C$3:C$254)</f>
        <v>5500</v>
      </c>
      <c r="F191" s="53">
        <f>SUMIF('2026 AC'!$B$3:$B$254,"*"&amp;$D191&amp;"*",'2026 AC'!D$3:D$254)</f>
        <v>300</v>
      </c>
      <c r="G191" s="53">
        <f>SUMIF('2026 AC'!$B$3:$B$254,"*"&amp;$D191&amp;"*",'2026 AC'!E$3:E$254)</f>
        <v>1530.8</v>
      </c>
      <c r="H191" s="53">
        <f>SUMIF('2026 AC'!$B$3:$B$254,"*"&amp;$D191&amp;"*",'2026 AC'!F$3:F$254)</f>
        <v>0</v>
      </c>
      <c r="I191" s="53">
        <f>SUMIF('2026 AC'!$B$3:$B$254,"*"&amp;$D191&amp;"*",'2026 AC'!G$3:G$254)</f>
        <v>1130</v>
      </c>
      <c r="J191" s="53">
        <f>SUMIF('2026 AC'!$B$3:$B$254,"*"&amp;$D191&amp;"*",'2026 AC'!H$3:H$254)</f>
        <v>310</v>
      </c>
      <c r="K191" s="53">
        <f>SUMIF('2026 AC'!$B$3:$B$254,"*"&amp;$D191&amp;"*",'2026 AC'!I$3:I$254)</f>
        <v>0</v>
      </c>
      <c r="L191" s="53">
        <f>SUMIF('2026 AC'!$B$3:$B$254,"*"&amp;$D191&amp;"*",'2026 AC'!J$3:J$254)</f>
        <v>0</v>
      </c>
      <c r="M191" s="53">
        <f>SUMIF('2026 AC'!$B$3:$B$254,"*"&amp;$D191&amp;"*",'2026 AC'!K$3:K$254)</f>
        <v>0</v>
      </c>
      <c r="N191" s="53">
        <f>SUMIF('2026 AC'!$B$3:$B$254,"*"&amp;$D191&amp;"*",'2026 AC'!L$3:L$254)</f>
        <v>0</v>
      </c>
      <c r="O191" s="53">
        <f>SUMIF('2026 AC'!$B$3:$B$254,"*"&amp;$D191&amp;"*",'2026 AC'!M$3:M$254)</f>
        <v>0</v>
      </c>
      <c r="P191" s="93">
        <f>SUMIF('2026 AC'!$B$3:$B$254,"*"&amp;$D191&amp;"*",'2026 AC'!N$3:N$254)</f>
        <v>0</v>
      </c>
      <c r="Q191" s="92">
        <f t="shared" si="293"/>
        <v>8770.7999999999993</v>
      </c>
      <c r="R191" s="93">
        <f t="shared" si="287"/>
        <v>7330.8000000000002</v>
      </c>
      <c r="S191" s="93">
        <f t="shared" si="292"/>
        <v>1440</v>
      </c>
      <c r="T191" s="93">
        <f t="shared" si="289"/>
        <v>0</v>
      </c>
      <c r="U191" s="93">
        <f t="shared" si="290"/>
        <v>0</v>
      </c>
      <c r="V191" s="92">
        <f t="shared" si="291"/>
        <v>8770.7999999999993</v>
      </c>
    </row>
    <row r="192" ht="15" customHeight="1" outlineLevel="1">
      <c r="A192" t="s">
        <v>485</v>
      </c>
      <c r="B192" t="s">
        <v>486</v>
      </c>
      <c r="C192" s="34" t="s">
        <v>487</v>
      </c>
      <c r="D192" s="35" t="s">
        <v>488</v>
      </c>
      <c r="E192" s="63">
        <f>SUMIF('2026 AC'!$B$3:$B$254,"*"&amp;$D192&amp;"*",'2026 AC'!C$3:C$254)</f>
        <v>2231</v>
      </c>
      <c r="F192" s="53">
        <f>SUMIF('2026 AC'!$B$3:$B$254,"*"&amp;$D192&amp;"*",'2026 AC'!D$3:D$254)</f>
        <v>1900</v>
      </c>
      <c r="G192" s="53">
        <f>SUMIF('2026 AC'!$B$3:$B$254,"*"&amp;$D192&amp;"*",'2026 AC'!E$3:E$254)</f>
        <v>3410</v>
      </c>
      <c r="H192" s="53">
        <f>SUMIF('2026 AC'!$B$3:$B$254,"*"&amp;$D192&amp;"*",'2026 AC'!F$3:F$254)</f>
        <v>2231</v>
      </c>
      <c r="I192" s="53">
        <f>SUMIF('2026 AC'!$B$3:$B$254,"*"&amp;$D192&amp;"*",'2026 AC'!G$3:G$254)</f>
        <v>2231</v>
      </c>
      <c r="J192" s="53">
        <f>SUMIF('2026 AC'!$B$3:$B$254,"*"&amp;$D192&amp;"*",'2026 AC'!H$3:H$254)</f>
        <v>2231</v>
      </c>
      <c r="K192" s="53">
        <f>SUMIF('2026 AC'!$B$3:$B$254,"*"&amp;$D192&amp;"*",'2026 AC'!I$3:I$254)</f>
        <v>0</v>
      </c>
      <c r="L192" s="53">
        <f>SUMIF('2026 AC'!$B$3:$B$254,"*"&amp;$D192&amp;"*",'2026 AC'!J$3:J$254)</f>
        <v>0</v>
      </c>
      <c r="M192" s="53">
        <f>SUMIF('2026 AC'!$B$3:$B$254,"*"&amp;$D192&amp;"*",'2026 AC'!K$3:K$254)</f>
        <v>0</v>
      </c>
      <c r="N192" s="53">
        <f>SUMIF('2026 AC'!$B$3:$B$254,"*"&amp;$D192&amp;"*",'2026 AC'!L$3:L$254)</f>
        <v>0</v>
      </c>
      <c r="O192" s="53">
        <f>SUMIF('2026 AC'!$B$3:$B$254,"*"&amp;$D192&amp;"*",'2026 AC'!M$3:M$254)</f>
        <v>0</v>
      </c>
      <c r="P192" s="93">
        <f>SUMIF('2026 AC'!$B$3:$B$254,"*"&amp;$D192&amp;"*",'2026 AC'!N$3:N$254)</f>
        <v>0</v>
      </c>
      <c r="Q192" s="92">
        <f t="shared" si="293"/>
        <v>14234</v>
      </c>
      <c r="R192" s="93">
        <f t="shared" si="287"/>
        <v>7541</v>
      </c>
      <c r="S192" s="93">
        <f t="shared" si="292"/>
        <v>6693</v>
      </c>
      <c r="T192" s="93">
        <f t="shared" si="289"/>
        <v>0</v>
      </c>
      <c r="U192" s="93">
        <f t="shared" si="290"/>
        <v>0</v>
      </c>
      <c r="V192" s="92">
        <f t="shared" si="291"/>
        <v>14234</v>
      </c>
    </row>
    <row r="193" ht="15" customHeight="1" outlineLevel="1">
      <c r="A193" t="s">
        <v>489</v>
      </c>
      <c r="B193" t="s">
        <v>490</v>
      </c>
      <c r="C193" s="34" t="s">
        <v>491</v>
      </c>
      <c r="D193" s="35" t="s">
        <v>440</v>
      </c>
      <c r="E193" s="63">
        <f>SUMIF('2026 AC'!$B$3:$B$254,"*"&amp;$D193&amp;"*",'2026 AC'!C$3:C$254)</f>
        <v>0</v>
      </c>
      <c r="F193" s="53">
        <f>SUMIF('2026 AC'!$B$3:$B$254,"*"&amp;$D193&amp;"*",'2026 AC'!D$3:D$254)</f>
        <v>0</v>
      </c>
      <c r="G193" s="53">
        <f>SUMIF('2026 AC'!$B$3:$B$254,"*"&amp;$D193&amp;"*",'2026 AC'!E$3:E$254)</f>
        <v>0</v>
      </c>
      <c r="H193" s="53">
        <f>SUMIF('2026 AC'!$B$3:$B$254,"*"&amp;$D193&amp;"*",'2026 AC'!F$3:F$254)</f>
        <v>0</v>
      </c>
      <c r="I193" s="53">
        <f>SUMIF('2026 AC'!$B$3:$B$254,"*"&amp;$D193&amp;"*",'2026 AC'!G$3:G$254)</f>
        <v>0</v>
      </c>
      <c r="J193" s="53">
        <f>SUMIF('2026 AC'!$B$3:$B$254,"*"&amp;$D193&amp;"*",'2026 AC'!H$3:H$254)</f>
        <v>0</v>
      </c>
      <c r="K193" s="53">
        <f>SUMIF('2026 AC'!$B$3:$B$254,"*"&amp;$D193&amp;"*",'2026 AC'!I$3:I$254)</f>
        <v>0</v>
      </c>
      <c r="L193" s="53">
        <f>SUMIF('2026 AC'!$B$3:$B$254,"*"&amp;$D193&amp;"*",'2026 AC'!J$3:J$254)</f>
        <v>0</v>
      </c>
      <c r="M193" s="53">
        <f>SUMIF('2026 AC'!$B$3:$B$254,"*"&amp;$D193&amp;"*",'2026 AC'!K$3:K$254)</f>
        <v>0</v>
      </c>
      <c r="N193" s="53">
        <f>SUMIF('2026 AC'!$B$3:$B$254,"*"&amp;$D193&amp;"*",'2026 AC'!L$3:L$254)</f>
        <v>0</v>
      </c>
      <c r="O193" s="53">
        <f>SUMIF('2026 AC'!$B$3:$B$254,"*"&amp;$D193&amp;"*",'2026 AC'!M$3:M$254)</f>
        <v>0</v>
      </c>
      <c r="P193" s="93">
        <f>SUMIF('2026 AC'!$B$3:$B$254,"*"&amp;$D193&amp;"*",'2026 AC'!N$3:N$254)</f>
        <v>0</v>
      </c>
      <c r="Q193" s="92">
        <f t="shared" si="293"/>
        <v>0</v>
      </c>
      <c r="R193" s="93">
        <f t="shared" si="287"/>
        <v>0</v>
      </c>
      <c r="S193" s="93">
        <f t="shared" si="292"/>
        <v>0</v>
      </c>
      <c r="T193" s="93">
        <f t="shared" si="289"/>
        <v>0</v>
      </c>
      <c r="U193" s="93">
        <f t="shared" si="290"/>
        <v>0</v>
      </c>
      <c r="V193" s="92">
        <f t="shared" si="291"/>
        <v>0</v>
      </c>
    </row>
    <row r="194" ht="15" customHeight="1" outlineLevel="1">
      <c r="A194" t="s">
        <v>492</v>
      </c>
      <c r="B194" t="s">
        <v>493</v>
      </c>
      <c r="C194" s="34" t="s">
        <v>494</v>
      </c>
      <c r="D194" s="35" t="s">
        <v>444</v>
      </c>
      <c r="E194" s="63">
        <f>SUMIF('2026 AC'!$B$3:$B$254,"*"&amp;$D194&amp;"*",'2026 AC'!C$3:C$254)</f>
        <v>0</v>
      </c>
      <c r="F194" s="53">
        <f>SUMIF('2026 AC'!$B$3:$B$254,"*"&amp;$D194&amp;"*",'2026 AC'!D$3:D$254)</f>
        <v>0</v>
      </c>
      <c r="G194" s="53">
        <f>SUMIF('2026 AC'!$B$3:$B$254,"*"&amp;$D194&amp;"*",'2026 AC'!E$3:E$254)</f>
        <v>0</v>
      </c>
      <c r="H194" s="53">
        <f>SUMIF('2026 AC'!$B$3:$B$254,"*"&amp;$D194&amp;"*",'2026 AC'!F$3:F$254)</f>
        <v>0</v>
      </c>
      <c r="I194" s="53">
        <f>SUMIF('2026 AC'!$B$3:$B$254,"*"&amp;$D194&amp;"*",'2026 AC'!G$3:G$254)</f>
        <v>0</v>
      </c>
      <c r="J194" s="53">
        <f>SUMIF('2026 AC'!$B$3:$B$254,"*"&amp;$D194&amp;"*",'2026 AC'!H$3:H$254)</f>
        <v>4550</v>
      </c>
      <c r="K194" s="53">
        <f>SUMIF('2026 AC'!$B$3:$B$254,"*"&amp;$D194&amp;"*",'2026 AC'!I$3:I$254)</f>
        <v>0</v>
      </c>
      <c r="L194" s="53">
        <f>SUMIF('2026 AC'!$B$3:$B$254,"*"&amp;$D194&amp;"*",'2026 AC'!J$3:J$254)</f>
        <v>0</v>
      </c>
      <c r="M194" s="53">
        <f>SUMIF('2026 AC'!$B$3:$B$254,"*"&amp;$D194&amp;"*",'2026 AC'!K$3:K$254)</f>
        <v>0</v>
      </c>
      <c r="N194" s="53">
        <f>SUMIF('2026 AC'!$B$3:$B$254,"*"&amp;$D194&amp;"*",'2026 AC'!L$3:L$254)</f>
        <v>0</v>
      </c>
      <c r="O194" s="53">
        <f>SUMIF('2026 AC'!$B$3:$B$254,"*"&amp;$D194&amp;"*",'2026 AC'!M$3:M$254)</f>
        <v>0</v>
      </c>
      <c r="P194" s="93">
        <f>SUMIF('2026 AC'!$B$3:$B$254,"*"&amp;$D194&amp;"*",'2026 AC'!N$3:N$254)</f>
        <v>0</v>
      </c>
      <c r="Q194" s="92">
        <f t="shared" si="293"/>
        <v>4550</v>
      </c>
      <c r="R194" s="93">
        <f t="shared" si="287"/>
        <v>0</v>
      </c>
      <c r="S194" s="93">
        <f t="shared" si="292"/>
        <v>4550</v>
      </c>
      <c r="T194" s="93">
        <f t="shared" si="289"/>
        <v>0</v>
      </c>
      <c r="U194" s="93">
        <f t="shared" si="290"/>
        <v>0</v>
      </c>
      <c r="V194" s="92">
        <f t="shared" si="291"/>
        <v>4550</v>
      </c>
    </row>
    <row r="195" ht="15" customHeight="1" outlineLevel="1">
      <c r="A195" t="s">
        <v>495</v>
      </c>
      <c r="B195" t="s">
        <v>496</v>
      </c>
      <c r="C195" s="34" t="s">
        <v>497</v>
      </c>
      <c r="D195" s="35" t="s">
        <v>447</v>
      </c>
      <c r="E195" s="63">
        <f>SUMIF('2026 AC'!$B$3:$B$254,"*"&amp;$D195&amp;"*",'2026 AC'!C$3:C$254)</f>
        <v>0</v>
      </c>
      <c r="F195" s="53">
        <f>SUMIF('2026 AC'!$B$3:$B$254,"*"&amp;$D195&amp;"*",'2026 AC'!D$3:D$254)</f>
        <v>0</v>
      </c>
      <c r="G195" s="53">
        <f>SUMIF('2026 AC'!$B$3:$B$254,"*"&amp;$D195&amp;"*",'2026 AC'!E$3:E$254)</f>
        <v>0</v>
      </c>
      <c r="H195" s="53">
        <f>SUMIF('2026 AC'!$B$3:$B$254,"*"&amp;$D195&amp;"*",'2026 AC'!F$3:F$254)</f>
        <v>0</v>
      </c>
      <c r="I195" s="53">
        <f>SUMIF('2026 AC'!$B$3:$B$254,"*"&amp;$D195&amp;"*",'2026 AC'!G$3:G$254)</f>
        <v>0</v>
      </c>
      <c r="J195" s="53">
        <f>SUMIF('2026 AC'!$B$3:$B$254,"*"&amp;$D195&amp;"*",'2026 AC'!H$3:H$254)</f>
        <v>0</v>
      </c>
      <c r="K195" s="53">
        <f>SUMIF('2026 AC'!$B$3:$B$254,"*"&amp;$D195&amp;"*",'2026 AC'!I$3:I$254)</f>
        <v>0</v>
      </c>
      <c r="L195" s="53">
        <f>SUMIF('2026 AC'!$B$3:$B$254,"*"&amp;$D195&amp;"*",'2026 AC'!J$3:J$254)</f>
        <v>0</v>
      </c>
      <c r="M195" s="53">
        <f>SUMIF('2026 AC'!$B$3:$B$254,"*"&amp;$D195&amp;"*",'2026 AC'!K$3:K$254)</f>
        <v>0</v>
      </c>
      <c r="N195" s="53">
        <f>SUMIF('2026 AC'!$B$3:$B$254,"*"&amp;$D195&amp;"*",'2026 AC'!L$3:L$254)</f>
        <v>0</v>
      </c>
      <c r="O195" s="53">
        <f>SUMIF('2026 AC'!$B$3:$B$254,"*"&amp;$D195&amp;"*",'2026 AC'!M$3:M$254)</f>
        <v>0</v>
      </c>
      <c r="P195" s="93">
        <f>SUMIF('2026 AC'!$B$3:$B$254,"*"&amp;$D195&amp;"*",'2026 AC'!N$3:N$254)</f>
        <v>0</v>
      </c>
      <c r="Q195" s="92">
        <f t="shared" si="293"/>
        <v>0</v>
      </c>
      <c r="R195" s="93">
        <f t="shared" si="287"/>
        <v>0</v>
      </c>
      <c r="S195" s="93">
        <f t="shared" si="292"/>
        <v>0</v>
      </c>
      <c r="T195" s="93">
        <f t="shared" si="289"/>
        <v>0</v>
      </c>
      <c r="U195" s="93">
        <f t="shared" si="290"/>
        <v>0</v>
      </c>
      <c r="V195" s="92">
        <f t="shared" si="291"/>
        <v>0</v>
      </c>
    </row>
    <row r="196" ht="15" customHeight="1" outlineLevel="1">
      <c r="A196" t="s">
        <v>498</v>
      </c>
      <c r="B196" t="s">
        <v>499</v>
      </c>
      <c r="C196" s="34" t="s">
        <v>500</v>
      </c>
      <c r="D196" s="35" t="s">
        <v>450</v>
      </c>
      <c r="E196" s="63">
        <f>SUMIF('2026 AC'!$B$3:$B$254,"*"&amp;$D196&amp;"*",'2026 AC'!C$3:C$254)</f>
        <v>730</v>
      </c>
      <c r="F196" s="53">
        <f>SUMIF('2026 AC'!$B$3:$B$254,"*"&amp;$D196&amp;"*",'2026 AC'!D$3:D$254)</f>
        <v>2050</v>
      </c>
      <c r="G196" s="53">
        <f>SUMIF('2026 AC'!$B$3:$B$254,"*"&amp;$D196&amp;"*",'2026 AC'!E$3:E$254)</f>
        <v>470</v>
      </c>
      <c r="H196" s="53">
        <f>SUMIF('2026 AC'!$B$3:$B$254,"*"&amp;$D196&amp;"*",'2026 AC'!F$3:F$254)</f>
        <v>0</v>
      </c>
      <c r="I196" s="53">
        <f>SUMIF('2026 AC'!$B$3:$B$254,"*"&amp;$D196&amp;"*",'2026 AC'!G$3:G$254)</f>
        <v>1170</v>
      </c>
      <c r="J196" s="53">
        <f>SUMIF('2026 AC'!$B$3:$B$254,"*"&amp;$D196&amp;"*",'2026 AC'!H$3:H$254)</f>
        <v>2070</v>
      </c>
      <c r="K196" s="53">
        <f>SUMIF('2026 AC'!$B$3:$B$254,"*"&amp;$D196&amp;"*",'2026 AC'!I$3:I$254)</f>
        <v>0</v>
      </c>
      <c r="L196" s="53">
        <f>SUMIF('2026 AC'!$B$3:$B$254,"*"&amp;$D196&amp;"*",'2026 AC'!J$3:J$254)</f>
        <v>0</v>
      </c>
      <c r="M196" s="53">
        <f>SUMIF('2026 AC'!$B$3:$B$254,"*"&amp;$D196&amp;"*",'2026 AC'!K$3:K$254)</f>
        <v>0</v>
      </c>
      <c r="N196" s="53">
        <f>SUMIF('2026 AC'!$B$3:$B$254,"*"&amp;$D196&amp;"*",'2026 AC'!L$3:L$254)</f>
        <v>0</v>
      </c>
      <c r="O196" s="53">
        <f>SUMIF('2026 AC'!$B$3:$B$254,"*"&amp;$D196&amp;"*",'2026 AC'!M$3:M$254)</f>
        <v>0</v>
      </c>
      <c r="P196" s="93">
        <f>SUMIF('2026 AC'!$B$3:$B$254,"*"&amp;$D196&amp;"*",'2026 AC'!N$3:N$254)</f>
        <v>0</v>
      </c>
      <c r="Q196" s="92">
        <f t="shared" si="293"/>
        <v>6490</v>
      </c>
      <c r="R196" s="93">
        <f t="shared" si="287"/>
        <v>3250</v>
      </c>
      <c r="S196" s="93">
        <f t="shared" si="292"/>
        <v>3240</v>
      </c>
      <c r="T196" s="93">
        <f t="shared" si="289"/>
        <v>0</v>
      </c>
      <c r="U196" s="93">
        <f t="shared" si="290"/>
        <v>0</v>
      </c>
      <c r="V196" s="92">
        <f t="shared" si="291"/>
        <v>6490</v>
      </c>
    </row>
    <row r="197" ht="15" customHeight="1" outlineLevel="1">
      <c r="A197" t="s">
        <v>501</v>
      </c>
      <c r="B197" t="s">
        <v>502</v>
      </c>
      <c r="C197" s="34" t="s">
        <v>503</v>
      </c>
      <c r="D197" s="35" t="s">
        <v>456</v>
      </c>
      <c r="E197" s="63">
        <f>SUMIF('2026 AC'!$B$3:$B$254,"*"&amp;$D197&amp;"*",'2026 AC'!C$3:C$254)</f>
        <v>2380</v>
      </c>
      <c r="F197" s="53">
        <f>SUMIF('2026 AC'!$B$3:$B$254,"*"&amp;$D197&amp;"*",'2026 AC'!D$3:D$254)</f>
        <v>0</v>
      </c>
      <c r="G197" s="53">
        <f>SUMIF('2026 AC'!$B$3:$B$254,"*"&amp;$D197&amp;"*",'2026 AC'!E$3:E$254)</f>
        <v>0</v>
      </c>
      <c r="H197" s="53">
        <f>SUMIF('2026 AC'!$B$3:$B$254,"*"&amp;$D197&amp;"*",'2026 AC'!F$3:F$254)</f>
        <v>0</v>
      </c>
      <c r="I197" s="53">
        <f>SUMIF('2026 AC'!$B$3:$B$254,"*"&amp;$D197&amp;"*",'2026 AC'!G$3:G$254)</f>
        <v>0</v>
      </c>
      <c r="J197" s="53">
        <f>SUMIF('2026 AC'!$B$3:$B$254,"*"&amp;$D197&amp;"*",'2026 AC'!H$3:H$254)</f>
        <v>0</v>
      </c>
      <c r="K197" s="53">
        <f>SUMIF('2026 AC'!$B$3:$B$254,"*"&amp;$D197&amp;"*",'2026 AC'!I$3:I$254)</f>
        <v>0</v>
      </c>
      <c r="L197" s="53">
        <f>SUMIF('2026 AC'!$B$3:$B$254,"*"&amp;$D197&amp;"*",'2026 AC'!J$3:J$254)</f>
        <v>0</v>
      </c>
      <c r="M197" s="53">
        <f>SUMIF('2026 AC'!$B$3:$B$254,"*"&amp;$D197&amp;"*",'2026 AC'!K$3:K$254)</f>
        <v>0</v>
      </c>
      <c r="N197" s="53">
        <f>SUMIF('2026 AC'!$B$3:$B$254,"*"&amp;$D197&amp;"*",'2026 AC'!L$3:L$254)</f>
        <v>0</v>
      </c>
      <c r="O197" s="53">
        <f>SUMIF('2026 AC'!$B$3:$B$254,"*"&amp;$D197&amp;"*",'2026 AC'!M$3:M$254)</f>
        <v>0</v>
      </c>
      <c r="P197" s="93">
        <f>SUMIF('2026 AC'!$B$3:$B$254,"*"&amp;$D197&amp;"*",'2026 AC'!N$3:N$254)</f>
        <v>0</v>
      </c>
      <c r="Q197" s="92">
        <f t="shared" si="293"/>
        <v>2380</v>
      </c>
      <c r="R197" s="93">
        <f t="shared" si="287"/>
        <v>2380</v>
      </c>
      <c r="S197" s="93">
        <f t="shared" si="292"/>
        <v>0</v>
      </c>
      <c r="T197" s="93">
        <f t="shared" si="289"/>
        <v>0</v>
      </c>
      <c r="U197" s="93">
        <f t="shared" si="290"/>
        <v>0</v>
      </c>
      <c r="V197" s="92">
        <f t="shared" si="291"/>
        <v>2380</v>
      </c>
    </row>
    <row r="198" ht="15" customHeight="1" outlineLevel="1">
      <c r="A198" t="s">
        <v>504</v>
      </c>
      <c r="B198" t="s">
        <v>505</v>
      </c>
      <c r="C198" s="34" t="s">
        <v>506</v>
      </c>
      <c r="D198" s="35" t="s">
        <v>459</v>
      </c>
      <c r="E198" s="63">
        <f>SUMIF('2026 AC'!$B$3:$B$254,"*"&amp;$D198&amp;"*",'2026 AC'!C$3:C$254)</f>
        <v>14463.360000000001</v>
      </c>
      <c r="F198" s="53">
        <f>SUMIF('2026 AC'!$B$3:$B$254,"*"&amp;$D198&amp;"*",'2026 AC'!D$3:D$254)</f>
        <v>13063.68</v>
      </c>
      <c r="G198" s="53">
        <f>SUMIF('2026 AC'!$B$3:$B$254,"*"&amp;$D198&amp;"*",'2026 AC'!E$3:E$254)</f>
        <v>14463.360000000001</v>
      </c>
      <c r="H198" s="53">
        <f>SUMIF('2026 AC'!$B$3:$B$254,"*"&amp;$D198&amp;"*",'2026 AC'!F$3:F$254)</f>
        <v>13996.799999999999</v>
      </c>
      <c r="I198" s="53">
        <f>SUMIF('2026 AC'!$B$3:$B$254,"*"&amp;$D198&amp;"*",'2026 AC'!G$3:G$254)</f>
        <v>18527.099999999999</v>
      </c>
      <c r="J198" s="53">
        <f>SUMIF('2026 AC'!$B$3:$B$254,"*"&amp;$D198&amp;"*",'2026 AC'!H$3:H$254)</f>
        <v>18499.099999999999</v>
      </c>
      <c r="K198" s="53">
        <f>SUMIF('2026 AC'!$B$3:$B$254,"*"&amp;$D198&amp;"*",'2026 AC'!I$3:I$254)</f>
        <v>0</v>
      </c>
      <c r="L198" s="53">
        <f>SUMIF('2026 AC'!$B$3:$B$254,"*"&amp;$D198&amp;"*",'2026 AC'!J$3:J$254)</f>
        <v>0</v>
      </c>
      <c r="M198" s="53">
        <f>SUMIF('2026 AC'!$B$3:$B$254,"*"&amp;$D198&amp;"*",'2026 AC'!K$3:K$254)</f>
        <v>0</v>
      </c>
      <c r="N198" s="53">
        <f>SUMIF('2026 AC'!$B$3:$B$254,"*"&amp;$D198&amp;"*",'2026 AC'!L$3:L$254)</f>
        <v>0</v>
      </c>
      <c r="O198" s="53">
        <f>SUMIF('2026 AC'!$B$3:$B$254,"*"&amp;$D198&amp;"*",'2026 AC'!M$3:M$254)</f>
        <v>0</v>
      </c>
      <c r="P198" s="93">
        <f>SUMIF('2026 AC'!$B$3:$B$254,"*"&amp;$D198&amp;"*",'2026 AC'!N$3:N$254)</f>
        <v>0</v>
      </c>
      <c r="Q198" s="92">
        <f t="shared" si="293"/>
        <v>93013.399999999994</v>
      </c>
      <c r="R198" s="93">
        <f t="shared" si="287"/>
        <v>41990.400000000001</v>
      </c>
      <c r="S198" s="93">
        <f t="shared" si="292"/>
        <v>51023</v>
      </c>
      <c r="T198" s="93">
        <f t="shared" si="289"/>
        <v>0</v>
      </c>
      <c r="U198" s="93">
        <f t="shared" si="290"/>
        <v>0</v>
      </c>
      <c r="V198" s="92">
        <f t="shared" si="291"/>
        <v>93013.399999999994</v>
      </c>
    </row>
    <row r="199" ht="15" customHeight="1" outlineLevel="1">
      <c r="A199" t="s">
        <v>507</v>
      </c>
      <c r="B199" t="s">
        <v>508</v>
      </c>
      <c r="C199" s="34" t="s">
        <v>509</v>
      </c>
      <c r="D199" s="35" t="s">
        <v>463</v>
      </c>
      <c r="E199" s="63">
        <f>SUMIF('2026 AC'!$B$3:$B$254,"*"&amp;$D199&amp;"*",'2026 AC'!C$3:C$254)</f>
        <v>2.71</v>
      </c>
      <c r="F199" s="53">
        <f>SUMIF('2026 AC'!$B$3:$B$254,"*"&amp;$D199&amp;"*",'2026 AC'!D$3:D$254)</f>
        <v>6.1200000000000001</v>
      </c>
      <c r="G199" s="53">
        <f>SUMIF('2026 AC'!$B$3:$B$254,"*"&amp;$D199&amp;"*",'2026 AC'!E$3:E$254)</f>
        <v>14.5</v>
      </c>
      <c r="H199" s="53">
        <f>SUMIF('2026 AC'!$B$3:$B$254,"*"&amp;$D199&amp;"*",'2026 AC'!F$3:F$254)</f>
        <v>1.74</v>
      </c>
      <c r="I199" s="53">
        <f>SUMIF('2026 AC'!$B$3:$B$254,"*"&amp;$D199&amp;"*",'2026 AC'!G$3:G$254)</f>
        <v>1.76</v>
      </c>
      <c r="J199" s="53">
        <f>SUMIF('2026 AC'!$B$3:$B$254,"*"&amp;$D199&amp;"*",'2026 AC'!H$3:H$254)</f>
        <v>1.24</v>
      </c>
      <c r="K199" s="53">
        <f>SUMIF('2026 AC'!$B$3:$B$254,"*"&amp;$D199&amp;"*",'2026 AC'!I$3:I$254)</f>
        <v>0</v>
      </c>
      <c r="L199" s="53">
        <f>SUMIF('2026 AC'!$B$3:$B$254,"*"&amp;$D199&amp;"*",'2026 AC'!J$3:J$254)</f>
        <v>0</v>
      </c>
      <c r="M199" s="53">
        <f>SUMIF('2026 AC'!$B$3:$B$254,"*"&amp;$D199&amp;"*",'2026 AC'!K$3:K$254)</f>
        <v>0</v>
      </c>
      <c r="N199" s="53">
        <f>SUMIF('2026 AC'!$B$3:$B$254,"*"&amp;$D199&amp;"*",'2026 AC'!L$3:L$254)</f>
        <v>0</v>
      </c>
      <c r="O199" s="53">
        <f>SUMIF('2026 AC'!$B$3:$B$254,"*"&amp;$D199&amp;"*",'2026 AC'!M$3:M$254)</f>
        <v>0</v>
      </c>
      <c r="P199" s="93">
        <f>SUMIF('2026 AC'!$B$3:$B$254,"*"&amp;$D199&amp;"*",'2026 AC'!N$3:N$254)</f>
        <v>0</v>
      </c>
      <c r="Q199" s="92">
        <f t="shared" si="293"/>
        <v>28.069999999999997</v>
      </c>
      <c r="R199" s="93">
        <f t="shared" si="287"/>
        <v>23.329999999999998</v>
      </c>
      <c r="S199" s="93">
        <f t="shared" si="292"/>
        <v>4.7400000000000002</v>
      </c>
      <c r="T199" s="93">
        <f t="shared" si="289"/>
        <v>0</v>
      </c>
      <c r="U199" s="93">
        <f t="shared" si="290"/>
        <v>0</v>
      </c>
      <c r="V199" s="92">
        <f t="shared" si="291"/>
        <v>28.07</v>
      </c>
    </row>
    <row r="200" outlineLevel="1">
      <c r="A200" t="s">
        <v>510</v>
      </c>
      <c r="B200" t="s">
        <v>511</v>
      </c>
      <c r="C200" s="34" t="s">
        <v>512</v>
      </c>
      <c r="D200" s="35" t="s">
        <v>467</v>
      </c>
      <c r="E200" s="63">
        <f>SUMIF('2026 AC'!$B$3:$B$254,"*"&amp;$D200&amp;"*",'2026 AC'!C$3:C$254)</f>
        <v>0</v>
      </c>
      <c r="F200" s="53">
        <f>SUMIF('2026 AC'!$B$3:$B$254,"*"&amp;$D200&amp;"*",'2026 AC'!D$3:D$254)</f>
        <v>0</v>
      </c>
      <c r="G200" s="53">
        <f>SUMIF('2026 AC'!$B$3:$B$254,"*"&amp;$D200&amp;"*",'2026 AC'!E$3:E$254)</f>
        <v>0</v>
      </c>
      <c r="H200" s="53">
        <f>SUMIF('2026 AC'!$B$3:$B$254,"*"&amp;$D200&amp;"*",'2026 AC'!F$3:F$254)</f>
        <v>0</v>
      </c>
      <c r="I200" s="53">
        <f>SUMIF('2026 AC'!$B$3:$B$254,"*"&amp;$D200&amp;"*",'2026 AC'!G$3:G$254)</f>
        <v>0</v>
      </c>
      <c r="J200" s="53">
        <f>SUMIF('2026 AC'!$B$3:$B$254,"*"&amp;$D200&amp;"*",'2026 AC'!H$3:H$254)</f>
        <v>0</v>
      </c>
      <c r="K200" s="53">
        <f>SUMIF('2026 AC'!$B$3:$B$254,"*"&amp;$D200&amp;"*",'2026 AC'!I$3:I$254)</f>
        <v>0</v>
      </c>
      <c r="L200" s="53">
        <f>SUMIF('2026 AC'!$B$3:$B$254,"*"&amp;$D200&amp;"*",'2026 AC'!J$3:J$254)</f>
        <v>0</v>
      </c>
      <c r="M200" s="53">
        <f>SUMIF('2026 AC'!$B$3:$B$254,"*"&amp;$D200&amp;"*",'2026 AC'!K$3:K$254)</f>
        <v>0</v>
      </c>
      <c r="N200" s="53">
        <f>SUMIF('2026 AC'!$B$3:$B$254,"*"&amp;$D200&amp;"*",'2026 AC'!L$3:L$254)</f>
        <v>0</v>
      </c>
      <c r="O200" s="53">
        <f>SUMIF('2026 AC'!$B$3:$B$254,"*"&amp;$D200&amp;"*",'2026 AC'!M$3:M$254)</f>
        <v>0</v>
      </c>
      <c r="P200" s="93">
        <f>SUMIF('2026 AC'!$B$3:$B$254,"*"&amp;$D200&amp;"*",'2026 AC'!N$3:N$254)</f>
        <v>0</v>
      </c>
      <c r="Q200" s="92">
        <f t="shared" si="293"/>
        <v>0</v>
      </c>
      <c r="R200" s="93">
        <f t="shared" si="287"/>
        <v>0</v>
      </c>
      <c r="S200" s="93">
        <f t="shared" si="292"/>
        <v>0</v>
      </c>
      <c r="T200" s="93">
        <f t="shared" si="289"/>
        <v>0</v>
      </c>
      <c r="U200" s="93">
        <f t="shared" si="290"/>
        <v>0</v>
      </c>
      <c r="V200" s="92">
        <f t="shared" si="291"/>
        <v>0</v>
      </c>
    </row>
    <row r="201" ht="15" customHeight="1" outlineLevel="1">
      <c r="A201" t="s">
        <v>513</v>
      </c>
      <c r="B201" t="s">
        <v>514</v>
      </c>
      <c r="C201" s="34" t="s">
        <v>515</v>
      </c>
      <c r="D201" s="35" t="s">
        <v>470</v>
      </c>
      <c r="E201" s="63">
        <f>SUMIF('2026 AC'!$B$3:$B$254,"*"&amp;$D201&amp;"*",'2026 AC'!C$3:C$254)</f>
        <v>0</v>
      </c>
      <c r="F201" s="53">
        <f>SUMIF('2026 AC'!$B$3:$B$254,"*"&amp;$D201&amp;"*",'2026 AC'!D$3:D$254)</f>
        <v>50</v>
      </c>
      <c r="G201" s="53">
        <f>SUMIF('2026 AC'!$B$3:$B$254,"*"&amp;$D201&amp;"*",'2026 AC'!E$3:E$254)</f>
        <v>100</v>
      </c>
      <c r="H201" s="53">
        <f>SUMIF('2026 AC'!$B$3:$B$254,"*"&amp;$D201&amp;"*",'2026 AC'!F$3:F$254)</f>
        <v>0</v>
      </c>
      <c r="I201" s="53">
        <f>SUMIF('2026 AC'!$B$3:$B$254,"*"&amp;$D201&amp;"*",'2026 AC'!G$3:G$254)</f>
        <v>100</v>
      </c>
      <c r="J201" s="53">
        <f>SUMIF('2026 AC'!$B$3:$B$254,"*"&amp;$D201&amp;"*",'2026 AC'!H$3:H$254)</f>
        <v>0</v>
      </c>
      <c r="K201" s="53">
        <f>SUMIF('2026 AC'!$B$3:$B$254,"*"&amp;$D201&amp;"*",'2026 AC'!I$3:I$254)</f>
        <v>0</v>
      </c>
      <c r="L201" s="53">
        <f>SUMIF('2026 AC'!$B$3:$B$254,"*"&amp;$D201&amp;"*",'2026 AC'!J$3:J$254)</f>
        <v>0</v>
      </c>
      <c r="M201" s="53">
        <f>SUMIF('2026 AC'!$B$3:$B$254,"*"&amp;$D201&amp;"*",'2026 AC'!K$3:K$254)</f>
        <v>0</v>
      </c>
      <c r="N201" s="53">
        <f>SUMIF('2026 AC'!$B$3:$B$254,"*"&amp;$D201&amp;"*",'2026 AC'!L$3:L$254)</f>
        <v>0</v>
      </c>
      <c r="O201" s="53">
        <f>SUMIF('2026 AC'!$B$3:$B$254,"*"&amp;$D201&amp;"*",'2026 AC'!M$3:M$254)</f>
        <v>0</v>
      </c>
      <c r="P201" s="93">
        <f>SUMIF('2026 AC'!$B$3:$B$254,"*"&amp;$D201&amp;"*",'2026 AC'!N$3:N$254)</f>
        <v>0</v>
      </c>
      <c r="Q201" s="92">
        <f t="shared" si="293"/>
        <v>250</v>
      </c>
      <c r="R201" s="93">
        <f t="shared" si="287"/>
        <v>150</v>
      </c>
      <c r="S201" s="93">
        <f t="shared" si="292"/>
        <v>100</v>
      </c>
      <c r="T201" s="93">
        <f t="shared" si="289"/>
        <v>0</v>
      </c>
      <c r="U201" s="93">
        <f t="shared" si="290"/>
        <v>0</v>
      </c>
      <c r="V201" s="92">
        <f t="shared" si="291"/>
        <v>250</v>
      </c>
    </row>
    <row r="202" ht="15" customHeight="1" outlineLevel="1">
      <c r="A202" t="s">
        <v>516</v>
      </c>
      <c r="B202" t="s">
        <v>517</v>
      </c>
      <c r="C202" s="34" t="s">
        <v>518</v>
      </c>
      <c r="D202" s="35" t="s">
        <v>477</v>
      </c>
      <c r="E202" s="63">
        <f>SUMIF('2026 AC'!$B$3:$B$254,"*"&amp;$D202&amp;"*",'2026 AC'!C$3:C$254)</f>
        <v>51115.400000000001</v>
      </c>
      <c r="F202" s="53">
        <f>SUMIF('2026 AC'!$B$3:$B$254,"*"&amp;$D202&amp;"*",'2026 AC'!D$3:D$254)</f>
        <v>55222.800000000003</v>
      </c>
      <c r="G202" s="53">
        <f>SUMIF('2026 AC'!$B$3:$B$254,"*"&amp;$D202&amp;"*",'2026 AC'!E$3:E$254)</f>
        <v>51298.330000000002</v>
      </c>
      <c r="H202" s="53">
        <f>SUMIF('2026 AC'!$B$3:$B$254,"*"&amp;$D202&amp;"*",'2026 AC'!F$3:F$254)</f>
        <v>59813.120000000003</v>
      </c>
      <c r="I202" s="53">
        <f>SUMIF('2026 AC'!$B$3:$B$254,"*"&amp;$D202&amp;"*",'2026 AC'!G$3:G$254)</f>
        <v>57878.550000000003</v>
      </c>
      <c r="J202" s="53">
        <f>SUMIF('2026 AC'!$B$3:$B$254,"*"&amp;$D202&amp;"*",'2026 AC'!H$3:H$254)</f>
        <v>63944.209999999999</v>
      </c>
      <c r="K202" s="53">
        <f>SUMIF('2026 AC'!$B$3:$B$254,"*"&amp;$D202&amp;"*",'2026 AC'!I$3:I$254)</f>
        <v>0</v>
      </c>
      <c r="L202" s="53">
        <f>SUMIF('2026 AC'!$B$3:$B$254,"*"&amp;$D202&amp;"*",'2026 AC'!J$3:J$254)</f>
        <v>0</v>
      </c>
      <c r="M202" s="53">
        <f>SUMIF('2026 AC'!$B$3:$B$254,"*"&amp;$D202&amp;"*",'2026 AC'!K$3:K$254)</f>
        <v>0</v>
      </c>
      <c r="N202" s="53">
        <f>SUMIF('2026 AC'!$B$3:$B$254,"*"&amp;$D202&amp;"*",'2026 AC'!L$3:L$254)</f>
        <v>0</v>
      </c>
      <c r="O202" s="53">
        <f>SUMIF('2026 AC'!$B$3:$B$254,"*"&amp;$D202&amp;"*",'2026 AC'!M$3:M$254)</f>
        <v>0</v>
      </c>
      <c r="P202" s="93">
        <f>SUMIF('2026 AC'!$B$3:$B$254,"*"&amp;$D202&amp;"*",'2026 AC'!N$3:N$254)</f>
        <v>0</v>
      </c>
      <c r="Q202" s="92">
        <f t="shared" si="293"/>
        <v>339272.41000000003</v>
      </c>
      <c r="R202" s="93">
        <f t="shared" ref="R202:R228" si="294">SUM(E202:G202)</f>
        <v>157636.53000000003</v>
      </c>
      <c r="S202" s="93">
        <f t="shared" si="292"/>
        <v>181635.88</v>
      </c>
      <c r="T202" s="93">
        <f t="shared" ref="T202:T228" si="295">SUM(K202:M202)</f>
        <v>0</v>
      </c>
      <c r="U202" s="93">
        <f t="shared" ref="U202:U228" si="296">SUM(N202:P202)</f>
        <v>0</v>
      </c>
      <c r="V202" s="92">
        <f t="shared" ref="V202:V228" si="297">SUM(R202:U202)</f>
        <v>339272.41000000003</v>
      </c>
    </row>
    <row r="203" ht="15" customHeight="1" outlineLevel="1">
      <c r="A203" t="s">
        <v>519</v>
      </c>
      <c r="B203" t="s">
        <v>520</v>
      </c>
      <c r="C203" s="34" t="s">
        <v>521</v>
      </c>
      <c r="D203" s="35" t="s">
        <v>480</v>
      </c>
      <c r="E203" s="63">
        <f>SUMIF('2026 AC'!$B$3:$B$254,"*"&amp;$D203&amp;"*",'2026 AC'!C$3:C$254)</f>
        <v>12184.299999999999</v>
      </c>
      <c r="F203" s="53">
        <f>SUMIF('2026 AC'!$B$3:$B$254,"*"&amp;$D203&amp;"*",'2026 AC'!D$3:D$254)</f>
        <v>11240.9</v>
      </c>
      <c r="G203" s="53">
        <f>SUMIF('2026 AC'!$B$3:$B$254,"*"&amp;$D203&amp;"*",'2026 AC'!E$3:E$254)</f>
        <v>9968.0499999999993</v>
      </c>
      <c r="H203" s="53">
        <f>SUMIF('2026 AC'!$B$3:$B$254,"*"&amp;$D203&amp;"*",'2026 AC'!F$3:F$254)</f>
        <v>12825.25</v>
      </c>
      <c r="I203" s="53">
        <f>SUMIF('2026 AC'!$B$3:$B$254,"*"&amp;$D203&amp;"*",'2026 AC'!G$3:G$254)</f>
        <v>11935.950000000001</v>
      </c>
      <c r="J203" s="53">
        <f>SUMIF('2026 AC'!$B$3:$B$254,"*"&amp;$D203&amp;"*",'2026 AC'!H$3:H$254)</f>
        <v>13569.049999999999</v>
      </c>
      <c r="K203" s="53">
        <f>SUMIF('2026 AC'!$B$3:$B$254,"*"&amp;$D203&amp;"*",'2026 AC'!I$3:I$254)</f>
        <v>0</v>
      </c>
      <c r="L203" s="53">
        <f>SUMIF('2026 AC'!$B$3:$B$254,"*"&amp;$D203&amp;"*",'2026 AC'!J$3:J$254)</f>
        <v>0</v>
      </c>
      <c r="M203" s="53">
        <f>SUMIF('2026 AC'!$B$3:$B$254,"*"&amp;$D203&amp;"*",'2026 AC'!K$3:K$254)</f>
        <v>0</v>
      </c>
      <c r="N203" s="53">
        <f>SUMIF('2026 AC'!$B$3:$B$254,"*"&amp;$D203&amp;"*",'2026 AC'!L$3:L$254)</f>
        <v>0</v>
      </c>
      <c r="O203" s="53">
        <f>SUMIF('2026 AC'!$B$3:$B$254,"*"&amp;$D203&amp;"*",'2026 AC'!M$3:M$254)</f>
        <v>0</v>
      </c>
      <c r="P203" s="93">
        <f>SUMIF('2026 AC'!$B$3:$B$254,"*"&amp;$D203&amp;"*",'2026 AC'!N$3:N$254)</f>
        <v>0</v>
      </c>
      <c r="Q203" s="92">
        <f t="shared" si="293"/>
        <v>71723.5</v>
      </c>
      <c r="R203" s="93">
        <f t="shared" si="294"/>
        <v>33393.25</v>
      </c>
      <c r="S203" s="93">
        <f t="shared" ref="S203:S228" si="298">SUM(H203:J203)</f>
        <v>38330.25</v>
      </c>
      <c r="T203" s="93">
        <f t="shared" si="295"/>
        <v>0</v>
      </c>
      <c r="U203" s="93">
        <f t="shared" si="296"/>
        <v>0</v>
      </c>
      <c r="V203" s="92">
        <f t="shared" si="297"/>
        <v>71723.5</v>
      </c>
    </row>
    <row r="204" outlineLevel="1">
      <c r="A204" t="s">
        <v>522</v>
      </c>
      <c r="B204" t="s">
        <v>523</v>
      </c>
      <c r="C204" s="34" t="s">
        <v>524</v>
      </c>
      <c r="D204" s="35" t="s">
        <v>483</v>
      </c>
      <c r="E204" s="63">
        <f>SUMIF('2026 AC'!$B$3:$B$254,"*"&amp;$D204&amp;"*",'2026 AC'!C$3:C$254)</f>
        <v>2957.6599999999999</v>
      </c>
      <c r="F204" s="53">
        <f>SUMIF('2026 AC'!$B$3:$B$254,"*"&amp;$D204&amp;"*",'2026 AC'!D$3:D$254)</f>
        <v>2950.8000000000002</v>
      </c>
      <c r="G204" s="53">
        <f>SUMIF('2026 AC'!$B$3:$B$254,"*"&amp;$D204&amp;"*",'2026 AC'!E$3:E$254)</f>
        <v>2944.5500000000002</v>
      </c>
      <c r="H204" s="53">
        <f>SUMIF('2026 AC'!$B$3:$B$254,"*"&amp;$D204&amp;"*",'2026 AC'!F$3:F$254)</f>
        <v>3062.4000000000001</v>
      </c>
      <c r="I204" s="53">
        <f>SUMIF('2026 AC'!$B$3:$B$254,"*"&amp;$D204&amp;"*",'2026 AC'!G$3:G$254)</f>
        <v>2943.1999999999998</v>
      </c>
      <c r="J204" s="53">
        <f>SUMIF('2026 AC'!$B$3:$B$254,"*"&amp;$D204&amp;"*",'2026 AC'!H$3:H$254)</f>
        <v>3872.6500000000001</v>
      </c>
      <c r="K204" s="53">
        <f>SUMIF('2026 AC'!$B$3:$B$254,"*"&amp;$D204&amp;"*",'2026 AC'!I$3:I$254)</f>
        <v>0</v>
      </c>
      <c r="L204" s="53">
        <f>SUMIF('2026 AC'!$B$3:$B$254,"*"&amp;$D204&amp;"*",'2026 AC'!J$3:J$254)</f>
        <v>0</v>
      </c>
      <c r="M204" s="53">
        <f>SUMIF('2026 AC'!$B$3:$B$254,"*"&amp;$D204&amp;"*",'2026 AC'!K$3:K$254)</f>
        <v>0</v>
      </c>
      <c r="N204" s="53">
        <f>SUMIF('2026 AC'!$B$3:$B$254,"*"&amp;$D204&amp;"*",'2026 AC'!L$3:L$254)</f>
        <v>0</v>
      </c>
      <c r="O204" s="53">
        <f>SUMIF('2026 AC'!$B$3:$B$254,"*"&amp;$D204&amp;"*",'2026 AC'!M$3:M$254)</f>
        <v>0</v>
      </c>
      <c r="P204" s="93">
        <f>SUMIF('2026 AC'!$B$3:$B$254,"*"&amp;$D204&amp;"*",'2026 AC'!N$3:N$254)</f>
        <v>0</v>
      </c>
      <c r="Q204" s="92">
        <f t="shared" si="293"/>
        <v>18731.260000000002</v>
      </c>
      <c r="R204" s="93">
        <f t="shared" si="294"/>
        <v>8853.0100000000002</v>
      </c>
      <c r="S204" s="93">
        <f t="shared" si="298"/>
        <v>9878.25</v>
      </c>
      <c r="T204" s="93">
        <f t="shared" si="295"/>
        <v>0</v>
      </c>
      <c r="U204" s="93">
        <f t="shared" si="296"/>
        <v>0</v>
      </c>
      <c r="V204" s="92">
        <f t="shared" si="297"/>
        <v>18731.260000000002</v>
      </c>
    </row>
    <row r="205" outlineLevel="1">
      <c r="A205" t="s">
        <v>525</v>
      </c>
      <c r="B205" t="s">
        <v>526</v>
      </c>
      <c r="C205" s="34" t="s">
        <v>527</v>
      </c>
      <c r="D205" s="35" t="s">
        <v>486</v>
      </c>
      <c r="E205" s="63">
        <f>SUMIF('2026 AC'!$B$3:$B$254,"*"&amp;$D205&amp;"*",'2026 AC'!C$3:C$254)</f>
        <v>5967.6000000000004</v>
      </c>
      <c r="F205" s="53">
        <f>SUMIF('2026 AC'!$B$3:$B$254,"*"&amp;$D205&amp;"*",'2026 AC'!D$3:D$254)</f>
        <v>5967.6000000000004</v>
      </c>
      <c r="G205" s="53">
        <f>SUMIF('2026 AC'!$B$3:$B$254,"*"&amp;$D205&amp;"*",'2026 AC'!E$3:E$254)</f>
        <v>5967.6000000000004</v>
      </c>
      <c r="H205" s="53">
        <f>SUMIF('2026 AC'!$B$3:$B$254,"*"&amp;$D205&amp;"*",'2026 AC'!F$3:F$254)</f>
        <v>5967.6000000000004</v>
      </c>
      <c r="I205" s="53">
        <f>SUMIF('2026 AC'!$B$3:$B$254,"*"&amp;$D205&amp;"*",'2026 AC'!G$3:G$254)</f>
        <v>5967.6000000000004</v>
      </c>
      <c r="J205" s="53">
        <f>SUMIF('2026 AC'!$B$3:$B$254,"*"&amp;$D205&amp;"*",'2026 AC'!H$3:H$254)</f>
        <v>12</v>
      </c>
      <c r="K205" s="53">
        <f>SUMIF('2026 AC'!$B$3:$B$254,"*"&amp;$D205&amp;"*",'2026 AC'!I$3:I$254)</f>
        <v>0</v>
      </c>
      <c r="L205" s="53">
        <f>SUMIF('2026 AC'!$B$3:$B$254,"*"&amp;$D205&amp;"*",'2026 AC'!J$3:J$254)</f>
        <v>0</v>
      </c>
      <c r="M205" s="53">
        <f>SUMIF('2026 AC'!$B$3:$B$254,"*"&amp;$D205&amp;"*",'2026 AC'!K$3:K$254)</f>
        <v>0</v>
      </c>
      <c r="N205" s="53">
        <f>SUMIF('2026 AC'!$B$3:$B$254,"*"&amp;$D205&amp;"*",'2026 AC'!L$3:L$254)</f>
        <v>0</v>
      </c>
      <c r="O205" s="53">
        <f>SUMIF('2026 AC'!$B$3:$B$254,"*"&amp;$D205&amp;"*",'2026 AC'!M$3:M$254)</f>
        <v>0</v>
      </c>
      <c r="P205" s="93">
        <f>SUMIF('2026 AC'!$B$3:$B$254,"*"&amp;$D205&amp;"*",'2026 AC'!N$3:N$254)</f>
        <v>0</v>
      </c>
      <c r="Q205" s="92">
        <f t="shared" si="293"/>
        <v>29850</v>
      </c>
      <c r="R205" s="93">
        <f t="shared" si="294"/>
        <v>17902.800000000003</v>
      </c>
      <c r="S205" s="93">
        <f t="shared" si="298"/>
        <v>11947.200000000001</v>
      </c>
      <c r="T205" s="93">
        <f t="shared" si="295"/>
        <v>0</v>
      </c>
      <c r="U205" s="93">
        <f t="shared" si="296"/>
        <v>0</v>
      </c>
      <c r="V205" s="92">
        <f t="shared" si="297"/>
        <v>29850.000000000004</v>
      </c>
    </row>
    <row r="206" ht="15" customHeight="1" outlineLevel="1">
      <c r="A206" s="195"/>
      <c r="C206" s="34" t="s">
        <v>528</v>
      </c>
      <c r="D206" s="35" t="s">
        <v>490</v>
      </c>
      <c r="E206" s="63">
        <f>SUMIF('2026 AC'!$B$3:$B$254,"*"&amp;$D206&amp;"*",'2026 AC'!C$3:C$254)</f>
        <v>2381.9499999999998</v>
      </c>
      <c r="F206" s="53">
        <f>SUMIF('2026 AC'!$B$3:$B$254,"*"&amp;$D206&amp;"*",'2026 AC'!D$3:D$254)</f>
        <v>2302.8000000000002</v>
      </c>
      <c r="G206" s="53">
        <f>SUMIF('2026 AC'!$B$3:$B$254,"*"&amp;$D206&amp;"*",'2026 AC'!E$3:E$254)</f>
        <v>914.64999999999998</v>
      </c>
      <c r="H206" s="53">
        <f>SUMIF('2026 AC'!$B$3:$B$254,"*"&amp;$D206&amp;"*",'2026 AC'!F$3:F$254)</f>
        <v>2951.9499999999998</v>
      </c>
      <c r="I206" s="53">
        <f>SUMIF('2026 AC'!$B$3:$B$254,"*"&amp;$D206&amp;"*",'2026 AC'!G$3:G$254)</f>
        <v>2796.5999999999999</v>
      </c>
      <c r="J206" s="53">
        <f>SUMIF('2026 AC'!$B$3:$B$254,"*"&amp;$D206&amp;"*",'2026 AC'!H$3:H$254)</f>
        <v>2809.25</v>
      </c>
      <c r="K206" s="53">
        <f>SUMIF('2026 AC'!$B$3:$B$254,"*"&amp;$D206&amp;"*",'2026 AC'!I$3:I$254)</f>
        <v>0</v>
      </c>
      <c r="L206" s="53">
        <f>SUMIF('2026 AC'!$B$3:$B$254,"*"&amp;$D206&amp;"*",'2026 AC'!J$3:J$254)</f>
        <v>0</v>
      </c>
      <c r="M206" s="53">
        <f>SUMIF('2026 AC'!$B$3:$B$254,"*"&amp;$D206&amp;"*",'2026 AC'!K$3:K$254)</f>
        <v>0</v>
      </c>
      <c r="N206" s="53">
        <f>SUMIF('2026 AC'!$B$3:$B$254,"*"&amp;$D206&amp;"*",'2026 AC'!L$3:L$254)</f>
        <v>0</v>
      </c>
      <c r="O206" s="53">
        <f>SUMIF('2026 AC'!$B$3:$B$254,"*"&amp;$D206&amp;"*",'2026 AC'!M$3:M$254)</f>
        <v>0</v>
      </c>
      <c r="P206" s="93">
        <f>SUMIF('2026 AC'!$B$3:$B$254,"*"&amp;$D206&amp;"*",'2026 AC'!N$3:N$254)</f>
        <v>0</v>
      </c>
      <c r="Q206" s="92">
        <f t="shared" si="293"/>
        <v>14157.199999999999</v>
      </c>
      <c r="R206" s="93">
        <f t="shared" si="294"/>
        <v>5599.3999999999996</v>
      </c>
      <c r="S206" s="93">
        <f t="shared" si="298"/>
        <v>8557.7999999999993</v>
      </c>
      <c r="T206" s="93">
        <f t="shared" si="295"/>
        <v>0</v>
      </c>
      <c r="U206" s="93">
        <f t="shared" si="296"/>
        <v>0</v>
      </c>
      <c r="V206" s="92">
        <f t="shared" si="297"/>
        <v>14157.199999999999</v>
      </c>
    </row>
    <row r="207" ht="15" customHeight="1" outlineLevel="1">
      <c r="A207" s="195" t="s">
        <v>529</v>
      </c>
      <c r="C207" s="34" t="s">
        <v>530</v>
      </c>
      <c r="D207" s="35" t="s">
        <v>496</v>
      </c>
      <c r="E207" s="63">
        <f>SUMIF('2026 AC'!$B$3:$B$254,"*"&amp;$D207&amp;"*",'2026 AC'!C$3:C$254)</f>
        <v>0</v>
      </c>
      <c r="F207" s="53">
        <f>SUMIF('2026 AC'!$B$3:$B$254,"*"&amp;$D207&amp;"*",'2026 AC'!D$3:D$254)</f>
        <v>0</v>
      </c>
      <c r="G207" s="53">
        <f>SUMIF('2026 AC'!$B$3:$B$254,"*"&amp;$D207&amp;"*",'2026 AC'!E$3:E$254)</f>
        <v>0</v>
      </c>
      <c r="H207" s="53">
        <f>SUMIF('2026 AC'!$B$3:$B$254,"*"&amp;$D207&amp;"*",'2026 AC'!F$3:F$254)</f>
        <v>0</v>
      </c>
      <c r="I207" s="53">
        <f>SUMIF('2026 AC'!$B$3:$B$254,"*"&amp;$D207&amp;"*",'2026 AC'!G$3:G$254)</f>
        <v>0</v>
      </c>
      <c r="J207" s="53">
        <f>SUMIF('2026 AC'!$B$3:$B$254,"*"&amp;$D207&amp;"*",'2026 AC'!H$3:H$254)</f>
        <v>758</v>
      </c>
      <c r="K207" s="53">
        <f>SUMIF('2026 AC'!$B$3:$B$254,"*"&amp;$D207&amp;"*",'2026 AC'!I$3:I$254)</f>
        <v>0</v>
      </c>
      <c r="L207" s="53">
        <f>SUMIF('2026 AC'!$B$3:$B$254,"*"&amp;$D207&amp;"*",'2026 AC'!J$3:J$254)</f>
        <v>0</v>
      </c>
      <c r="M207" s="53">
        <f>SUMIF('2026 AC'!$B$3:$B$254,"*"&amp;$D207&amp;"*",'2026 AC'!K$3:K$254)</f>
        <v>0</v>
      </c>
      <c r="N207" s="53">
        <f>SUMIF('2026 AC'!$B$3:$B$254,"*"&amp;$D207&amp;"*",'2026 AC'!L$3:L$254)</f>
        <v>0</v>
      </c>
      <c r="O207" s="53">
        <f>SUMIF('2026 AC'!$B$3:$B$254,"*"&amp;$D207&amp;"*",'2026 AC'!M$3:M$254)</f>
        <v>0</v>
      </c>
      <c r="P207" s="93">
        <f>SUMIF('2026 AC'!$B$3:$B$254,"*"&amp;$D207&amp;"*",'2026 AC'!N$3:N$254)</f>
        <v>0</v>
      </c>
      <c r="Q207" s="92">
        <f t="shared" si="293"/>
        <v>758</v>
      </c>
      <c r="R207" s="93">
        <f t="shared" si="294"/>
        <v>0</v>
      </c>
      <c r="S207" s="93">
        <f t="shared" si="298"/>
        <v>758</v>
      </c>
      <c r="T207" s="93">
        <f t="shared" si="295"/>
        <v>0</v>
      </c>
      <c r="U207" s="93">
        <f t="shared" si="296"/>
        <v>0</v>
      </c>
      <c r="V207" s="92">
        <f t="shared" si="297"/>
        <v>758</v>
      </c>
    </row>
    <row r="208" ht="15" customHeight="1" outlineLevel="1">
      <c r="A208" t="s">
        <v>531</v>
      </c>
      <c r="B208" t="s">
        <v>532</v>
      </c>
      <c r="C208" s="34" t="s">
        <v>533</v>
      </c>
      <c r="D208" s="156" t="s">
        <v>499</v>
      </c>
      <c r="E208" s="63">
        <f>SUMIF('2026 AC'!$B$3:$B$254,"*"&amp;$D208&amp;"*",'2026 AC'!C$3:C$254)</f>
        <v>0</v>
      </c>
      <c r="F208" s="53">
        <f>SUMIF('2026 AC'!$B$3:$B$254,"*"&amp;$D208&amp;"*",'2026 AC'!D$3:D$254)</f>
        <v>0</v>
      </c>
      <c r="G208" s="53">
        <f>SUMIF('2026 AC'!$B$3:$B$254,"*"&amp;$D208&amp;"*",'2026 AC'!E$3:E$254)</f>
        <v>0</v>
      </c>
      <c r="H208" s="53">
        <f>SUMIF('2026 AC'!$B$3:$B$254,"*"&amp;$D208&amp;"*",'2026 AC'!F$3:F$254)</f>
        <v>0</v>
      </c>
      <c r="I208" s="53">
        <f>SUMIF('2026 AC'!$B$3:$B$254,"*"&amp;$D208&amp;"*",'2026 AC'!G$3:G$254)</f>
        <v>0</v>
      </c>
      <c r="J208" s="53">
        <f>SUMIF('2026 AC'!$B$3:$B$254,"*"&amp;$D208&amp;"*",'2026 AC'!H$3:H$254)</f>
        <v>2311.73</v>
      </c>
      <c r="K208" s="53">
        <f>SUMIF('2026 AC'!$B$3:$B$254,"*"&amp;$D208&amp;"*",'2026 AC'!I$3:I$254)</f>
        <v>0</v>
      </c>
      <c r="L208" s="53">
        <f>SUMIF('2026 AC'!$B$3:$B$254,"*"&amp;$D208&amp;"*",'2026 AC'!J$3:J$254)</f>
        <v>0</v>
      </c>
      <c r="M208" s="53">
        <f>SUMIF('2026 AC'!$B$3:$B$254,"*"&amp;$D208&amp;"*",'2026 AC'!K$3:K$254)</f>
        <v>0</v>
      </c>
      <c r="N208" s="53">
        <f>SUMIF('2026 AC'!$B$3:$B$254,"*"&amp;$D208&amp;"*",'2026 AC'!L$3:L$254)</f>
        <v>0</v>
      </c>
      <c r="O208" s="53">
        <f>SUMIF('2026 AC'!$B$3:$B$254,"*"&amp;$D208&amp;"*",'2026 AC'!M$3:M$254)</f>
        <v>0</v>
      </c>
      <c r="P208" s="93">
        <f>SUMIF('2026 AC'!$B$3:$B$254,"*"&amp;$D208&amp;"*",'2026 AC'!N$3:N$254)</f>
        <v>0</v>
      </c>
      <c r="Q208" s="92">
        <f t="shared" si="293"/>
        <v>2311.73</v>
      </c>
      <c r="R208" s="93">
        <f t="shared" si="294"/>
        <v>0</v>
      </c>
      <c r="S208" s="93">
        <f t="shared" si="298"/>
        <v>2311.73</v>
      </c>
      <c r="T208" s="93">
        <f t="shared" si="295"/>
        <v>0</v>
      </c>
      <c r="U208" s="93">
        <f t="shared" si="296"/>
        <v>0</v>
      </c>
      <c r="V208" s="92">
        <f t="shared" si="297"/>
        <v>2311.73</v>
      </c>
    </row>
    <row r="209" outlineLevel="1">
      <c r="A209" s="195"/>
      <c r="C209" s="34" t="s">
        <v>534</v>
      </c>
      <c r="D209" s="156" t="s">
        <v>535</v>
      </c>
      <c r="E209" s="63">
        <f>SUMIF('2026 AC'!$B$3:$B$254,"*"&amp;$D209&amp;"*",'2026 AC'!C$3:C$254)</f>
        <v>10</v>
      </c>
      <c r="F209" s="53">
        <f>SUMIF('2026 AC'!$B$3:$B$254,"*"&amp;$D209&amp;"*",'2026 AC'!D$3:D$254)</f>
        <v>0</v>
      </c>
      <c r="G209" s="53">
        <f>SUMIF('2026 AC'!$B$3:$B$254,"*"&amp;$D209&amp;"*",'2026 AC'!E$3:E$254)</f>
        <v>0</v>
      </c>
      <c r="H209" s="53">
        <f>SUMIF('2026 AC'!$B$3:$B$254,"*"&amp;$D209&amp;"*",'2026 AC'!F$3:F$254)</f>
        <v>0</v>
      </c>
      <c r="I209" s="53">
        <f>SUMIF('2026 AC'!$B$3:$B$254,"*"&amp;$D209&amp;"*",'2026 AC'!G$3:G$254)</f>
        <v>668.25</v>
      </c>
      <c r="J209" s="53">
        <f>SUMIF('2026 AC'!$B$3:$B$254,"*"&amp;$D209&amp;"*",'2026 AC'!H$3:H$254)</f>
        <v>0</v>
      </c>
      <c r="K209" s="53">
        <f>SUMIF('2026 AC'!$B$3:$B$254,"*"&amp;$D209&amp;"*",'2026 AC'!I$3:I$254)</f>
        <v>0</v>
      </c>
      <c r="L209" s="53">
        <f>SUMIF('2026 AC'!$B$3:$B$254,"*"&amp;$D209&amp;"*",'2026 AC'!J$3:J$254)</f>
        <v>0</v>
      </c>
      <c r="M209" s="53">
        <f>SUMIF('2026 AC'!$B$3:$B$254,"*"&amp;$D209&amp;"*",'2026 AC'!K$3:K$254)</f>
        <v>0</v>
      </c>
      <c r="N209" s="53">
        <f>SUMIF('2026 AC'!$B$3:$B$254,"*"&amp;$D209&amp;"*",'2026 AC'!L$3:L$254)</f>
        <v>0</v>
      </c>
      <c r="O209" s="53">
        <f>SUMIF('2026 AC'!$B$3:$B$254,"*"&amp;$D209&amp;"*",'2026 AC'!M$3:M$254)</f>
        <v>0</v>
      </c>
      <c r="P209" s="93">
        <f>SUMIF('2026 AC'!$B$3:$B$254,"*"&amp;$D209&amp;"*",'2026 AC'!N$3:N$254)</f>
        <v>0</v>
      </c>
      <c r="Q209" s="92">
        <f t="shared" si="293"/>
        <v>678.25</v>
      </c>
      <c r="R209" s="93">
        <f t="shared" si="294"/>
        <v>10</v>
      </c>
      <c r="S209" s="93">
        <f t="shared" si="298"/>
        <v>668.25</v>
      </c>
      <c r="T209" s="93">
        <f t="shared" si="295"/>
        <v>0</v>
      </c>
      <c r="U209" s="93">
        <f t="shared" si="296"/>
        <v>0</v>
      </c>
      <c r="V209" s="92">
        <f t="shared" si="297"/>
        <v>678.25</v>
      </c>
    </row>
    <row r="210" s="137" customFormat="1">
      <c r="A210" s="196" t="s">
        <v>536</v>
      </c>
      <c r="C210" s="173" t="s">
        <v>537</v>
      </c>
      <c r="D210" s="139" t="s">
        <v>502</v>
      </c>
      <c r="E210" s="145">
        <f>SUMIF('2026 AC'!$B$3:$B$254,"*"&amp;$D210&amp;"*",'2026 AC'!C$3:C$254)</f>
        <v>539</v>
      </c>
      <c r="F210" s="146">
        <f>SUMIF('2026 AC'!$B$3:$B$254,"*"&amp;$D210&amp;"*",'2026 AC'!D$3:D$254)</f>
        <v>500</v>
      </c>
      <c r="G210" s="146">
        <f>SUMIF('2026 AC'!$B$3:$B$254,"*"&amp;$D210&amp;"*",'2026 AC'!E$3:E$254)</f>
        <v>500</v>
      </c>
      <c r="H210" s="146">
        <f>SUMIF('2026 AC'!$B$3:$B$254,"*"&amp;$D210&amp;"*",'2026 AC'!F$3:F$254)</f>
        <v>677</v>
      </c>
      <c r="I210" s="197">
        <f>SUMIF('2026 AC'!$B$3:$B$254,"*"&amp;$D210&amp;"*",'2026 AC'!G$3:G$254)</f>
        <v>563.5</v>
      </c>
      <c r="J210" s="146">
        <f>SUMIF('2026 AC'!$B$3:$B$254,"*"&amp;$D210&amp;"*",'2026 AC'!H$3:H$254)</f>
        <v>500</v>
      </c>
      <c r="K210" s="146">
        <f>SUMIF('2026 AC'!$B$3:$B$254,"*"&amp;$D210&amp;"*",'2026 AC'!I$3:I$254)</f>
        <v>0</v>
      </c>
      <c r="L210" s="146">
        <f>SUMIF('2026 AC'!$B$3:$B$254,"*"&amp;$D210&amp;"*",'2026 AC'!J$3:J$254)</f>
        <v>0</v>
      </c>
      <c r="M210" s="146">
        <f>SUMIF('2026 AC'!$B$3:$B$254,"*"&amp;$D210&amp;"*",'2026 AC'!K$3:K$254)</f>
        <v>0</v>
      </c>
      <c r="N210" s="146">
        <f>SUMIF('2026 AC'!$B$3:$B$254,"*"&amp;$D210&amp;"*",'2026 AC'!L$3:L$254)</f>
        <v>0</v>
      </c>
      <c r="O210" s="146">
        <f>SUMIF('2026 AC'!$B$3:$B$254,"*"&amp;$D210&amp;"*",'2026 AC'!M$3:M$254)</f>
        <v>0</v>
      </c>
      <c r="P210" s="147">
        <f>SUMIF('2026 AC'!$B$3:$B$254,"*"&amp;$D210&amp;"*",'2026 AC'!N$3:N$254)</f>
        <v>0</v>
      </c>
      <c r="Q210" s="148">
        <f t="shared" si="293"/>
        <v>3279.5</v>
      </c>
      <c r="R210" s="147">
        <f t="shared" si="294"/>
        <v>1539</v>
      </c>
      <c r="S210" s="147">
        <f t="shared" si="298"/>
        <v>1740.5</v>
      </c>
      <c r="T210" s="147">
        <f t="shared" si="295"/>
        <v>0</v>
      </c>
      <c r="U210" s="147">
        <f t="shared" si="296"/>
        <v>0</v>
      </c>
      <c r="V210" s="148">
        <f t="shared" si="297"/>
        <v>3279.5</v>
      </c>
    </row>
    <row r="211" s="164" customFormat="1" ht="15" customHeight="1" outlineLevel="1">
      <c r="A211" s="185" t="s">
        <v>538</v>
      </c>
      <c r="C211" s="165" t="s">
        <v>539</v>
      </c>
      <c r="D211" s="166" t="s">
        <v>505</v>
      </c>
      <c r="E211" s="168">
        <f>SUMIF('2026 AC'!$B$3:$B$254,"*"&amp;$D211&amp;"*",'2026 AC'!C$3:C$254)</f>
        <v>0</v>
      </c>
      <c r="F211" s="169">
        <f>SUMIF('2026 AC'!$B$3:$B$254,"*"&amp;$D211&amp;"*",'2026 AC'!D$3:D$254)</f>
        <v>0</v>
      </c>
      <c r="G211" s="169">
        <f>SUMIF('2026 AC'!$B$3:$B$254,"*"&amp;$D211&amp;"*",'2026 AC'!E$3:E$254)</f>
        <v>0</v>
      </c>
      <c r="H211" s="169">
        <f>SUMIF('2026 AC'!$B$3:$B$254,"*"&amp;$D211&amp;"*",'2026 AC'!F$3:F$254)</f>
        <v>0</v>
      </c>
      <c r="I211" s="53">
        <f>SUMIF('2026 AC'!$B$3:$B$254,"*"&amp;$D211&amp;"*",'2026 AC'!G$3:G$254)</f>
        <v>0</v>
      </c>
      <c r="J211" s="169">
        <f>SUMIF('2026 AC'!$B$3:$B$254,"*"&amp;$D211&amp;"*",'2026 AC'!H$3:H$254)</f>
        <v>0</v>
      </c>
      <c r="K211" s="169">
        <f>SUMIF('2026 AC'!$B$3:$B$254,"*"&amp;$D211&amp;"*",'2026 AC'!I$3:I$254)</f>
        <v>0</v>
      </c>
      <c r="L211" s="169">
        <f>SUMIF('2026 AC'!$B$3:$B$254,"*"&amp;$D211&amp;"*",'2026 AC'!J$3:J$254)</f>
        <v>0</v>
      </c>
      <c r="M211" s="169">
        <f>SUMIF('2026 AC'!$B$3:$B$254,"*"&amp;$D211&amp;"*",'2026 AC'!K$3:K$254)</f>
        <v>0</v>
      </c>
      <c r="N211" s="169">
        <f>SUMIF('2026 AC'!$B$3:$B$254,"*"&amp;$D211&amp;"*",'2026 AC'!L$3:L$254)</f>
        <v>0</v>
      </c>
      <c r="O211" s="169">
        <f>SUMIF('2026 AC'!$B$3:$B$254,"*"&amp;$D211&amp;"*",'2026 AC'!M$3:M$254)</f>
        <v>0</v>
      </c>
      <c r="P211" s="170">
        <f>SUMIF('2026 AC'!$B$3:$B$254,"*"&amp;$D211&amp;"*",'2026 AC'!N$3:N$254)</f>
        <v>0</v>
      </c>
      <c r="Q211" s="171">
        <f t="shared" si="293"/>
        <v>0</v>
      </c>
      <c r="R211" s="170">
        <f t="shared" si="294"/>
        <v>0</v>
      </c>
      <c r="S211" s="170">
        <f t="shared" si="298"/>
        <v>0</v>
      </c>
      <c r="T211" s="170">
        <f t="shared" si="295"/>
        <v>0</v>
      </c>
      <c r="U211" s="170">
        <f t="shared" si="296"/>
        <v>0</v>
      </c>
      <c r="V211" s="171">
        <f t="shared" si="297"/>
        <v>0</v>
      </c>
    </row>
    <row r="212" s="137" customFormat="1" ht="15" customHeight="1">
      <c r="A212" s="196"/>
      <c r="C212" s="173" t="s">
        <v>540</v>
      </c>
      <c r="D212" s="139" t="s">
        <v>508</v>
      </c>
      <c r="E212" s="145">
        <f>SUMIF('2026 AC'!$B$3:$B$254,"*"&amp;$D212&amp;"*",'2026 AC'!C$3:C$254)</f>
        <v>19120.75</v>
      </c>
      <c r="F212" s="146">
        <f>SUMIF('2026 AC'!$B$3:$B$254,"*"&amp;$D212&amp;"*",'2026 AC'!D$3:D$254)</f>
        <v>19120.75</v>
      </c>
      <c r="G212" s="146">
        <f>SUMIF('2026 AC'!$B$3:$B$254,"*"&amp;$D212&amp;"*",'2026 AC'!E$3:E$254)</f>
        <v>19120.75</v>
      </c>
      <c r="H212" s="146">
        <f>SUMIF('2026 AC'!$B$3:$B$254,"*"&amp;$D212&amp;"*",'2026 AC'!F$3:F$254)</f>
        <v>19120.75</v>
      </c>
      <c r="I212" s="197">
        <f>SUMIF('2026 AC'!$B$3:$B$254,"*"&amp;$D212&amp;"*",'2026 AC'!G$3:G$254)</f>
        <v>19120.75</v>
      </c>
      <c r="J212" s="146">
        <f>SUMIF('2026 AC'!$B$3:$B$254,"*"&amp;$D212&amp;"*",'2026 AC'!H$3:H$254)</f>
        <v>19120.75</v>
      </c>
      <c r="K212" s="146">
        <f>SUMIF('2026 AC'!$B$3:$B$254,"*"&amp;$D212&amp;"*",'2026 AC'!I$3:I$254)</f>
        <v>0</v>
      </c>
      <c r="L212" s="146">
        <f>SUMIF('2026 AC'!$B$3:$B$254,"*"&amp;$D212&amp;"*",'2026 AC'!J$3:J$254)</f>
        <v>0</v>
      </c>
      <c r="M212" s="146">
        <f>SUMIF('2026 AC'!$B$3:$B$254,"*"&amp;$D212&amp;"*",'2026 AC'!K$3:K$254)</f>
        <v>0</v>
      </c>
      <c r="N212" s="146">
        <f>SUMIF('2026 AC'!$B$3:$B$254,"*"&amp;$D212&amp;"*",'2026 AC'!L$3:L$254)</f>
        <v>0</v>
      </c>
      <c r="O212" s="146">
        <f>SUMIF('2026 AC'!$B$3:$B$254,"*"&amp;$D212&amp;"*",'2026 AC'!M$3:M$254)</f>
        <v>0</v>
      </c>
      <c r="P212" s="147">
        <f>SUMIF('2026 AC'!$B$3:$B$254,"*"&amp;$D212&amp;"*",'2026 AC'!N$3:N$254)</f>
        <v>0</v>
      </c>
      <c r="Q212" s="148">
        <f t="shared" si="293"/>
        <v>114724.5</v>
      </c>
      <c r="R212" s="147">
        <f t="shared" si="294"/>
        <v>57362.25</v>
      </c>
      <c r="S212" s="147">
        <f t="shared" si="298"/>
        <v>57362.25</v>
      </c>
      <c r="T212" s="147">
        <f t="shared" si="295"/>
        <v>0</v>
      </c>
      <c r="U212" s="147">
        <f t="shared" si="296"/>
        <v>0</v>
      </c>
      <c r="V212" s="148">
        <f t="shared" si="297"/>
        <v>114724.5</v>
      </c>
    </row>
    <row r="213" outlineLevel="1">
      <c r="A213" s="185" t="s">
        <v>541</v>
      </c>
      <c r="C213" s="34" t="s">
        <v>542</v>
      </c>
      <c r="D213" s="35" t="s">
        <v>511</v>
      </c>
      <c r="E213" s="63">
        <f>SUMIF('2026 AC'!$B$3:$B$254,"*"&amp;$D213&amp;"*",'2026 AC'!C$3:C$254)</f>
        <v>16522</v>
      </c>
      <c r="F213" s="53">
        <f>SUMIF('2026 AC'!$B$3:$B$254,"*"&amp;$D213&amp;"*",'2026 AC'!D$3:D$254)</f>
        <v>16522</v>
      </c>
      <c r="G213" s="53">
        <f>SUMIF('2026 AC'!$B$3:$B$254,"*"&amp;$D213&amp;"*",'2026 AC'!E$3:E$254)</f>
        <v>16522</v>
      </c>
      <c r="H213" s="53">
        <f>SUMIF('2026 AC'!$B$3:$B$254,"*"&amp;$D213&amp;"*",'2026 AC'!F$3:F$254)</f>
        <v>16522</v>
      </c>
      <c r="I213" s="53">
        <f>SUMIF('2026 AC'!$B$3:$B$254,"*"&amp;$D213&amp;"*",'2026 AC'!G$3:G$254)</f>
        <v>16522</v>
      </c>
      <c r="J213" s="53">
        <f>SUMIF('2026 AC'!$B$3:$B$254,"*"&amp;$D213&amp;"*",'2026 AC'!H$3:H$254)</f>
        <v>16522</v>
      </c>
      <c r="K213" s="53">
        <f>SUMIF('2026 AC'!$B$3:$B$254,"*"&amp;$D213&amp;"*",'2026 AC'!I$3:I$254)</f>
        <v>0</v>
      </c>
      <c r="L213" s="53">
        <f>SUMIF('2026 AC'!$B$3:$B$254,"*"&amp;$D213&amp;"*",'2026 AC'!J$3:J$254)</f>
        <v>0</v>
      </c>
      <c r="M213" s="53">
        <f>SUMIF('2026 AC'!$B$3:$B$254,"*"&amp;$D213&amp;"*",'2026 AC'!K$3:K$254)</f>
        <v>0</v>
      </c>
      <c r="N213" s="53">
        <f>SUMIF('2026 AC'!$B$3:$B$254,"*"&amp;$D213&amp;"*",'2026 AC'!L$3:L$254)</f>
        <v>0</v>
      </c>
      <c r="O213" s="53">
        <f>SUMIF('2026 AC'!$B$3:$B$254,"*"&amp;$D213&amp;"*",'2026 AC'!M$3:M$254)</f>
        <v>0</v>
      </c>
      <c r="P213" s="93">
        <f>SUMIF('2026 AC'!$B$3:$B$254,"*"&amp;$D213&amp;"*",'2026 AC'!N$3:N$254)</f>
        <v>0</v>
      </c>
      <c r="Q213" s="92">
        <f t="shared" si="293"/>
        <v>99132</v>
      </c>
      <c r="R213" s="93">
        <f t="shared" si="294"/>
        <v>49566</v>
      </c>
      <c r="S213" s="93">
        <f t="shared" si="298"/>
        <v>49566</v>
      </c>
      <c r="T213" s="93">
        <f t="shared" si="295"/>
        <v>0</v>
      </c>
      <c r="U213" s="93">
        <f t="shared" si="296"/>
        <v>0</v>
      </c>
      <c r="V213" s="92">
        <f t="shared" si="297"/>
        <v>99132</v>
      </c>
    </row>
    <row r="214" outlineLevel="1">
      <c r="A214" s="185"/>
      <c r="C214" s="34" t="s">
        <v>543</v>
      </c>
      <c r="D214" s="35" t="s">
        <v>514</v>
      </c>
      <c r="E214" s="63">
        <f>SUMIF('2026 AC'!$B$3:$B$254,"*"&amp;$D214&amp;"*",'2026 AC'!C$3:C$254)</f>
        <v>2598.75</v>
      </c>
      <c r="F214" s="53">
        <f>SUMIF('2026 AC'!$B$3:$B$254,"*"&amp;$D214&amp;"*",'2026 AC'!D$3:D$254)</f>
        <v>2598.75</v>
      </c>
      <c r="G214" s="53">
        <f>SUMIF('2026 AC'!$B$3:$B$254,"*"&amp;$D214&amp;"*",'2026 AC'!E$3:E$254)</f>
        <v>2598.75</v>
      </c>
      <c r="H214" s="53">
        <f>SUMIF('2026 AC'!$B$3:$B$254,"*"&amp;$D214&amp;"*",'2026 AC'!F$3:F$254)</f>
        <v>2598.75</v>
      </c>
      <c r="I214" s="53">
        <f>SUMIF('2026 AC'!$B$3:$B$254,"*"&amp;$D214&amp;"*",'2026 AC'!G$3:G$254)</f>
        <v>2598.75</v>
      </c>
      <c r="J214" s="53">
        <f>SUMIF('2026 AC'!$B$3:$B$254,"*"&amp;$D214&amp;"*",'2026 AC'!H$3:H$254)</f>
        <v>2598.75</v>
      </c>
      <c r="K214" s="53">
        <f>SUMIF('2026 AC'!$B$3:$B$254,"*"&amp;$D214&amp;"*",'2026 AC'!I$3:I$254)</f>
        <v>0</v>
      </c>
      <c r="L214" s="53">
        <f>SUMIF('2026 AC'!$B$3:$B$254,"*"&amp;$D214&amp;"*",'2026 AC'!J$3:J$254)</f>
        <v>0</v>
      </c>
      <c r="M214" s="53">
        <f>SUMIF('2026 AC'!$B$3:$B$254,"*"&amp;$D214&amp;"*",'2026 AC'!K$3:K$254)</f>
        <v>0</v>
      </c>
      <c r="N214" s="53">
        <f>SUMIF('2026 AC'!$B$3:$B$254,"*"&amp;$D214&amp;"*",'2026 AC'!L$3:L$254)</f>
        <v>0</v>
      </c>
      <c r="O214" s="53">
        <f>SUMIF('2026 AC'!$B$3:$B$254,"*"&amp;$D214&amp;"*",'2026 AC'!M$3:M$254)</f>
        <v>0</v>
      </c>
      <c r="P214" s="93">
        <f>SUMIF('2026 AC'!$B$3:$B$254,"*"&amp;$D214&amp;"*",'2026 AC'!N$3:N$254)</f>
        <v>0</v>
      </c>
      <c r="Q214" s="92">
        <f t="shared" si="293"/>
        <v>15592.5</v>
      </c>
      <c r="R214" s="93">
        <f t="shared" si="294"/>
        <v>7796.25</v>
      </c>
      <c r="S214" s="93">
        <f t="shared" si="298"/>
        <v>7796.25</v>
      </c>
      <c r="T214" s="93">
        <f t="shared" si="295"/>
        <v>0</v>
      </c>
      <c r="U214" s="93">
        <f t="shared" si="296"/>
        <v>0</v>
      </c>
      <c r="V214" s="92">
        <f t="shared" si="297"/>
        <v>15592.5</v>
      </c>
    </row>
    <row r="215" s="137" customFormat="1">
      <c r="A215" s="196" t="s">
        <v>544</v>
      </c>
      <c r="C215" s="173" t="s">
        <v>545</v>
      </c>
      <c r="D215" s="139" t="s">
        <v>546</v>
      </c>
      <c r="E215" s="145">
        <f>SUMIF('2026 AC'!$B$3:$B$254,"*"&amp;$D215&amp;"*",'2026 AC'!C$3:C$254)</f>
        <v>2888</v>
      </c>
      <c r="F215" s="146">
        <f>SUMIF('2026 AC'!$B$3:$B$254,"*"&amp;$D215&amp;"*",'2026 AC'!D$3:D$254)</f>
        <v>2925.0500000000002</v>
      </c>
      <c r="G215" s="146">
        <f>SUMIF('2026 AC'!$B$3:$B$254,"*"&amp;$D215&amp;"*",'2026 AC'!E$3:E$254)</f>
        <v>40.700000000000003</v>
      </c>
      <c r="H215" s="146">
        <f>SUMIF('2026 AC'!$B$3:$B$254,"*"&amp;$D215&amp;"*",'2026 AC'!F$3:F$254)</f>
        <v>0</v>
      </c>
      <c r="I215" s="197">
        <f>SUMIF('2026 AC'!$B$3:$B$254,"*"&amp;$D215&amp;"*",'2026 AC'!G$3:G$254)</f>
        <v>0</v>
      </c>
      <c r="J215" s="146">
        <f>SUMIF('2026 AC'!$B$3:$B$254,"*"&amp;$D215&amp;"*",'2026 AC'!H$3:H$254)</f>
        <v>0</v>
      </c>
      <c r="K215" s="146">
        <f>SUMIF('2026 AC'!$B$3:$B$254,"*"&amp;$D215&amp;"*",'2026 AC'!I$3:I$254)</f>
        <v>0</v>
      </c>
      <c r="L215" s="146">
        <f>SUMIF('2026 AC'!$B$3:$B$254,"*"&amp;$D215&amp;"*",'2026 AC'!J$3:J$254)</f>
        <v>0</v>
      </c>
      <c r="M215" s="146">
        <f>SUMIF('2026 AC'!$B$3:$B$254,"*"&amp;$D215&amp;"*",'2026 AC'!K$3:K$254)</f>
        <v>0</v>
      </c>
      <c r="N215" s="146">
        <f>SUMIF('2026 AC'!$B$3:$B$254,"*"&amp;$D215&amp;"*",'2026 AC'!L$3:L$254)</f>
        <v>0</v>
      </c>
      <c r="O215" s="146">
        <f>SUMIF('2026 AC'!$B$3:$B$254,"*"&amp;$D215&amp;"*",'2026 AC'!M$3:M$254)</f>
        <v>0</v>
      </c>
      <c r="P215" s="147">
        <f>SUMIF('2026 AC'!$B$3:$B$254,"*"&amp;$D215&amp;"*",'2026 AC'!N$3:N$254)</f>
        <v>0</v>
      </c>
      <c r="Q215" s="148">
        <f t="shared" si="293"/>
        <v>5853.75</v>
      </c>
      <c r="R215" s="147">
        <f t="shared" si="294"/>
        <v>5853.75</v>
      </c>
      <c r="S215" s="147">
        <f t="shared" si="298"/>
        <v>0</v>
      </c>
      <c r="T215" s="147">
        <f t="shared" si="295"/>
        <v>0</v>
      </c>
      <c r="U215" s="147">
        <f t="shared" si="296"/>
        <v>0</v>
      </c>
      <c r="V215" s="148">
        <f t="shared" si="297"/>
        <v>5853.75</v>
      </c>
    </row>
    <row r="216" s="137" customFormat="1">
      <c r="C216" s="173" t="s">
        <v>547</v>
      </c>
      <c r="D216" s="139" t="s">
        <v>517</v>
      </c>
      <c r="E216" s="145">
        <f>SUMIF('2026 AC'!$B$3:$B$254,"*"&amp;$D216&amp;"*",'2026 AC'!C$3:C$254)</f>
        <v>-1577.5</v>
      </c>
      <c r="F216" s="146">
        <f>SUMIF('2026 AC'!$B$3:$B$254,"*"&amp;$D216&amp;"*",'2026 AC'!D$3:D$254)</f>
        <v>440</v>
      </c>
      <c r="G216" s="146">
        <f>SUMIF('2026 AC'!$B$3:$B$254,"*"&amp;$D216&amp;"*",'2026 AC'!E$3:E$254)</f>
        <v>440</v>
      </c>
      <c r="H216" s="146">
        <f>SUMIF('2026 AC'!$B$3:$B$254,"*"&amp;$D216&amp;"*",'2026 AC'!F$3:F$254)</f>
        <v>440</v>
      </c>
      <c r="I216" s="197">
        <f>SUMIF('2026 AC'!$B$3:$B$254,"*"&amp;$D216&amp;"*",'2026 AC'!G$3:G$254)</f>
        <v>640</v>
      </c>
      <c r="J216" s="146">
        <f>SUMIF('2026 AC'!$B$3:$B$254,"*"&amp;$D216&amp;"*",'2026 AC'!H$3:H$254)</f>
        <v>440</v>
      </c>
      <c r="K216" s="146">
        <f>SUMIF('2026 AC'!$B$3:$B$254,"*"&amp;$D216&amp;"*",'2026 AC'!I$3:I$254)</f>
        <v>0</v>
      </c>
      <c r="L216" s="146">
        <f>SUMIF('2026 AC'!$B$3:$B$254,"*"&amp;$D216&amp;"*",'2026 AC'!J$3:J$254)</f>
        <v>0</v>
      </c>
      <c r="M216" s="146">
        <f>SUMIF('2026 AC'!$B$3:$B$254,"*"&amp;$D216&amp;"*",'2026 AC'!K$3:K$254)</f>
        <v>0</v>
      </c>
      <c r="N216" s="146">
        <f>SUMIF('2026 AC'!$B$3:$B$254,"*"&amp;$D216&amp;"*",'2026 AC'!L$3:L$254)</f>
        <v>0</v>
      </c>
      <c r="O216" s="146">
        <f>SUMIF('2026 AC'!$B$3:$B$254,"*"&amp;$D216&amp;"*",'2026 AC'!M$3:M$254)</f>
        <v>0</v>
      </c>
      <c r="P216" s="147">
        <f>SUMIF('2026 AC'!$B$3:$B$254,"*"&amp;$D216&amp;"*",'2026 AC'!N$3:N$254)</f>
        <v>0</v>
      </c>
      <c r="Q216" s="148">
        <f t="shared" si="293"/>
        <v>822.5</v>
      </c>
      <c r="R216" s="147">
        <f t="shared" si="294"/>
        <v>-697.5</v>
      </c>
      <c r="S216" s="147">
        <f t="shared" si="298"/>
        <v>1520</v>
      </c>
      <c r="T216" s="147">
        <f t="shared" si="295"/>
        <v>0</v>
      </c>
      <c r="U216" s="147">
        <f t="shared" si="296"/>
        <v>0</v>
      </c>
      <c r="V216" s="148">
        <f t="shared" si="297"/>
        <v>822.5</v>
      </c>
    </row>
    <row r="217" ht="15" customHeight="1" outlineLevel="1">
      <c r="C217" s="34" t="s">
        <v>548</v>
      </c>
      <c r="D217" s="35" t="s">
        <v>520</v>
      </c>
      <c r="E217" s="63">
        <f>SUMIF('2026 AC'!$B$3:$B$254,"*"&amp;$D217&amp;"*",'2026 AC'!C$3:C$254)</f>
        <v>-1577.5</v>
      </c>
      <c r="F217" s="53">
        <f>SUMIF('2026 AC'!$B$3:$B$254,"*"&amp;$D217&amp;"*",'2026 AC'!D$3:D$254)</f>
        <v>440</v>
      </c>
      <c r="G217" s="53">
        <f>SUMIF('2026 AC'!$B$3:$B$254,"*"&amp;$D217&amp;"*",'2026 AC'!E$3:E$254)</f>
        <v>440</v>
      </c>
      <c r="H217" s="53">
        <f>SUMIF('2026 AC'!$B$3:$B$254,"*"&amp;$D217&amp;"*",'2026 AC'!F$3:F$254)</f>
        <v>440</v>
      </c>
      <c r="I217" s="53">
        <f>SUMIF('2026 AC'!$B$3:$B$254,"*"&amp;$D217&amp;"*",'2026 AC'!G$3:G$254)</f>
        <v>640</v>
      </c>
      <c r="J217" s="53">
        <f>SUMIF('2026 AC'!$B$3:$B$254,"*"&amp;$D217&amp;"*",'2026 AC'!H$3:H$254)</f>
        <v>440</v>
      </c>
      <c r="K217" s="53">
        <f>SUMIF('2026 AC'!$B$3:$B$254,"*"&amp;$D217&amp;"*",'2026 AC'!I$3:I$254)</f>
        <v>0</v>
      </c>
      <c r="L217" s="53">
        <f>SUMIF('2026 AC'!$B$3:$B$254,"*"&amp;$D217&amp;"*",'2026 AC'!J$3:J$254)</f>
        <v>0</v>
      </c>
      <c r="M217" s="53">
        <f>SUMIF('2026 AC'!$B$3:$B$254,"*"&amp;$D217&amp;"*",'2026 AC'!K$3:K$254)</f>
        <v>0</v>
      </c>
      <c r="N217" s="53">
        <f>SUMIF('2026 AC'!$B$3:$B$254,"*"&amp;$D217&amp;"*",'2026 AC'!L$3:L$254)</f>
        <v>0</v>
      </c>
      <c r="O217" s="53">
        <f>SUMIF('2026 AC'!$B$3:$B$254,"*"&amp;$D217&amp;"*",'2026 AC'!M$3:M$254)</f>
        <v>0</v>
      </c>
      <c r="P217" s="93">
        <f>SUMIF('2026 AC'!$B$3:$B$254,"*"&amp;$D217&amp;"*",'2026 AC'!N$3:N$254)</f>
        <v>0</v>
      </c>
      <c r="Q217" s="92">
        <f t="shared" si="293"/>
        <v>822.5</v>
      </c>
      <c r="R217" s="93">
        <f t="shared" si="294"/>
        <v>-697.5</v>
      </c>
      <c r="S217" s="93">
        <f t="shared" si="298"/>
        <v>1520</v>
      </c>
      <c r="T217" s="93">
        <f t="shared" si="295"/>
        <v>0</v>
      </c>
      <c r="U217" s="93">
        <f t="shared" si="296"/>
        <v>0</v>
      </c>
      <c r="V217" s="92">
        <f t="shared" si="297"/>
        <v>822.5</v>
      </c>
    </row>
    <row r="218" ht="15" customHeight="1" outlineLevel="1">
      <c r="C218" s="34" t="s">
        <v>549</v>
      </c>
      <c r="D218" s="35" t="s">
        <v>523</v>
      </c>
      <c r="E218" s="63">
        <f>SUMIF('2026 AC'!$B$3:$B$254,"*"&amp;$D218&amp;"*",'2026 AC'!C$3:C$254)</f>
        <v>0</v>
      </c>
      <c r="F218" s="53">
        <f>SUMIF('2026 AC'!$B$3:$B$254,"*"&amp;$D218&amp;"*",'2026 AC'!D$3:D$254)</f>
        <v>0</v>
      </c>
      <c r="G218" s="53">
        <f>SUMIF('2026 AC'!$B$3:$B$254,"*"&amp;$D218&amp;"*",'2026 AC'!E$3:E$254)</f>
        <v>0</v>
      </c>
      <c r="H218" s="53">
        <f>SUMIF('2026 AC'!$B$3:$B$254,"*"&amp;$D218&amp;"*",'2026 AC'!F$3:F$254)</f>
        <v>0</v>
      </c>
      <c r="I218" s="53">
        <f>SUMIF('2026 AC'!$B$3:$B$254,"*"&amp;$D218&amp;"*",'2026 AC'!G$3:G$254)</f>
        <v>0</v>
      </c>
      <c r="J218" s="53">
        <f>SUMIF('2026 AC'!$B$3:$B$254,"*"&amp;$D218&amp;"*",'2026 AC'!H$3:H$254)</f>
        <v>0</v>
      </c>
      <c r="K218" s="53">
        <f>SUMIF('2026 AC'!$B$3:$B$254,"*"&amp;$D218&amp;"*",'2026 AC'!I$3:I$254)</f>
        <v>0</v>
      </c>
      <c r="L218" s="53">
        <f>SUMIF('2026 AC'!$B$3:$B$254,"*"&amp;$D218&amp;"*",'2026 AC'!J$3:J$254)</f>
        <v>0</v>
      </c>
      <c r="M218" s="53">
        <f>SUMIF('2026 AC'!$B$3:$B$254,"*"&amp;$D218&amp;"*",'2026 AC'!K$3:K$254)</f>
        <v>0</v>
      </c>
      <c r="N218" s="53">
        <f>SUMIF('2026 AC'!$B$3:$B$254,"*"&amp;$D218&amp;"*",'2026 AC'!L$3:L$254)</f>
        <v>0</v>
      </c>
      <c r="O218" s="53">
        <f>SUMIF('2026 AC'!$B$3:$B$254,"*"&amp;$D218&amp;"*",'2026 AC'!M$3:M$254)</f>
        <v>0</v>
      </c>
      <c r="P218" s="93">
        <f>SUMIF('2026 AC'!$B$3:$B$254,"*"&amp;$D218&amp;"*",'2026 AC'!N$3:N$254)</f>
        <v>0</v>
      </c>
      <c r="Q218" s="92">
        <f t="shared" si="293"/>
        <v>0</v>
      </c>
      <c r="R218" s="93">
        <f t="shared" si="294"/>
        <v>0</v>
      </c>
      <c r="S218" s="93">
        <f t="shared" si="298"/>
        <v>0</v>
      </c>
      <c r="T218" s="93">
        <f t="shared" si="295"/>
        <v>0</v>
      </c>
      <c r="U218" s="93">
        <f t="shared" si="296"/>
        <v>0</v>
      </c>
      <c r="V218" s="92">
        <f t="shared" si="297"/>
        <v>0</v>
      </c>
    </row>
    <row r="219" s="137" customFormat="1">
      <c r="C219" s="173" t="s">
        <v>550</v>
      </c>
      <c r="D219" s="139" t="s">
        <v>526</v>
      </c>
      <c r="E219" s="145">
        <f>SUMIF('2026 AC'!$B$3:$B$254,"*"&amp;$D219&amp;"*",'2026 AC'!C$3:C$254)</f>
        <v>835.5</v>
      </c>
      <c r="F219" s="146">
        <f>SUMIF('2026 AC'!$B$3:$B$254,"*"&amp;$D219&amp;"*",'2026 AC'!D$3:D$254)</f>
        <v>1020.2</v>
      </c>
      <c r="G219" s="146">
        <f>SUMIF('2026 AC'!$B$3:$B$254,"*"&amp;$D219&amp;"*",'2026 AC'!E$3:E$254)</f>
        <v>1563.2</v>
      </c>
      <c r="H219" s="146">
        <f>SUMIF('2026 AC'!$B$3:$B$254,"*"&amp;$D219&amp;"*",'2026 AC'!F$3:F$254)</f>
        <v>961.04999999999995</v>
      </c>
      <c r="I219" s="197">
        <f>SUMIF('2026 AC'!$B$3:$B$254,"*"&amp;$D219&amp;"*",'2026 AC'!G$3:G$254)</f>
        <v>969</v>
      </c>
      <c r="J219" s="146">
        <f>SUMIF('2026 AC'!$B$3:$B$254,"*"&amp;$D219&amp;"*",'2026 AC'!H$3:H$254)</f>
        <v>859</v>
      </c>
      <c r="K219" s="146">
        <f>SUMIF('2026 AC'!$B$3:$B$254,"*"&amp;$D219&amp;"*",'2026 AC'!I$3:I$254)</f>
        <v>0</v>
      </c>
      <c r="L219" s="146">
        <f>SUMIF('2026 AC'!$B$3:$B$254,"*"&amp;$D219&amp;"*",'2026 AC'!J$3:J$254)</f>
        <v>0</v>
      </c>
      <c r="M219" s="146">
        <f>SUMIF('2026 AC'!$B$3:$B$254,"*"&amp;$D219&amp;"*",'2026 AC'!K$3:K$254)</f>
        <v>0</v>
      </c>
      <c r="N219" s="146">
        <f>SUMIF('2026 AC'!$B$3:$B$254,"*"&amp;$D219&amp;"*",'2026 AC'!L$3:L$254)</f>
        <v>0</v>
      </c>
      <c r="O219" s="146">
        <f>SUMIF('2026 AC'!$B$3:$B$254,"*"&amp;$D219&amp;"*",'2026 AC'!M$3:M$254)</f>
        <v>0</v>
      </c>
      <c r="P219" s="147">
        <f>SUMIF('2026 AC'!$B$3:$B$254,"*"&amp;$D219&amp;"*",'2026 AC'!N$3:N$254)</f>
        <v>0</v>
      </c>
      <c r="Q219" s="148">
        <f t="shared" si="293"/>
        <v>6207.9499999999998</v>
      </c>
      <c r="R219" s="147">
        <f t="shared" si="294"/>
        <v>3418.9000000000001</v>
      </c>
      <c r="S219" s="147">
        <f t="shared" si="298"/>
        <v>2789.0500000000002</v>
      </c>
      <c r="T219" s="147">
        <f t="shared" si="295"/>
        <v>0</v>
      </c>
      <c r="U219" s="147">
        <f t="shared" si="296"/>
        <v>0</v>
      </c>
      <c r="V219" s="148">
        <f t="shared" si="297"/>
        <v>6207.9500000000007</v>
      </c>
    </row>
    <row r="220">
      <c r="C220" s="34"/>
      <c r="D220" s="35"/>
      <c r="E220" s="6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93"/>
      <c r="Q220" s="92"/>
      <c r="R220" s="93">
        <f t="shared" si="294"/>
        <v>0</v>
      </c>
      <c r="S220" s="93">
        <f t="shared" si="298"/>
        <v>0</v>
      </c>
      <c r="T220" s="93">
        <f t="shared" si="295"/>
        <v>0</v>
      </c>
      <c r="U220" s="93">
        <f t="shared" si="296"/>
        <v>0</v>
      </c>
      <c r="V220" s="92">
        <f t="shared" si="297"/>
        <v>0</v>
      </c>
    </row>
    <row r="221" s="190" customFormat="1" ht="15" customHeight="1">
      <c r="A221" s="174"/>
      <c r="C221" s="126" t="s">
        <v>551</v>
      </c>
      <c r="D221" s="191"/>
      <c r="E221" s="180">
        <f>E125+E155+E158+E159+E210+E212+E215+E216+E219</f>
        <v>571740.27000000002</v>
      </c>
      <c r="F221" s="181">
        <f t="shared" ref="F221:P221" si="299">F125+F155+F158+F159+F210+F212+F215+F216+F219</f>
        <v>538986.28000000003</v>
      </c>
      <c r="G221" s="181">
        <f t="shared" si="299"/>
        <v>555160.20999999996</v>
      </c>
      <c r="H221" s="181">
        <f t="shared" si="299"/>
        <v>492879.86999999994</v>
      </c>
      <c r="I221" s="181">
        <f t="shared" si="299"/>
        <v>503334.40000000002</v>
      </c>
      <c r="J221" s="181">
        <f t="shared" si="299"/>
        <v>497185.71999999997</v>
      </c>
      <c r="K221" s="181">
        <f t="shared" si="299"/>
        <v>0</v>
      </c>
      <c r="L221" s="181">
        <f t="shared" si="299"/>
        <v>0</v>
      </c>
      <c r="M221" s="181">
        <f t="shared" si="299"/>
        <v>0</v>
      </c>
      <c r="N221" s="181">
        <f t="shared" si="299"/>
        <v>0</v>
      </c>
      <c r="O221" s="181">
        <f t="shared" si="299"/>
        <v>0</v>
      </c>
      <c r="P221" s="182">
        <f t="shared" si="299"/>
        <v>0</v>
      </c>
      <c r="Q221" s="183">
        <f t="shared" si="293"/>
        <v>3159286.75</v>
      </c>
      <c r="R221" s="182">
        <f t="shared" si="294"/>
        <v>1665886.76</v>
      </c>
      <c r="S221" s="182">
        <f t="shared" si="298"/>
        <v>1493399.99</v>
      </c>
      <c r="T221" s="182">
        <f t="shared" si="295"/>
        <v>0</v>
      </c>
      <c r="U221" s="182">
        <f t="shared" si="296"/>
        <v>0</v>
      </c>
      <c r="V221" s="183">
        <f t="shared" si="297"/>
        <v>3159286.75</v>
      </c>
    </row>
    <row r="222">
      <c r="C222" s="34"/>
      <c r="D222" s="35"/>
      <c r="E222" s="6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93"/>
      <c r="Q222" s="92"/>
      <c r="R222" s="93">
        <f t="shared" si="294"/>
        <v>0</v>
      </c>
      <c r="S222" s="93">
        <f t="shared" si="298"/>
        <v>0</v>
      </c>
      <c r="T222" s="93">
        <f t="shared" si="295"/>
        <v>0</v>
      </c>
      <c r="U222" s="93">
        <f t="shared" si="296"/>
        <v>0</v>
      </c>
      <c r="V222" s="92">
        <f t="shared" si="297"/>
        <v>0</v>
      </c>
    </row>
    <row r="223" s="164" customFormat="1" ht="15" customHeight="1">
      <c r="C223" s="165" t="s">
        <v>552</v>
      </c>
      <c r="D223" s="166"/>
      <c r="E223" s="168">
        <f>E110+E121-E221</f>
        <v>-192045.33000000002</v>
      </c>
      <c r="F223" s="169">
        <f t="shared" ref="F223:P223" si="300">F110+F121-F221</f>
        <v>-182643.76000000001</v>
      </c>
      <c r="G223" s="169">
        <f t="shared" si="300"/>
        <v>-165774.48999999999</v>
      </c>
      <c r="H223" s="169">
        <f t="shared" si="300"/>
        <v>-84308.099999999919</v>
      </c>
      <c r="I223" s="169">
        <f t="shared" si="300"/>
        <v>-128107.24000000005</v>
      </c>
      <c r="J223" s="169">
        <f t="shared" si="300"/>
        <v>-124230.70000000001</v>
      </c>
      <c r="K223" s="169">
        <f t="shared" si="300"/>
        <v>0</v>
      </c>
      <c r="L223" s="169">
        <f t="shared" si="300"/>
        <v>0</v>
      </c>
      <c r="M223" s="169">
        <f t="shared" si="300"/>
        <v>0</v>
      </c>
      <c r="N223" s="169">
        <f t="shared" si="300"/>
        <v>0</v>
      </c>
      <c r="O223" s="169">
        <f t="shared" si="300"/>
        <v>0</v>
      </c>
      <c r="P223" s="170">
        <f t="shared" si="300"/>
        <v>0</v>
      </c>
      <c r="Q223" s="171">
        <f t="shared" si="293"/>
        <v>-877109.61999999988</v>
      </c>
      <c r="R223" s="170">
        <f t="shared" si="294"/>
        <v>-540463.58000000007</v>
      </c>
      <c r="S223" s="170">
        <f t="shared" si="298"/>
        <v>-336646.03999999998</v>
      </c>
      <c r="T223" s="170">
        <f t="shared" si="295"/>
        <v>0</v>
      </c>
      <c r="U223" s="170">
        <f t="shared" si="296"/>
        <v>0</v>
      </c>
      <c r="V223" s="171">
        <f t="shared" si="297"/>
        <v>-877109.62000000011</v>
      </c>
    </row>
    <row r="224" ht="15" customHeight="1">
      <c r="C224" s="165"/>
      <c r="D224" s="35"/>
      <c r="E224" s="6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93"/>
      <c r="Q224" s="92"/>
      <c r="R224" s="93">
        <f t="shared" si="294"/>
        <v>0</v>
      </c>
      <c r="S224" s="93">
        <f t="shared" si="298"/>
        <v>0</v>
      </c>
      <c r="T224" s="93">
        <f t="shared" si="295"/>
        <v>0</v>
      </c>
      <c r="U224" s="93">
        <f t="shared" si="296"/>
        <v>0</v>
      </c>
      <c r="V224" s="92">
        <f t="shared" si="297"/>
        <v>0</v>
      </c>
    </row>
    <row r="225" ht="15" customHeight="1">
      <c r="C225" s="165" t="s">
        <v>529</v>
      </c>
      <c r="D225" s="35"/>
      <c r="E225" s="6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93"/>
      <c r="Q225" s="92"/>
      <c r="R225" s="93">
        <f t="shared" si="294"/>
        <v>0</v>
      </c>
      <c r="S225" s="93">
        <f t="shared" si="298"/>
        <v>0</v>
      </c>
      <c r="T225" s="93">
        <f t="shared" si="295"/>
        <v>0</v>
      </c>
      <c r="U225" s="93">
        <f t="shared" si="296"/>
        <v>0</v>
      </c>
      <c r="V225" s="92">
        <f t="shared" si="297"/>
        <v>0</v>
      </c>
    </row>
    <row r="226" s="137" customFormat="1">
      <c r="C226" s="173" t="s">
        <v>531</v>
      </c>
      <c r="D226" s="139" t="s">
        <v>532</v>
      </c>
      <c r="E226" s="145">
        <f>SUMIF('2026 AC'!$B$3:$B$254,"*"&amp;$D226&amp;"*",'2026 AC'!C$3:C$254)</f>
        <v>0</v>
      </c>
      <c r="F226" s="146">
        <f>SUMIF('2026 AC'!$B$3:$B$254,"*"&amp;$D226&amp;"*",'2026 AC'!D$3:D$254)</f>
        <v>0</v>
      </c>
      <c r="G226" s="146">
        <f>SUMIF('2026 AC'!$B$3:$B$254,"*"&amp;$D226&amp;"*",'2026 AC'!E$3:E$254)</f>
        <v>0</v>
      </c>
      <c r="H226" s="146">
        <f>SUMIF('2026 AC'!$B$3:$B$254,"*"&amp;$D226&amp;"*",'2026 AC'!F$3:F$254)</f>
        <v>0</v>
      </c>
      <c r="I226" s="146">
        <f>SUMIF('2026 AC'!$B$3:$B$254,"*"&amp;$D226&amp;"*",'2026 AC'!G$3:G$254)</f>
        <v>0</v>
      </c>
      <c r="J226" s="146">
        <f>SUMIF('2026 AC'!$B$3:$B$254,"*"&amp;$D226&amp;"*",'2026 AC'!H$3:H$254)</f>
        <v>0</v>
      </c>
      <c r="K226" s="146">
        <f>SUMIF('2026 AC'!$B$3:$B$254,"*"&amp;$D226&amp;"*",'2026 AC'!I$3:I$254)</f>
        <v>0</v>
      </c>
      <c r="L226" s="146">
        <f>SUMIF('2026 AC'!$B$3:$B$254,"*"&amp;$D226&amp;"*",'2026 AC'!J$3:J$254)</f>
        <v>0</v>
      </c>
      <c r="M226" s="146">
        <f>SUMIF('2026 AC'!$B$3:$B$254,"*"&amp;$D226&amp;"*",'2026 AC'!K$3:K$254)</f>
        <v>0</v>
      </c>
      <c r="N226" s="146">
        <f>SUMIF('2026 AC'!$B$3:$B$254,"*"&amp;$D226&amp;"*",'2026 AC'!L$3:L$254)</f>
        <v>0</v>
      </c>
      <c r="O226" s="146">
        <f>SUMIF('2026 AC'!$B$3:$B$254,"*"&amp;$D226&amp;"*",'2026 AC'!M$3:M$254)</f>
        <v>0</v>
      </c>
      <c r="P226" s="147">
        <f>SUMIF('2026 AC'!$B$3:$B$254,"*"&amp;$D226&amp;"*",'2026 AC'!N$3:N$254)</f>
        <v>0</v>
      </c>
      <c r="Q226" s="148">
        <f t="shared" si="293"/>
        <v>0</v>
      </c>
      <c r="R226" s="147">
        <f t="shared" si="294"/>
        <v>0</v>
      </c>
      <c r="S226" s="147">
        <f t="shared" si="298"/>
        <v>0</v>
      </c>
      <c r="T226" s="147">
        <f t="shared" si="295"/>
        <v>0</v>
      </c>
      <c r="U226" s="147">
        <f t="shared" si="296"/>
        <v>0</v>
      </c>
      <c r="V226" s="148">
        <f t="shared" si="297"/>
        <v>0</v>
      </c>
    </row>
    <row r="227">
      <c r="C227" s="34"/>
      <c r="D227" s="35"/>
      <c r="E227" s="6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93"/>
      <c r="Q227" s="92"/>
      <c r="R227" s="93">
        <f t="shared" si="294"/>
        <v>0</v>
      </c>
      <c r="S227" s="93">
        <f t="shared" si="298"/>
        <v>0</v>
      </c>
      <c r="T227" s="93">
        <f t="shared" si="295"/>
        <v>0</v>
      </c>
      <c r="U227" s="93">
        <f t="shared" si="296"/>
        <v>0</v>
      </c>
      <c r="V227" s="92">
        <f t="shared" si="297"/>
        <v>0</v>
      </c>
    </row>
    <row r="228" s="164" customFormat="1" ht="15" customHeight="1">
      <c r="C228" s="204" t="s">
        <v>536</v>
      </c>
      <c r="D228" s="205"/>
      <c r="E228" s="206">
        <f>E223-E226</f>
        <v>-192045.33000000002</v>
      </c>
      <c r="F228" s="207">
        <f t="shared" ref="F228:P228" si="301">F223-F226</f>
        <v>-182643.76000000001</v>
      </c>
      <c r="G228" s="207">
        <f t="shared" si="301"/>
        <v>-165774.48999999999</v>
      </c>
      <c r="H228" s="207">
        <f t="shared" si="301"/>
        <v>-84308.099999999919</v>
      </c>
      <c r="I228" s="207">
        <f t="shared" si="301"/>
        <v>-128107.24000000005</v>
      </c>
      <c r="J228" s="207">
        <f t="shared" si="301"/>
        <v>-124230.70000000001</v>
      </c>
      <c r="K228" s="207">
        <f t="shared" si="301"/>
        <v>0</v>
      </c>
      <c r="L228" s="207">
        <f t="shared" si="301"/>
        <v>0</v>
      </c>
      <c r="M228" s="207">
        <f t="shared" si="301"/>
        <v>0</v>
      </c>
      <c r="N228" s="207">
        <f t="shared" si="301"/>
        <v>0</v>
      </c>
      <c r="O228" s="207">
        <f t="shared" si="301"/>
        <v>0</v>
      </c>
      <c r="P228" s="208">
        <f t="shared" si="301"/>
        <v>0</v>
      </c>
      <c r="Q228" s="209">
        <f t="shared" si="293"/>
        <v>-877109.61999999988</v>
      </c>
      <c r="R228" s="208">
        <f t="shared" si="294"/>
        <v>-540463.58000000007</v>
      </c>
      <c r="S228" s="208">
        <f t="shared" si="298"/>
        <v>-336646.03999999998</v>
      </c>
      <c r="T228" s="208">
        <f t="shared" si="295"/>
        <v>0</v>
      </c>
      <c r="U228" s="208">
        <f t="shared" si="296"/>
        <v>0</v>
      </c>
      <c r="V228" s="209">
        <f t="shared" si="297"/>
        <v>-877109.62000000011</v>
      </c>
    </row>
    <row r="229" ht="15" customHeight="1"/>
    <row r="230" ht="15" customHeight="1"/>
    <row r="231" ht="15" customHeight="1"/>
    <row r="233" ht="15" customHeight="1"/>
    <row r="234" ht="15" customHeight="1"/>
    <row r="237" ht="15" customHeight="1"/>
    <row r="238" ht="15" customHeight="1"/>
    <row r="239" ht="15" customHeight="1"/>
  </sheetData>
  <mergeCells count="2">
    <mergeCell ref="C4:D5"/>
    <mergeCell ref="E4:V5"/>
  </mergeCells>
  <printOptions headings="0" gridLines="0"/>
  <pageMargins left="0.25" right="0.11944444444444396" top="0.59027777777777801" bottom="0.43263888888888891" header="0.29999999999999999" footer="0.078472222222222221"/>
  <pageSetup paperSize="9" scale="32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view="pageBreakPreview" topLeftCell="M1" zoomScale="70" workbookViewId="0">
      <pane ySplit="6" topLeftCell="A7" activePane="bottomLeft" state="frozen"/>
      <selection activeCell="AB12" activeCellId="0" sqref="AB12"/>
    </sheetView>
  </sheetViews>
  <sheetFormatPr defaultColWidth="9" defaultRowHeight="14.5" outlineLevelRow="1"/>
  <cols>
    <col customWidth="1" hidden="1" min="1" max="1" width="47.1796875"/>
    <col customWidth="1" hidden="1" min="2" max="2" width="12.81640625"/>
    <col customWidth="1" min="3" max="3" width="39.453125"/>
    <col customWidth="1" min="4" max="4" width="11.36328125"/>
    <col customWidth="1" min="5" max="22" width="13.26953125"/>
  </cols>
  <sheetData>
    <row r="1">
      <c r="C1" s="2" t="s">
        <v>0</v>
      </c>
    </row>
    <row r="2" ht="24.5">
      <c r="C2" s="3" t="s">
        <v>1</v>
      </c>
    </row>
    <row r="3" ht="15"/>
    <row r="4" ht="25.899999999999999" customHeight="1">
      <c r="C4" s="4" t="s">
        <v>2</v>
      </c>
      <c r="D4" s="5"/>
      <c r="E4" s="4" t="s">
        <v>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 ht="25.5" customHeight="1">
      <c r="C5" s="11"/>
      <c r="D5" s="12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0"/>
    </row>
    <row r="6" s="21" customFormat="1" ht="14.25" customHeight="1">
      <c r="C6" s="22"/>
      <c r="D6" s="23" t="s">
        <v>6</v>
      </c>
      <c r="E6" s="27">
        <v>45658</v>
      </c>
      <c r="F6" s="27">
        <v>45689</v>
      </c>
      <c r="G6" s="27">
        <v>45717</v>
      </c>
      <c r="H6" s="27">
        <v>45748</v>
      </c>
      <c r="I6" s="27">
        <v>45778</v>
      </c>
      <c r="J6" s="27">
        <v>45809</v>
      </c>
      <c r="K6" s="27">
        <v>45839</v>
      </c>
      <c r="L6" s="27">
        <v>45870</v>
      </c>
      <c r="M6" s="27">
        <v>45901</v>
      </c>
      <c r="N6" s="27">
        <v>45931</v>
      </c>
      <c r="O6" s="27">
        <v>45962</v>
      </c>
      <c r="P6" s="28">
        <v>45992</v>
      </c>
      <c r="Q6" s="30" t="s">
        <v>12</v>
      </c>
      <c r="R6" s="27" t="s">
        <v>17</v>
      </c>
      <c r="S6" s="27" t="s">
        <v>9</v>
      </c>
      <c r="T6" s="27" t="s">
        <v>18</v>
      </c>
      <c r="U6" s="28" t="s">
        <v>19</v>
      </c>
      <c r="V6" s="29" t="s">
        <v>12</v>
      </c>
    </row>
    <row r="7">
      <c r="C7" s="34"/>
      <c r="D7" s="35"/>
      <c r="E7" s="42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3"/>
      <c r="R7" s="40"/>
      <c r="S7" s="40"/>
      <c r="T7" s="40"/>
      <c r="U7" s="40"/>
      <c r="V7" s="41"/>
    </row>
    <row r="8" ht="15.5">
      <c r="C8" s="44" t="s">
        <v>23</v>
      </c>
      <c r="D8" s="35"/>
      <c r="E8" s="50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51"/>
      <c r="R8" s="48"/>
      <c r="S8" s="48"/>
      <c r="T8" s="48"/>
      <c r="U8" s="48"/>
      <c r="V8" s="49"/>
    </row>
    <row r="9">
      <c r="C9" s="34"/>
      <c r="D9" s="35"/>
      <c r="E9" s="50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51"/>
      <c r="R9" s="48"/>
      <c r="S9" s="48"/>
      <c r="T9" s="48"/>
      <c r="U9" s="48"/>
      <c r="V9" s="49"/>
    </row>
    <row r="10">
      <c r="C10" s="52" t="s">
        <v>24</v>
      </c>
      <c r="D10" s="35"/>
      <c r="E10" s="50">
        <v>6727</v>
      </c>
      <c r="F10" s="74">
        <v>6076</v>
      </c>
      <c r="G10" s="74">
        <v>6727</v>
      </c>
      <c r="H10" s="74">
        <v>6510</v>
      </c>
      <c r="I10" s="74">
        <v>6727</v>
      </c>
      <c r="J10" s="74">
        <v>4440</v>
      </c>
      <c r="K10" s="74">
        <v>4588</v>
      </c>
      <c r="L10" s="74">
        <v>4588</v>
      </c>
      <c r="M10" s="74">
        <v>4440</v>
      </c>
      <c r="N10" s="74">
        <v>4588</v>
      </c>
      <c r="O10" s="74">
        <v>4440</v>
      </c>
      <c r="P10" s="74">
        <v>1</v>
      </c>
      <c r="Q10" s="62">
        <f t="shared" ref="Q10:Q17" si="302">SUM(E10:P10)</f>
        <v>59852</v>
      </c>
      <c r="R10" s="58">
        <f t="shared" ref="R10:R73" si="303">SUM(E10:G10)</f>
        <v>19530</v>
      </c>
      <c r="S10" s="58">
        <f t="shared" ref="S10:S73" si="304">SUM(H10:J10)</f>
        <v>17677</v>
      </c>
      <c r="T10" s="58">
        <f t="shared" ref="T10:T73" si="305">SUM(K10:M10)</f>
        <v>13616</v>
      </c>
      <c r="U10" s="58">
        <f t="shared" ref="U10:U73" si="306">SUM(N10:P10)</f>
        <v>9029</v>
      </c>
      <c r="V10" s="59">
        <f t="shared" ref="V10:V73" si="307">SUM(R10:U10)</f>
        <v>59852</v>
      </c>
    </row>
    <row r="11">
      <c r="C11" s="52" t="s">
        <v>25</v>
      </c>
      <c r="D11" s="35"/>
      <c r="E11" s="50">
        <v>2536</v>
      </c>
      <c r="F11" s="74">
        <v>2433</v>
      </c>
      <c r="G11" s="74">
        <v>1724</v>
      </c>
      <c r="H11" s="74">
        <v>2143</v>
      </c>
      <c r="I11" s="74">
        <v>2266</v>
      </c>
      <c r="J11" s="74">
        <v>2193</v>
      </c>
      <c r="K11" s="74">
        <v>2158</v>
      </c>
      <c r="L11" s="74">
        <v>2340</v>
      </c>
      <c r="M11" s="74">
        <v>2147</v>
      </c>
      <c r="N11" s="74">
        <v>1646</v>
      </c>
      <c r="O11" s="74">
        <v>1746</v>
      </c>
      <c r="P11" s="74">
        <v>1</v>
      </c>
      <c r="Q11" s="62">
        <f t="shared" si="302"/>
        <v>23333</v>
      </c>
      <c r="R11" s="58">
        <f t="shared" si="303"/>
        <v>6693</v>
      </c>
      <c r="S11" s="58">
        <f t="shared" si="304"/>
        <v>6602</v>
      </c>
      <c r="T11" s="58">
        <f t="shared" si="305"/>
        <v>6645</v>
      </c>
      <c r="U11" s="58">
        <f t="shared" si="306"/>
        <v>3393</v>
      </c>
      <c r="V11" s="59">
        <f t="shared" si="307"/>
        <v>23333</v>
      </c>
    </row>
    <row r="12" s="65" customFormat="1">
      <c r="C12" s="66" t="s">
        <v>26</v>
      </c>
      <c r="D12" s="67"/>
      <c r="E12" s="70">
        <f>E11/E10</f>
        <v>0.37698825628066002</v>
      </c>
      <c r="F12" s="69">
        <f t="shared" ref="F12:P12" si="308">F11/F10</f>
        <v>0.40042791310072418</v>
      </c>
      <c r="G12" s="69">
        <f t="shared" si="308"/>
        <v>0.25628066002675787</v>
      </c>
      <c r="H12" s="69">
        <f t="shared" si="308"/>
        <v>0.32918586789554533</v>
      </c>
      <c r="I12" s="69">
        <f t="shared" si="308"/>
        <v>0.33685149397948566</v>
      </c>
      <c r="J12" s="69">
        <f t="shared" si="308"/>
        <v>0.49391891891891893</v>
      </c>
      <c r="K12" s="69">
        <f t="shared" si="308"/>
        <v>0.47035745422842196</v>
      </c>
      <c r="L12" s="69">
        <f t="shared" si="308"/>
        <v>0.51002615518744554</v>
      </c>
      <c r="M12" s="69">
        <f t="shared" si="308"/>
        <v>0.48355855855855856</v>
      </c>
      <c r="N12" s="69">
        <f t="shared" si="308"/>
        <v>0.35876198779424584</v>
      </c>
      <c r="O12" s="69">
        <f t="shared" si="308"/>
        <v>0.39324324324324322</v>
      </c>
      <c r="P12" s="69">
        <f t="shared" si="308"/>
        <v>1</v>
      </c>
      <c r="Q12" s="73">
        <f t="shared" si="302"/>
        <v>5.4096005092140071</v>
      </c>
      <c r="R12" s="71">
        <f>R11/R10</f>
        <v>0.34270353302611367</v>
      </c>
      <c r="S12" s="71">
        <f t="shared" ref="S12:V12" si="309">S11/S10</f>
        <v>0.37347966283871697</v>
      </c>
      <c r="T12" s="71">
        <f t="shared" si="309"/>
        <v>0.48802878965922442</v>
      </c>
      <c r="U12" s="71">
        <f t="shared" si="309"/>
        <v>0.3757891239339905</v>
      </c>
      <c r="V12" s="72">
        <f t="shared" si="309"/>
        <v>0.38984495087883447</v>
      </c>
      <c r="W12" s="65"/>
    </row>
    <row r="13">
      <c r="C13" s="52" t="s">
        <v>27</v>
      </c>
      <c r="D13" s="35"/>
      <c r="E13" s="50">
        <f t="shared" ref="E13:P13" si="310">SUM(E28:E29)/E11</f>
        <v>148.26769321766562</v>
      </c>
      <c r="F13" s="74">
        <f t="shared" si="310"/>
        <v>148.44626798191533</v>
      </c>
      <c r="G13" s="74">
        <f t="shared" si="310"/>
        <v>145.22397911832945</v>
      </c>
      <c r="H13" s="74">
        <f t="shared" si="310"/>
        <v>146.03930471301913</v>
      </c>
      <c r="I13" s="74">
        <f t="shared" si="310"/>
        <v>147.66022947925862</v>
      </c>
      <c r="J13" s="74">
        <f t="shared" si="310"/>
        <v>147.000227998176</v>
      </c>
      <c r="K13" s="74">
        <f t="shared" si="310"/>
        <v>144.92735403151065</v>
      </c>
      <c r="L13" s="74">
        <f t="shared" si="310"/>
        <v>150.9178205128205</v>
      </c>
      <c r="M13" s="74">
        <f t="shared" si="310"/>
        <v>155.32154634373543</v>
      </c>
      <c r="N13" s="74">
        <f t="shared" si="310"/>
        <v>145.19212636695016</v>
      </c>
      <c r="O13" s="74">
        <f t="shared" si="310"/>
        <v>150.03879725085909</v>
      </c>
      <c r="P13" s="74">
        <f t="shared" si="310"/>
        <v>460827.59000000003</v>
      </c>
      <c r="Q13" s="62">
        <f t="shared" si="302"/>
        <v>462456.62534701428</v>
      </c>
      <c r="R13" s="58">
        <f t="shared" si="303"/>
        <v>441.93794031791037</v>
      </c>
      <c r="S13" s="58">
        <f t="shared" si="304"/>
        <v>440.69976219045373</v>
      </c>
      <c r="T13" s="58">
        <f t="shared" si="305"/>
        <v>451.16672088806661</v>
      </c>
      <c r="U13" s="58">
        <f t="shared" si="306"/>
        <v>461122.82092361781</v>
      </c>
      <c r="V13" s="59">
        <f t="shared" si="307"/>
        <v>462456.62534701423</v>
      </c>
    </row>
    <row r="14">
      <c r="C14" s="52" t="s">
        <v>28</v>
      </c>
      <c r="D14" s="35"/>
      <c r="E14" s="50">
        <f>(E11/E10)*E13</f>
        <v>55.895179128883605</v>
      </c>
      <c r="F14" s="74">
        <f t="shared" ref="F14:P14" si="311">(F11/F10)*F13</f>
        <v>59.442029295589201</v>
      </c>
      <c r="G14" s="74">
        <f t="shared" si="311"/>
        <v>37.218097220157574</v>
      </c>
      <c r="H14" s="74">
        <f t="shared" si="311"/>
        <v>48.074075268817204</v>
      </c>
      <c r="I14" s="74">
        <f t="shared" si="311"/>
        <v>49.739568901441956</v>
      </c>
      <c r="J14" s="74">
        <f t="shared" si="311"/>
        <v>72.606193693693683</v>
      </c>
      <c r="K14" s="74">
        <f t="shared" si="311"/>
        <v>68.16766129032257</v>
      </c>
      <c r="L14" s="74">
        <f t="shared" si="311"/>
        <v>76.972035745422843</v>
      </c>
      <c r="M14" s="74">
        <f t="shared" si="311"/>
        <v>75.107063063063052</v>
      </c>
      <c r="N14" s="74">
        <f t="shared" si="311"/>
        <v>52.089415867480376</v>
      </c>
      <c r="O14" s="74">
        <f t="shared" si="311"/>
        <v>59.001743243243233</v>
      </c>
      <c r="P14" s="74">
        <f t="shared" si="311"/>
        <v>460827.59000000003</v>
      </c>
      <c r="Q14" s="62">
        <f t="shared" si="302"/>
        <v>461481.90306271816</v>
      </c>
      <c r="R14" s="58">
        <f t="shared" si="303"/>
        <v>152.55530564463038</v>
      </c>
      <c r="S14" s="58">
        <f t="shared" si="304"/>
        <v>170.41983786395284</v>
      </c>
      <c r="T14" s="58">
        <f t="shared" si="305"/>
        <v>220.24676009880847</v>
      </c>
      <c r="U14" s="58">
        <f t="shared" si="306"/>
        <v>460938.68115911074</v>
      </c>
      <c r="V14" s="59">
        <f t="shared" si="307"/>
        <v>461481.90306271811</v>
      </c>
    </row>
    <row r="15" s="75" customFormat="1" ht="15">
      <c r="C15" s="76"/>
      <c r="D15" s="77"/>
      <c r="E15" s="85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86"/>
      <c r="R15" s="83">
        <f t="shared" si="303"/>
        <v>0</v>
      </c>
      <c r="S15" s="83">
        <f t="shared" si="304"/>
        <v>0</v>
      </c>
      <c r="T15" s="83">
        <f t="shared" si="305"/>
        <v>0</v>
      </c>
      <c r="U15" s="83">
        <f t="shared" si="306"/>
        <v>0</v>
      </c>
      <c r="V15" s="84"/>
    </row>
    <row r="16">
      <c r="C16" s="87" t="s">
        <v>29</v>
      </c>
      <c r="D16" s="39"/>
      <c r="E16" s="91">
        <f t="shared" ref="E16:P16" si="312">E108+E221</f>
        <v>682120.08999999997</v>
      </c>
      <c r="F16" s="88">
        <f t="shared" si="312"/>
        <v>513180.29999999999</v>
      </c>
      <c r="G16" s="88">
        <f t="shared" si="312"/>
        <v>504315</v>
      </c>
      <c r="H16" s="88">
        <f t="shared" si="312"/>
        <v>458222.32000000001</v>
      </c>
      <c r="I16" s="88">
        <f t="shared" si="312"/>
        <v>513257.27999999997</v>
      </c>
      <c r="J16" s="88">
        <f t="shared" si="312"/>
        <v>459903.73000000004</v>
      </c>
      <c r="K16" s="88">
        <f t="shared" si="312"/>
        <v>472504.77000000002</v>
      </c>
      <c r="L16" s="88">
        <f t="shared" si="312"/>
        <v>786386.69999999995</v>
      </c>
      <c r="M16" s="88">
        <f t="shared" si="312"/>
        <v>499630.42000000004</v>
      </c>
      <c r="N16" s="88">
        <f t="shared" si="312"/>
        <v>500167.97999999998</v>
      </c>
      <c r="O16" s="88">
        <f t="shared" si="312"/>
        <v>473749.45999999996</v>
      </c>
      <c r="P16" s="88">
        <f t="shared" si="312"/>
        <v>1638506.2500000002</v>
      </c>
      <c r="Q16" s="94">
        <f t="shared" si="302"/>
        <v>7501944.2999999998</v>
      </c>
      <c r="R16" s="93">
        <f t="shared" si="303"/>
        <v>1699615.3899999999</v>
      </c>
      <c r="S16" s="93">
        <f t="shared" si="304"/>
        <v>1431383.3300000001</v>
      </c>
      <c r="T16" s="93">
        <f t="shared" si="305"/>
        <v>1758521.8900000001</v>
      </c>
      <c r="U16" s="93">
        <f t="shared" si="306"/>
        <v>2612423.6900000004</v>
      </c>
      <c r="V16" s="92">
        <f t="shared" si="307"/>
        <v>7501944.2999999998</v>
      </c>
    </row>
    <row r="17" s="75" customFormat="1" ht="15">
      <c r="C17" s="95" t="s">
        <v>30</v>
      </c>
      <c r="D17" s="77"/>
      <c r="E17" s="100">
        <f t="shared" ref="E17:P17" si="313">E16/1</f>
        <v>682120.08999999997</v>
      </c>
      <c r="F17" s="96">
        <f t="shared" si="313"/>
        <v>513180.29999999999</v>
      </c>
      <c r="G17" s="96">
        <f t="shared" si="313"/>
        <v>504315</v>
      </c>
      <c r="H17" s="96">
        <f t="shared" si="313"/>
        <v>458222.32000000001</v>
      </c>
      <c r="I17" s="96">
        <f t="shared" si="313"/>
        <v>513257.27999999997</v>
      </c>
      <c r="J17" s="96">
        <f t="shared" si="313"/>
        <v>459903.73000000004</v>
      </c>
      <c r="K17" s="96">
        <f t="shared" si="313"/>
        <v>472504.77000000002</v>
      </c>
      <c r="L17" s="96">
        <f t="shared" si="313"/>
        <v>786386.69999999995</v>
      </c>
      <c r="M17" s="96">
        <f t="shared" si="313"/>
        <v>499630.42000000004</v>
      </c>
      <c r="N17" s="96">
        <f t="shared" si="313"/>
        <v>500167.97999999998</v>
      </c>
      <c r="O17" s="96">
        <f t="shared" si="313"/>
        <v>473749.45999999996</v>
      </c>
      <c r="P17" s="96">
        <f t="shared" si="313"/>
        <v>1638506.2500000002</v>
      </c>
      <c r="Q17" s="94">
        <f t="shared" si="302"/>
        <v>7501944.2999999998</v>
      </c>
      <c r="R17" s="93">
        <f t="shared" si="303"/>
        <v>1699615.3899999999</v>
      </c>
      <c r="S17" s="93">
        <f t="shared" si="304"/>
        <v>1431383.3300000001</v>
      </c>
      <c r="T17" s="93">
        <f t="shared" si="305"/>
        <v>1758521.8900000001</v>
      </c>
      <c r="U17" s="93">
        <f t="shared" si="306"/>
        <v>2612423.6900000004</v>
      </c>
      <c r="V17" s="92">
        <f t="shared" si="307"/>
        <v>7501944.2999999998</v>
      </c>
    </row>
    <row r="18">
      <c r="C18" s="103"/>
      <c r="D18" s="39"/>
      <c r="E18" s="107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10"/>
      <c r="R18" s="109"/>
      <c r="S18" s="109"/>
      <c r="T18" s="109"/>
      <c r="U18" s="109"/>
      <c r="V18" s="108"/>
    </row>
    <row r="19">
      <c r="C19" s="111" t="s">
        <v>31</v>
      </c>
      <c r="D19" s="39"/>
      <c r="E19" s="107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10"/>
      <c r="R19" s="109"/>
      <c r="S19" s="109"/>
      <c r="T19" s="109"/>
      <c r="U19" s="109"/>
      <c r="V19" s="108"/>
    </row>
    <row r="20">
      <c r="C20" s="103" t="s">
        <v>32</v>
      </c>
      <c r="D20" s="39"/>
      <c r="E20" s="91">
        <f>E39+E41+E43+E47+E46</f>
        <v>75907.179999999993</v>
      </c>
      <c r="F20" s="91">
        <f t="shared" ref="F20:Q20" si="314">F39+F41+F43+F47+F46</f>
        <v>55822.409999999996</v>
      </c>
      <c r="G20" s="91">
        <f t="shared" si="314"/>
        <v>180105.06000000003</v>
      </c>
      <c r="H20" s="91">
        <f t="shared" si="314"/>
        <v>73683.940000000002</v>
      </c>
      <c r="I20" s="91">
        <f t="shared" si="314"/>
        <v>133265.26000000001</v>
      </c>
      <c r="J20" s="91">
        <f t="shared" si="314"/>
        <v>85438.850000000006</v>
      </c>
      <c r="K20" s="91">
        <f t="shared" si="314"/>
        <v>99256.699999999997</v>
      </c>
      <c r="L20" s="91">
        <f t="shared" si="314"/>
        <v>105416.49000000001</v>
      </c>
      <c r="M20" s="91">
        <f t="shared" si="314"/>
        <v>139331.51000000001</v>
      </c>
      <c r="N20" s="91">
        <f t="shared" si="314"/>
        <v>62752.399999999994</v>
      </c>
      <c r="O20" s="91">
        <f t="shared" si="314"/>
        <v>132054.58000000002</v>
      </c>
      <c r="P20" s="91">
        <f t="shared" si="314"/>
        <v>83433.880000000005</v>
      </c>
      <c r="Q20" s="91">
        <f t="shared" si="314"/>
        <v>1226468.26</v>
      </c>
      <c r="R20" s="93">
        <f t="shared" si="303"/>
        <v>311834.65000000002</v>
      </c>
      <c r="S20" s="93">
        <f t="shared" si="304"/>
        <v>292388.05000000005</v>
      </c>
      <c r="T20" s="93">
        <f t="shared" si="305"/>
        <v>344004.70000000001</v>
      </c>
      <c r="U20" s="93">
        <f t="shared" si="306"/>
        <v>278240.85999999999</v>
      </c>
      <c r="V20" s="92">
        <f t="shared" si="307"/>
        <v>1226468.2600000002</v>
      </c>
    </row>
    <row r="21" s="75" customFormat="1" ht="15">
      <c r="C21" s="76" t="s">
        <v>33</v>
      </c>
      <c r="D21" s="77"/>
      <c r="E21" s="100">
        <f t="shared" ref="E21:P21" si="315">E83+E88+E89+E90+E91+E84</f>
        <v>52439.339999999997</v>
      </c>
      <c r="F21" s="96">
        <f t="shared" si="315"/>
        <v>32245.880000000001</v>
      </c>
      <c r="G21" s="96">
        <f t="shared" si="315"/>
        <v>84998.970000000001</v>
      </c>
      <c r="H21" s="96">
        <f t="shared" si="315"/>
        <v>32431.829999999998</v>
      </c>
      <c r="I21" s="96">
        <f t="shared" si="315"/>
        <v>51290.209999999999</v>
      </c>
      <c r="J21" s="96">
        <f t="shared" si="315"/>
        <v>26128.439999999999</v>
      </c>
      <c r="K21" s="96">
        <f t="shared" si="315"/>
        <v>32072.540000000001</v>
      </c>
      <c r="L21" s="96">
        <f t="shared" si="315"/>
        <v>33955.25</v>
      </c>
      <c r="M21" s="96">
        <f t="shared" si="315"/>
        <v>41797.169999999998</v>
      </c>
      <c r="N21" s="96">
        <f t="shared" si="315"/>
        <v>23484.639999999999</v>
      </c>
      <c r="O21" s="96">
        <f t="shared" si="315"/>
        <v>43787.940000000002</v>
      </c>
      <c r="P21" s="96">
        <f t="shared" si="315"/>
        <v>44903.050000000003</v>
      </c>
      <c r="Q21" s="94">
        <f t="shared" ref="Q21:Q84" si="316">SUM(E21:P21)</f>
        <v>499535.25999999995</v>
      </c>
      <c r="R21" s="93">
        <f t="shared" si="303"/>
        <v>169684.19</v>
      </c>
      <c r="S21" s="93">
        <f t="shared" si="304"/>
        <v>109850.48</v>
      </c>
      <c r="T21" s="93">
        <f t="shared" si="305"/>
        <v>107824.96000000001</v>
      </c>
      <c r="U21" s="93">
        <f t="shared" si="306"/>
        <v>112175.63</v>
      </c>
      <c r="V21" s="92">
        <f t="shared" si="307"/>
        <v>499535.26000000001</v>
      </c>
    </row>
    <row r="22" s="114" customFormat="1" ht="15">
      <c r="C22" s="115" t="s">
        <v>34</v>
      </c>
      <c r="D22" s="116"/>
      <c r="E22" s="120">
        <f t="shared" ref="E22:P22" si="317">E20-E21</f>
        <v>23467.839999999997</v>
      </c>
      <c r="F22" s="117">
        <f t="shared" si="317"/>
        <v>23576.529999999995</v>
      </c>
      <c r="G22" s="117">
        <f t="shared" si="317"/>
        <v>95106.090000000026</v>
      </c>
      <c r="H22" s="117">
        <f t="shared" si="317"/>
        <v>41252.110000000001</v>
      </c>
      <c r="I22" s="117">
        <f t="shared" si="317"/>
        <v>81975.050000000017</v>
      </c>
      <c r="J22" s="117">
        <f t="shared" si="317"/>
        <v>59310.410000000003</v>
      </c>
      <c r="K22" s="117">
        <f t="shared" si="317"/>
        <v>67184.160000000003</v>
      </c>
      <c r="L22" s="117">
        <f t="shared" si="317"/>
        <v>71461.240000000005</v>
      </c>
      <c r="M22" s="117">
        <f t="shared" si="317"/>
        <v>97534.340000000011</v>
      </c>
      <c r="N22" s="117">
        <f t="shared" si="317"/>
        <v>39267.759999999995</v>
      </c>
      <c r="O22" s="117">
        <f t="shared" si="317"/>
        <v>88266.640000000014</v>
      </c>
      <c r="P22" s="117">
        <f t="shared" si="317"/>
        <v>38530.830000000002</v>
      </c>
      <c r="Q22" s="94">
        <f t="shared" si="316"/>
        <v>726933</v>
      </c>
      <c r="R22" s="93">
        <f t="shared" si="303"/>
        <v>142150.46000000002</v>
      </c>
      <c r="S22" s="93">
        <f t="shared" si="304"/>
        <v>182537.57000000001</v>
      </c>
      <c r="T22" s="93">
        <f t="shared" si="305"/>
        <v>236179.74000000005</v>
      </c>
      <c r="U22" s="93">
        <f t="shared" si="306"/>
        <v>166065.23000000001</v>
      </c>
      <c r="V22" s="92">
        <f t="shared" si="307"/>
        <v>726933</v>
      </c>
    </row>
    <row r="23">
      <c r="C23" s="103"/>
      <c r="D23" s="39"/>
      <c r="E23" s="42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110"/>
      <c r="R23" s="109"/>
      <c r="S23" s="109"/>
      <c r="T23" s="109"/>
      <c r="U23" s="109"/>
      <c r="V23" s="108"/>
    </row>
    <row r="24">
      <c r="C24" s="52"/>
      <c r="D24" s="35"/>
      <c r="E24" s="50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94"/>
      <c r="R24" s="93"/>
      <c r="S24" s="93"/>
      <c r="T24" s="93"/>
      <c r="U24" s="93"/>
      <c r="V24" s="92"/>
    </row>
    <row r="25" s="125" customFormat="1">
      <c r="C25" s="126" t="s">
        <v>35</v>
      </c>
      <c r="D25" s="127"/>
      <c r="E25" s="134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35"/>
      <c r="R25" s="132">
        <f t="shared" si="303"/>
        <v>0</v>
      </c>
      <c r="S25" s="132">
        <f t="shared" si="304"/>
        <v>0</v>
      </c>
      <c r="T25" s="132">
        <f t="shared" si="305"/>
        <v>0</v>
      </c>
      <c r="U25" s="132">
        <f t="shared" si="306"/>
        <v>0</v>
      </c>
      <c r="V25" s="133"/>
    </row>
    <row r="26">
      <c r="C26" s="136"/>
      <c r="D26" s="35"/>
      <c r="E26" s="50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94"/>
      <c r="R26" s="93">
        <f t="shared" si="303"/>
        <v>0</v>
      </c>
      <c r="S26" s="93">
        <f t="shared" si="304"/>
        <v>0</v>
      </c>
      <c r="T26" s="93">
        <f t="shared" si="305"/>
        <v>0</v>
      </c>
      <c r="U26" s="93">
        <f t="shared" si="306"/>
        <v>0</v>
      </c>
      <c r="V26" s="92"/>
    </row>
    <row r="27" s="137" customFormat="1">
      <c r="A27" s="137" t="s">
        <v>36</v>
      </c>
      <c r="B27" s="137" t="s">
        <v>37</v>
      </c>
      <c r="C27" s="138" t="s">
        <v>38</v>
      </c>
      <c r="D27" s="139" t="s">
        <v>37</v>
      </c>
      <c r="E27" s="145">
        <f>SUMIF('2025 AC'!$B$3:$B$250,"*"&amp;$D27&amp;"*",'2025 AC'!C$3:C$250)</f>
        <v>387262.16999999998</v>
      </c>
      <c r="F27" s="146">
        <f>SUMIF('2025 AC'!$B$3:$B$250,"*"&amp;$D27&amp;"*",'2025 AC'!D$3:D$250)</f>
        <v>370307.95000000001</v>
      </c>
      <c r="G27" s="146">
        <f>SUMIF('2025 AC'!$B$3:$B$250,"*"&amp;$D27&amp;"*",'2025 AC'!E$3:E$250)</f>
        <v>257215.41</v>
      </c>
      <c r="H27" s="146">
        <f>SUMIF('2025 AC'!$B$3:$B$250,"*"&amp;$D27&amp;"*",'2025 AC'!F$3:F$250)</f>
        <v>325707.83000000002</v>
      </c>
      <c r="I27" s="146">
        <f>SUMIF('2025 AC'!$B$3:$B$250,"*"&amp;$D27&amp;"*",'2025 AC'!G$3:G$250)</f>
        <v>352409.25</v>
      </c>
      <c r="J27" s="146">
        <f>SUMIF('2025 AC'!$B$3:$B$250,"*"&amp;$D27&amp;"*",'2025 AC'!H$3:H$250)</f>
        <v>336619.46000000002</v>
      </c>
      <c r="K27" s="146">
        <f>SUMIF('2025 AC'!$B$3:$B$250,"*"&amp;$D27&amp;"*",'2025 AC'!I$3:I$250)</f>
        <v>329009.53999999998</v>
      </c>
      <c r="L27" s="146">
        <f>SUMIF('2025 AC'!$B$3:$B$250,"*"&amp;$D27&amp;"*",'2025 AC'!J$3:J$250)</f>
        <v>369440.70000000001</v>
      </c>
      <c r="M27" s="146">
        <f>SUMIF('2025 AC'!$B$3:$B$250,"*"&amp;$D27&amp;"*",'2025 AC'!K$3:K$250)</f>
        <v>352696.31</v>
      </c>
      <c r="N27" s="146">
        <f>SUMIF('2025 AC'!$B$3:$B$250,"*"&amp;$D27&amp;"*",'2025 AC'!L$3:L$250)</f>
        <v>249048.85999999999</v>
      </c>
      <c r="O27" s="146">
        <f>SUMIF('2025 AC'!$B$3:$B$250,"*"&amp;$D27&amp;"*",'2025 AC'!M$3:M$250)</f>
        <v>279273.64000000001</v>
      </c>
      <c r="P27" s="146">
        <f>SUMIF('2025 AC'!$B$3:$B$250,"*"&amp;$D27&amp;"*",'2025 AC'!N$3:N$250)</f>
        <v>474032.84000000003</v>
      </c>
      <c r="Q27" s="149">
        <f t="shared" si="316"/>
        <v>4083023.96</v>
      </c>
      <c r="R27" s="147">
        <f t="shared" si="303"/>
        <v>1014785.53</v>
      </c>
      <c r="S27" s="147">
        <f t="shared" si="304"/>
        <v>1014736.54</v>
      </c>
      <c r="T27" s="147">
        <f t="shared" si="305"/>
        <v>1051146.55</v>
      </c>
      <c r="U27" s="147">
        <f t="shared" si="306"/>
        <v>1002355.3400000001</v>
      </c>
      <c r="V27" s="148">
        <f t="shared" si="307"/>
        <v>4083023.96</v>
      </c>
    </row>
    <row r="28" ht="15" customHeight="1" outlineLevel="1">
      <c r="A28" t="s">
        <v>39</v>
      </c>
      <c r="B28" t="s">
        <v>40</v>
      </c>
      <c r="C28" s="150" t="s">
        <v>41</v>
      </c>
      <c r="D28" s="35" t="s">
        <v>40</v>
      </c>
      <c r="E28" s="63">
        <f>SUMIF('2025 AC'!$B$3:$B$250,"*"&amp;$D28&amp;"*",'2025 AC'!C$3:C$250)</f>
        <v>36556.07</v>
      </c>
      <c r="F28" s="53">
        <f>SUMIF('2025 AC'!$B$3:$B$250,"*"&amp;$D28&amp;"*",'2025 AC'!D$3:D$250)</f>
        <v>37009.269999999997</v>
      </c>
      <c r="G28" s="53">
        <f>SUMIF('2025 AC'!$B$3:$B$250,"*"&amp;$D28&amp;"*",'2025 AC'!E$3:E$250)</f>
        <v>48692.769999999997</v>
      </c>
      <c r="H28" s="53">
        <f>SUMIF('2025 AC'!$B$3:$B$250,"*"&amp;$D28&amp;"*",'2025 AC'!F$3:F$250)</f>
        <v>52694.699999999997</v>
      </c>
      <c r="I28" s="53">
        <f>SUMIF('2025 AC'!$B$3:$B$250,"*"&amp;$D28&amp;"*",'2025 AC'!G$3:G$250)</f>
        <v>43708.690000000002</v>
      </c>
      <c r="J28" s="53">
        <f>SUMIF('2025 AC'!$B$3:$B$250,"*"&amp;$D28&amp;"*",'2025 AC'!H$3:H$250)</f>
        <v>56019.32</v>
      </c>
      <c r="K28" s="53">
        <f>SUMIF('2025 AC'!$B$3:$B$250,"*"&amp;$D28&amp;"*",'2025 AC'!I$3:I$250)</f>
        <v>55221.529999999999</v>
      </c>
      <c r="L28" s="53">
        <f>SUMIF('2025 AC'!$B$3:$B$250,"*"&amp;$D28&amp;"*",'2025 AC'!J$3:J$250)</f>
        <v>42610.839999999997</v>
      </c>
      <c r="M28" s="53">
        <f>SUMIF('2025 AC'!$B$3:$B$250,"*"&amp;$D28&amp;"*",'2025 AC'!K$3:K$250)</f>
        <v>43375.410000000003</v>
      </c>
      <c r="N28" s="53">
        <f>SUMIF('2025 AC'!$B$3:$B$250,"*"&amp;$D28&amp;"*",'2025 AC'!L$3:L$250)</f>
        <v>36229.529999999999</v>
      </c>
      <c r="O28" s="53">
        <f>SUMIF('2025 AC'!$B$3:$B$250,"*"&amp;$D28&amp;"*",'2025 AC'!M$3:M$250)</f>
        <v>33449.879999999997</v>
      </c>
      <c r="P28" s="53">
        <f>SUMIF('2025 AC'!$B$3:$B$250,"*"&amp;$D28&amp;"*",'2025 AC'!N$3:N$250)</f>
        <v>48222.760000000002</v>
      </c>
      <c r="Q28" s="94">
        <f t="shared" si="316"/>
        <v>533790.77000000002</v>
      </c>
      <c r="R28" s="93">
        <f t="shared" si="303"/>
        <v>122258.10999999999</v>
      </c>
      <c r="S28" s="93">
        <f t="shared" si="304"/>
        <v>152422.70999999999</v>
      </c>
      <c r="T28" s="93">
        <f t="shared" si="305"/>
        <v>141207.78</v>
      </c>
      <c r="U28" s="93">
        <f t="shared" si="306"/>
        <v>117902.17000000001</v>
      </c>
      <c r="V28" s="92">
        <f t="shared" si="307"/>
        <v>533790.77000000002</v>
      </c>
    </row>
    <row r="29" ht="15" customHeight="1" outlineLevel="1">
      <c r="A29" t="s">
        <v>42</v>
      </c>
      <c r="B29" t="s">
        <v>43</v>
      </c>
      <c r="C29" s="150" t="s">
        <v>44</v>
      </c>
      <c r="D29" s="35" t="s">
        <v>43</v>
      </c>
      <c r="E29" s="63">
        <f>SUMIF('2025 AC'!$B$3:$B$250,"*"&amp;$D29&amp;"*",'2025 AC'!C$3:C$250)</f>
        <v>339450.79999999999</v>
      </c>
      <c r="F29" s="53">
        <f>SUMIF('2025 AC'!$B$3:$B$250,"*"&amp;$D29&amp;"*",'2025 AC'!D$3:D$250)</f>
        <v>324160.5</v>
      </c>
      <c r="G29" s="53">
        <f>SUMIF('2025 AC'!$B$3:$B$250,"*"&amp;$D29&amp;"*",'2025 AC'!E$3:E$250)</f>
        <v>201673.37</v>
      </c>
      <c r="H29" s="53">
        <f>SUMIF('2025 AC'!$B$3:$B$250,"*"&amp;$D29&amp;"*",'2025 AC'!F$3:F$250)</f>
        <v>260267.53</v>
      </c>
      <c r="I29" s="53">
        <f>SUMIF('2025 AC'!$B$3:$B$250,"*"&amp;$D29&amp;"*",'2025 AC'!G$3:G$250)</f>
        <v>290889.39000000001</v>
      </c>
      <c r="J29" s="53">
        <f>SUMIF('2025 AC'!$B$3:$B$250,"*"&amp;$D29&amp;"*",'2025 AC'!H$3:H$250)</f>
        <v>266352.17999999999</v>
      </c>
      <c r="K29" s="53">
        <f>SUMIF('2025 AC'!$B$3:$B$250,"*"&amp;$D29&amp;"*",'2025 AC'!I$3:I$250)</f>
        <v>257531.70000000001</v>
      </c>
      <c r="L29" s="53">
        <f>SUMIF('2025 AC'!$B$3:$B$250,"*"&amp;$D29&amp;"*",'2025 AC'!J$3:J$250)</f>
        <v>310536.85999999999</v>
      </c>
      <c r="M29" s="53">
        <f>SUMIF('2025 AC'!$B$3:$B$250,"*"&amp;$D29&amp;"*",'2025 AC'!K$3:K$250)</f>
        <v>290099.95000000001</v>
      </c>
      <c r="N29" s="53">
        <f>SUMIF('2025 AC'!$B$3:$B$250,"*"&amp;$D29&amp;"*",'2025 AC'!L$3:L$250)</f>
        <v>202756.70999999999</v>
      </c>
      <c r="O29" s="53">
        <f>SUMIF('2025 AC'!$B$3:$B$250,"*"&amp;$D29&amp;"*",'2025 AC'!M$3:M$250)</f>
        <v>228517.85999999999</v>
      </c>
      <c r="P29" s="53">
        <f>SUMIF('2025 AC'!$B$3:$B$250,"*"&amp;$D29&amp;"*",'2025 AC'!N$3:N$250)</f>
        <v>412604.83000000002</v>
      </c>
      <c r="Q29" s="94">
        <f t="shared" si="316"/>
        <v>3384841.6799999997</v>
      </c>
      <c r="R29" s="93">
        <f t="shared" si="303"/>
        <v>865284.67000000004</v>
      </c>
      <c r="S29" s="93">
        <f t="shared" si="304"/>
        <v>817509.10000000009</v>
      </c>
      <c r="T29" s="93">
        <f t="shared" si="305"/>
        <v>858168.51000000001</v>
      </c>
      <c r="U29" s="93">
        <f t="shared" si="306"/>
        <v>843879.39999999991</v>
      </c>
      <c r="V29" s="92">
        <f t="shared" si="307"/>
        <v>3384841.6800000002</v>
      </c>
    </row>
    <row r="30" ht="15" customHeight="1" outlineLevel="1">
      <c r="A30" t="s">
        <v>45</v>
      </c>
      <c r="B30" t="s">
        <v>46</v>
      </c>
      <c r="C30" s="34" t="s">
        <v>47</v>
      </c>
      <c r="D30" s="35" t="s">
        <v>46</v>
      </c>
      <c r="E30" s="63">
        <f>SUMIF('2025 AC'!$B$3:$B$250,"*"&amp;$D30&amp;"*",'2025 AC'!C$3:C$250)</f>
        <v>0</v>
      </c>
      <c r="F30" s="53">
        <f>SUMIF('2025 AC'!$B$3:$B$250,"*"&amp;$D30&amp;"*",'2025 AC'!D$3:D$250)</f>
        <v>0</v>
      </c>
      <c r="G30" s="53">
        <f>SUMIF('2025 AC'!$B$3:$B$250,"*"&amp;$D30&amp;"*",'2025 AC'!E$3:E$250)</f>
        <v>0</v>
      </c>
      <c r="H30" s="53">
        <f>SUMIF('2025 AC'!$B$3:$B$250,"*"&amp;$D30&amp;"*",'2025 AC'!F$3:F$250)</f>
        <v>0</v>
      </c>
      <c r="I30" s="53">
        <f>SUMIF('2025 AC'!$B$3:$B$250,"*"&amp;$D30&amp;"*",'2025 AC'!G$3:G$250)</f>
        <v>0</v>
      </c>
      <c r="J30" s="53">
        <f>SUMIF('2025 AC'!$B$3:$B$250,"*"&amp;$D30&amp;"*",'2025 AC'!H$3:H$250)</f>
        <v>0</v>
      </c>
      <c r="K30" s="53">
        <f>SUMIF('2025 AC'!$B$3:$B$250,"*"&amp;$D30&amp;"*",'2025 AC'!I$3:I$250)</f>
        <v>779.66999999999996</v>
      </c>
      <c r="L30" s="53">
        <f>SUMIF('2025 AC'!$B$3:$B$250,"*"&amp;$D30&amp;"*",'2025 AC'!J$3:J$250)</f>
        <v>1432.22</v>
      </c>
      <c r="M30" s="53">
        <f>SUMIF('2025 AC'!$B$3:$B$250,"*"&amp;$D30&amp;"*",'2025 AC'!K$3:K$250)</f>
        <v>1000.03</v>
      </c>
      <c r="N30" s="53">
        <f>SUMIF('2025 AC'!$B$3:$B$250,"*"&amp;$D30&amp;"*",'2025 AC'!L$3:L$250)</f>
        <v>453.41000000000003</v>
      </c>
      <c r="O30" s="53">
        <f>SUMIF('2025 AC'!$B$3:$B$250,"*"&amp;$D30&amp;"*",'2025 AC'!M$3:M$250)</f>
        <v>995.76999999999998</v>
      </c>
      <c r="P30" s="53">
        <f>SUMIF('2025 AC'!$B$3:$B$250,"*"&amp;$D30&amp;"*",'2025 AC'!N$3:N$250)</f>
        <v>1258.54</v>
      </c>
      <c r="Q30" s="94">
        <f t="shared" si="316"/>
        <v>5919.6400000000003</v>
      </c>
      <c r="R30" s="93">
        <f t="shared" si="303"/>
        <v>0</v>
      </c>
      <c r="S30" s="93">
        <f t="shared" si="304"/>
        <v>0</v>
      </c>
      <c r="T30" s="93">
        <f t="shared" si="305"/>
        <v>3211.9200000000001</v>
      </c>
      <c r="U30" s="93">
        <f t="shared" si="306"/>
        <v>2707.7200000000003</v>
      </c>
      <c r="V30" s="92">
        <f t="shared" si="307"/>
        <v>5919.6400000000003</v>
      </c>
    </row>
    <row r="31" ht="15" customHeight="1" outlineLevel="1">
      <c r="A31" t="s">
        <v>48</v>
      </c>
      <c r="B31" t="s">
        <v>49</v>
      </c>
      <c r="C31" s="150" t="s">
        <v>50</v>
      </c>
      <c r="D31" s="35" t="s">
        <v>49</v>
      </c>
      <c r="E31" s="63">
        <f>SUMIF('2025 AC'!$B$3:$B$250,"*"&amp;$D31&amp;"*",'2025 AC'!C$3:C$250)</f>
        <v>0</v>
      </c>
      <c r="F31" s="53">
        <f>SUMIF('2025 AC'!$B$3:$B$250,"*"&amp;$D31&amp;"*",'2025 AC'!D$3:D$250)</f>
        <v>0</v>
      </c>
      <c r="G31" s="53">
        <f>SUMIF('2025 AC'!$B$3:$B$250,"*"&amp;$D31&amp;"*",'2025 AC'!E$3:E$250)</f>
        <v>0</v>
      </c>
      <c r="H31" s="53">
        <f>SUMIF('2025 AC'!$B$3:$B$250,"*"&amp;$D31&amp;"*",'2025 AC'!F$3:F$250)</f>
        <v>72.040000000000006</v>
      </c>
      <c r="I31" s="53">
        <f>SUMIF('2025 AC'!$B$3:$B$250,"*"&amp;$D31&amp;"*",'2025 AC'!G$3:G$250)</f>
        <v>36.530000000000001</v>
      </c>
      <c r="J31" s="53">
        <f>SUMIF('2025 AC'!$B$3:$B$250,"*"&amp;$D31&amp;"*",'2025 AC'!H$3:H$250)</f>
        <v>0</v>
      </c>
      <c r="K31" s="53">
        <f>SUMIF('2025 AC'!$B$3:$B$250,"*"&amp;$D31&amp;"*",'2025 AC'!I$3:I$250)</f>
        <v>0</v>
      </c>
      <c r="L31" s="53">
        <f>SUMIF('2025 AC'!$B$3:$B$250,"*"&amp;$D31&amp;"*",'2025 AC'!J$3:J$250)</f>
        <v>142.08000000000001</v>
      </c>
      <c r="M31" s="53">
        <f>SUMIF('2025 AC'!$B$3:$B$250,"*"&amp;$D31&amp;"*",'2025 AC'!K$3:K$250)</f>
        <v>124.48999999999999</v>
      </c>
      <c r="N31" s="53">
        <f>SUMIF('2025 AC'!$B$3:$B$250,"*"&amp;$D31&amp;"*",'2025 AC'!L$3:L$250)</f>
        <v>0</v>
      </c>
      <c r="O31" s="53">
        <f>SUMIF('2025 AC'!$B$3:$B$250,"*"&amp;$D31&amp;"*",'2025 AC'!M$3:M$250)</f>
        <v>46.530000000000001</v>
      </c>
      <c r="P31" s="53">
        <f>SUMIF('2025 AC'!$B$3:$B$250,"*"&amp;$D31&amp;"*",'2025 AC'!N$3:N$250)</f>
        <v>0</v>
      </c>
      <c r="Q31" s="94">
        <f t="shared" si="316"/>
        <v>421.67000000000007</v>
      </c>
      <c r="R31" s="93">
        <f t="shared" si="303"/>
        <v>0</v>
      </c>
      <c r="S31" s="93">
        <f t="shared" si="304"/>
        <v>108.57000000000001</v>
      </c>
      <c r="T31" s="93">
        <f t="shared" si="305"/>
        <v>266.56999999999999</v>
      </c>
      <c r="U31" s="93">
        <f t="shared" si="306"/>
        <v>46.530000000000001</v>
      </c>
      <c r="V31" s="92">
        <f t="shared" si="307"/>
        <v>421.66999999999996</v>
      </c>
    </row>
    <row r="32" ht="15" customHeight="1" outlineLevel="1">
      <c r="A32" t="s">
        <v>51</v>
      </c>
      <c r="B32" t="s">
        <v>52</v>
      </c>
      <c r="C32" s="150" t="s">
        <v>53</v>
      </c>
      <c r="D32" s="35" t="s">
        <v>52</v>
      </c>
      <c r="E32" s="63">
        <f>SUMIF('2025 AC'!$B$3:$B$250,"*"&amp;$D32&amp;"*",'2025 AC'!C$3:C$250)</f>
        <v>0</v>
      </c>
      <c r="F32" s="53">
        <f>SUMIF('2025 AC'!$B$3:$B$250,"*"&amp;$D32&amp;"*",'2025 AC'!D$3:D$250)</f>
        <v>0</v>
      </c>
      <c r="G32" s="53">
        <f>SUMIF('2025 AC'!$B$3:$B$250,"*"&amp;$D32&amp;"*",'2025 AC'!E$3:E$250)</f>
        <v>0</v>
      </c>
      <c r="H32" s="53">
        <f>SUMIF('2025 AC'!$B$3:$B$250,"*"&amp;$D32&amp;"*",'2025 AC'!F$3:F$250)</f>
        <v>0</v>
      </c>
      <c r="I32" s="53">
        <f>SUMIF('2025 AC'!$B$3:$B$250,"*"&amp;$D32&amp;"*",'2025 AC'!G$3:G$250)</f>
        <v>0</v>
      </c>
      <c r="J32" s="53">
        <f>SUMIF('2025 AC'!$B$3:$B$250,"*"&amp;$D32&amp;"*",'2025 AC'!H$3:H$250)</f>
        <v>0</v>
      </c>
      <c r="K32" s="53">
        <f>SUMIF('2025 AC'!$B$3:$B$250,"*"&amp;$D32&amp;"*",'2025 AC'!I$3:I$250)</f>
        <v>0</v>
      </c>
      <c r="L32" s="53">
        <f>SUMIF('2025 AC'!$B$3:$B$250,"*"&amp;$D32&amp;"*",'2025 AC'!J$3:J$250)</f>
        <v>0</v>
      </c>
      <c r="M32" s="53">
        <f>SUMIF('2025 AC'!$B$3:$B$250,"*"&amp;$D32&amp;"*",'2025 AC'!K$3:K$250)</f>
        <v>0</v>
      </c>
      <c r="N32" s="53">
        <f>SUMIF('2025 AC'!$B$3:$B$250,"*"&amp;$D32&amp;"*",'2025 AC'!L$3:L$250)</f>
        <v>0</v>
      </c>
      <c r="O32" s="53">
        <f>SUMIF('2025 AC'!$B$3:$B$250,"*"&amp;$D32&amp;"*",'2025 AC'!M$3:M$250)</f>
        <v>0</v>
      </c>
      <c r="P32" s="53">
        <f>SUMIF('2025 AC'!$B$3:$B$250,"*"&amp;$D32&amp;"*",'2025 AC'!N$3:N$250)</f>
        <v>0</v>
      </c>
      <c r="Q32" s="94">
        <f t="shared" si="316"/>
        <v>0</v>
      </c>
      <c r="R32" s="93">
        <f t="shared" si="303"/>
        <v>0</v>
      </c>
      <c r="S32" s="93">
        <f t="shared" si="304"/>
        <v>0</v>
      </c>
      <c r="T32" s="93">
        <f t="shared" si="305"/>
        <v>0</v>
      </c>
      <c r="U32" s="93">
        <f t="shared" si="306"/>
        <v>0</v>
      </c>
      <c r="V32" s="92">
        <f t="shared" si="307"/>
        <v>0</v>
      </c>
    </row>
    <row r="33" ht="15" customHeight="1" outlineLevel="1">
      <c r="A33" t="s">
        <v>54</v>
      </c>
      <c r="B33" t="s">
        <v>55</v>
      </c>
      <c r="C33" s="150" t="s">
        <v>56</v>
      </c>
      <c r="D33" s="35" t="s">
        <v>55</v>
      </c>
      <c r="E33" s="63">
        <f>SUMIF('2025 AC'!$B$3:$B$250,"*"&amp;$D33&amp;"*",'2025 AC'!C$3:C$250)</f>
        <v>0</v>
      </c>
      <c r="F33" s="53">
        <f>SUMIF('2025 AC'!$B$3:$B$250,"*"&amp;$D33&amp;"*",'2025 AC'!D$3:D$250)</f>
        <v>0</v>
      </c>
      <c r="G33" s="53">
        <f>SUMIF('2025 AC'!$B$3:$B$250,"*"&amp;$D33&amp;"*",'2025 AC'!E$3:E$250)</f>
        <v>0</v>
      </c>
      <c r="H33" s="53">
        <f>SUMIF('2025 AC'!$B$3:$B$250,"*"&amp;$D33&amp;"*",'2025 AC'!F$3:F$250)</f>
        <v>0</v>
      </c>
      <c r="I33" s="53">
        <f>SUMIF('2025 AC'!$B$3:$B$250,"*"&amp;$D33&amp;"*",'2025 AC'!G$3:G$250)</f>
        <v>0</v>
      </c>
      <c r="J33" s="53">
        <f>SUMIF('2025 AC'!$B$3:$B$250,"*"&amp;$D33&amp;"*",'2025 AC'!H$3:H$250)</f>
        <v>0</v>
      </c>
      <c r="K33" s="53">
        <f>SUMIF('2025 AC'!$B$3:$B$250,"*"&amp;$D33&amp;"*",'2025 AC'!I$3:I$250)</f>
        <v>42.369999999999997</v>
      </c>
      <c r="L33" s="53">
        <f>SUMIF('2025 AC'!$B$3:$B$250,"*"&amp;$D33&amp;"*",'2025 AC'!J$3:J$250)</f>
        <v>42.369999999999997</v>
      </c>
      <c r="M33" s="53">
        <f>SUMIF('2025 AC'!$B$3:$B$250,"*"&amp;$D33&amp;"*",'2025 AC'!K$3:K$250)</f>
        <v>177.97</v>
      </c>
      <c r="N33" s="53">
        <f>SUMIF('2025 AC'!$B$3:$B$250,"*"&amp;$D33&amp;"*",'2025 AC'!L$3:L$250)</f>
        <v>16.949999999999999</v>
      </c>
      <c r="O33" s="53">
        <f>SUMIF('2025 AC'!$B$3:$B$250,"*"&amp;$D33&amp;"*",'2025 AC'!M$3:M$250)</f>
        <v>0</v>
      </c>
      <c r="P33" s="53">
        <f>SUMIF('2025 AC'!$B$3:$B$250,"*"&amp;$D33&amp;"*",'2025 AC'!N$3:N$250)</f>
        <v>0</v>
      </c>
      <c r="Q33" s="94">
        <f t="shared" si="316"/>
        <v>279.65999999999997</v>
      </c>
      <c r="R33" s="93">
        <f t="shared" si="303"/>
        <v>0</v>
      </c>
      <c r="S33" s="93">
        <f t="shared" si="304"/>
        <v>0</v>
      </c>
      <c r="T33" s="93">
        <f t="shared" si="305"/>
        <v>262.70999999999998</v>
      </c>
      <c r="U33" s="93">
        <f t="shared" si="306"/>
        <v>16.949999999999999</v>
      </c>
      <c r="V33" s="92">
        <f t="shared" si="307"/>
        <v>279.65999999999997</v>
      </c>
    </row>
    <row r="34" ht="15" customHeight="1" outlineLevel="1">
      <c r="A34" t="s">
        <v>57</v>
      </c>
      <c r="B34" t="s">
        <v>58</v>
      </c>
      <c r="C34" s="150" t="s">
        <v>59</v>
      </c>
      <c r="D34" s="35" t="s">
        <v>58</v>
      </c>
      <c r="E34" s="63">
        <f>SUMIF('2025 AC'!$B$3:$B$250,"*"&amp;$D34&amp;"*",'2025 AC'!C$3:C$250)</f>
        <v>0</v>
      </c>
      <c r="F34" s="53">
        <f>SUMIF('2025 AC'!$B$3:$B$250,"*"&amp;$D34&amp;"*",'2025 AC'!D$3:D$250)</f>
        <v>0</v>
      </c>
      <c r="G34" s="53">
        <f>SUMIF('2025 AC'!$B$3:$B$250,"*"&amp;$D34&amp;"*",'2025 AC'!E$3:E$250)</f>
        <v>0</v>
      </c>
      <c r="H34" s="53">
        <f>SUMIF('2025 AC'!$B$3:$B$250,"*"&amp;$D34&amp;"*",'2025 AC'!F$3:F$250)</f>
        <v>0</v>
      </c>
      <c r="I34" s="53">
        <f>SUMIF('2025 AC'!$B$3:$B$250,"*"&amp;$D34&amp;"*",'2025 AC'!G$3:G$250)</f>
        <v>0</v>
      </c>
      <c r="J34" s="53">
        <f>SUMIF('2025 AC'!$B$3:$B$250,"*"&amp;$D34&amp;"*",'2025 AC'!H$3:H$250)</f>
        <v>0</v>
      </c>
      <c r="K34" s="53">
        <f>SUMIF('2025 AC'!$B$3:$B$250,"*"&amp;$D34&amp;"*",'2025 AC'!I$3:I$250)</f>
        <v>0</v>
      </c>
      <c r="L34" s="53">
        <f>SUMIF('2025 AC'!$B$3:$B$250,"*"&amp;$D34&amp;"*",'2025 AC'!J$3:J$250)</f>
        <v>0</v>
      </c>
      <c r="M34" s="53">
        <f>SUMIF('2025 AC'!$B$3:$B$250,"*"&amp;$D34&amp;"*",'2025 AC'!K$3:K$250)</f>
        <v>0</v>
      </c>
      <c r="N34" s="53">
        <f>SUMIF('2025 AC'!$B$3:$B$250,"*"&amp;$D34&amp;"*",'2025 AC'!L$3:L$250)</f>
        <v>0</v>
      </c>
      <c r="O34" s="53">
        <f>SUMIF('2025 AC'!$B$3:$B$250,"*"&amp;$D34&amp;"*",'2025 AC'!M$3:M$250)</f>
        <v>0</v>
      </c>
      <c r="P34" s="53">
        <f>SUMIF('2025 AC'!$B$3:$B$250,"*"&amp;$D34&amp;"*",'2025 AC'!N$3:N$250)</f>
        <v>0</v>
      </c>
      <c r="Q34" s="94">
        <f t="shared" si="316"/>
        <v>0</v>
      </c>
      <c r="R34" s="93">
        <f t="shared" si="303"/>
        <v>0</v>
      </c>
      <c r="S34" s="93">
        <f t="shared" si="304"/>
        <v>0</v>
      </c>
      <c r="T34" s="93">
        <f t="shared" si="305"/>
        <v>0</v>
      </c>
      <c r="U34" s="93">
        <f t="shared" si="306"/>
        <v>0</v>
      </c>
      <c r="V34" s="92">
        <f t="shared" si="307"/>
        <v>0</v>
      </c>
    </row>
    <row r="35" ht="15" customHeight="1" outlineLevel="1">
      <c r="A35" t="s">
        <v>60</v>
      </c>
      <c r="B35" t="s">
        <v>61</v>
      </c>
      <c r="C35" s="150" t="s">
        <v>62</v>
      </c>
      <c r="D35" s="35" t="s">
        <v>61</v>
      </c>
      <c r="E35" s="63">
        <f>SUMIF('2025 AC'!$B$3:$B$250,"*"&amp;$D35&amp;"*",'2025 AC'!C$3:C$250)</f>
        <v>8.6500000000000004</v>
      </c>
      <c r="F35" s="53">
        <f>SUMIF('2025 AC'!$B$3:$B$250,"*"&amp;$D35&amp;"*",'2025 AC'!D$3:D$250)</f>
        <v>50.840000000000003</v>
      </c>
      <c r="G35" s="53">
        <f>SUMIF('2025 AC'!$B$3:$B$250,"*"&amp;$D35&amp;"*",'2025 AC'!E$3:E$250)</f>
        <v>0</v>
      </c>
      <c r="H35" s="53">
        <f>SUMIF('2025 AC'!$B$3:$B$250,"*"&amp;$D35&amp;"*",'2025 AC'!F$3:F$250)</f>
        <v>0</v>
      </c>
      <c r="I35" s="53">
        <f>SUMIF('2025 AC'!$B$3:$B$250,"*"&amp;$D35&amp;"*",'2025 AC'!G$3:G$250)</f>
        <v>341.69</v>
      </c>
      <c r="J35" s="53">
        <f>SUMIF('2025 AC'!$B$3:$B$250,"*"&amp;$D35&amp;"*",'2025 AC'!H$3:H$250)</f>
        <v>275.07999999999998</v>
      </c>
      <c r="K35" s="53">
        <f>SUMIF('2025 AC'!$B$3:$B$250,"*"&amp;$D35&amp;"*",'2025 AC'!I$3:I$250)</f>
        <v>121.53</v>
      </c>
      <c r="L35" s="53">
        <f>SUMIF('2025 AC'!$B$3:$B$250,"*"&amp;$D35&amp;"*",'2025 AC'!J$3:J$250)</f>
        <v>169.5</v>
      </c>
      <c r="M35" s="53">
        <f>SUMIF('2025 AC'!$B$3:$B$250,"*"&amp;$D35&amp;"*",'2025 AC'!K$3:K$250)</f>
        <v>0</v>
      </c>
      <c r="N35" s="53">
        <f>SUMIF('2025 AC'!$B$3:$B$250,"*"&amp;$D35&amp;"*",'2025 AC'!L$3:L$250)</f>
        <v>0</v>
      </c>
      <c r="O35" s="53">
        <f>SUMIF('2025 AC'!$B$3:$B$250,"*"&amp;$D35&amp;"*",'2025 AC'!M$3:M$250)</f>
        <v>0</v>
      </c>
      <c r="P35" s="53">
        <f>SUMIF('2025 AC'!$B$3:$B$250,"*"&amp;$D35&amp;"*",'2025 AC'!N$3:N$250)</f>
        <v>0</v>
      </c>
      <c r="Q35" s="94">
        <f t="shared" si="316"/>
        <v>967.28999999999996</v>
      </c>
      <c r="R35" s="93">
        <f t="shared" si="303"/>
        <v>59.490000000000002</v>
      </c>
      <c r="S35" s="93">
        <f t="shared" si="304"/>
        <v>616.76999999999998</v>
      </c>
      <c r="T35" s="93">
        <f t="shared" si="305"/>
        <v>291.02999999999997</v>
      </c>
      <c r="U35" s="93">
        <f t="shared" si="306"/>
        <v>0</v>
      </c>
      <c r="V35" s="92">
        <f t="shared" si="307"/>
        <v>967.28999999999996</v>
      </c>
    </row>
    <row r="36" ht="15" customHeight="1" outlineLevel="1">
      <c r="A36" t="s">
        <v>63</v>
      </c>
      <c r="B36" t="s">
        <v>64</v>
      </c>
      <c r="C36" s="150" t="s">
        <v>65</v>
      </c>
      <c r="D36" s="35" t="s">
        <v>64</v>
      </c>
      <c r="E36" s="63">
        <f>SUMIF('2025 AC'!$B$3:$B$250,"*"&amp;$D36&amp;"*",'2025 AC'!C$3:C$250)</f>
        <v>0</v>
      </c>
      <c r="F36" s="53">
        <f>SUMIF('2025 AC'!$B$3:$B$250,"*"&amp;$D36&amp;"*",'2025 AC'!D$3:D$250)</f>
        <v>0</v>
      </c>
      <c r="G36" s="53">
        <f>SUMIF('2025 AC'!$B$3:$B$250,"*"&amp;$D36&amp;"*",'2025 AC'!E$3:E$250)</f>
        <v>0</v>
      </c>
      <c r="H36" s="53">
        <f>SUMIF('2025 AC'!$B$3:$B$250,"*"&amp;$D36&amp;"*",'2025 AC'!F$3:F$250)</f>
        <v>0</v>
      </c>
      <c r="I36" s="53">
        <f>SUMIF('2025 AC'!$B$3:$B$250,"*"&amp;$D36&amp;"*",'2025 AC'!G$3:G$250)</f>
        <v>0</v>
      </c>
      <c r="J36" s="53">
        <f>SUMIF('2025 AC'!$B$3:$B$250,"*"&amp;$D36&amp;"*",'2025 AC'!H$3:H$250)</f>
        <v>0</v>
      </c>
      <c r="K36" s="53">
        <f>SUMIF('2025 AC'!$B$3:$B$250,"*"&amp;$D36&amp;"*",'2025 AC'!I$3:I$250)</f>
        <v>0</v>
      </c>
      <c r="L36" s="53">
        <f>SUMIF('2025 AC'!$B$3:$B$250,"*"&amp;$D36&amp;"*",'2025 AC'!J$3:J$250)</f>
        <v>0</v>
      </c>
      <c r="M36" s="53">
        <f>SUMIF('2025 AC'!$B$3:$B$250,"*"&amp;$D36&amp;"*",'2025 AC'!K$3:K$250)</f>
        <v>0</v>
      </c>
      <c r="N36" s="53">
        <f>SUMIF('2025 AC'!$B$3:$B$250,"*"&amp;$D36&amp;"*",'2025 AC'!L$3:L$250)</f>
        <v>0</v>
      </c>
      <c r="O36" s="53">
        <f>SUMIF('2025 AC'!$B$3:$B$250,"*"&amp;$D36&amp;"*",'2025 AC'!M$3:M$250)</f>
        <v>0</v>
      </c>
      <c r="P36" s="53">
        <f>SUMIF('2025 AC'!$B$3:$B$250,"*"&amp;$D36&amp;"*",'2025 AC'!N$3:N$250)</f>
        <v>9.1799999999999997</v>
      </c>
      <c r="Q36" s="94">
        <f t="shared" si="316"/>
        <v>9.1799999999999997</v>
      </c>
      <c r="R36" s="93">
        <f t="shared" si="303"/>
        <v>0</v>
      </c>
      <c r="S36" s="93">
        <f t="shared" si="304"/>
        <v>0</v>
      </c>
      <c r="T36" s="93">
        <f t="shared" si="305"/>
        <v>0</v>
      </c>
      <c r="U36" s="93">
        <f t="shared" si="306"/>
        <v>9.1799999999999997</v>
      </c>
      <c r="V36" s="92">
        <f t="shared" si="307"/>
        <v>9.1799999999999997</v>
      </c>
    </row>
    <row r="37" ht="15" customHeight="1" outlineLevel="1">
      <c r="A37" t="s">
        <v>66</v>
      </c>
      <c r="B37" t="s">
        <v>67</v>
      </c>
      <c r="C37" s="150" t="s">
        <v>68</v>
      </c>
      <c r="D37" s="156" t="s">
        <v>67</v>
      </c>
      <c r="E37" s="63">
        <f>SUMIF('2025 AC'!$B$3:$B$250,"*"&amp;$D37&amp;"*",'2025 AC'!C$3:C$250)</f>
        <v>11246.65</v>
      </c>
      <c r="F37" s="53">
        <f>SUMIF('2025 AC'!$B$3:$B$250,"*"&amp;$D37&amp;"*",'2025 AC'!D$3:D$250)</f>
        <v>9087.3400000000001</v>
      </c>
      <c r="G37" s="53">
        <f>SUMIF('2025 AC'!$B$3:$B$250,"*"&amp;$D37&amp;"*",'2025 AC'!E$3:E$250)</f>
        <v>6849.2700000000004</v>
      </c>
      <c r="H37" s="53">
        <f>SUMIF('2025 AC'!$B$3:$B$250,"*"&amp;$D37&amp;"*",'2025 AC'!F$3:F$250)</f>
        <v>12673.559999999999</v>
      </c>
      <c r="I37" s="53">
        <f>SUMIF('2025 AC'!$B$3:$B$250,"*"&amp;$D37&amp;"*",'2025 AC'!G$3:G$250)</f>
        <v>17432.950000000001</v>
      </c>
      <c r="J37" s="53">
        <f>SUMIF('2025 AC'!$B$3:$B$250,"*"&amp;$D37&amp;"*",'2025 AC'!H$3:H$250)</f>
        <v>13972.879999999999</v>
      </c>
      <c r="K37" s="53">
        <f>SUMIF('2025 AC'!$B$3:$B$250,"*"&amp;$D37&amp;"*",'2025 AC'!I$3:I$250)</f>
        <v>15312.74</v>
      </c>
      <c r="L37" s="53">
        <f>SUMIF('2025 AC'!$B$3:$B$250,"*"&amp;$D37&amp;"*",'2025 AC'!J$3:J$250)</f>
        <v>14506.83</v>
      </c>
      <c r="M37" s="53">
        <f>SUMIF('2025 AC'!$B$3:$B$250,"*"&amp;$D37&amp;"*",'2025 AC'!K$3:K$250)</f>
        <v>17918.459999999999</v>
      </c>
      <c r="N37" s="53">
        <f>SUMIF('2025 AC'!$B$3:$B$250,"*"&amp;$D37&amp;"*",'2025 AC'!L$3:L$250)</f>
        <v>9592.2600000000002</v>
      </c>
      <c r="O37" s="53">
        <f>SUMIF('2025 AC'!$B$3:$B$250,"*"&amp;$D37&amp;"*",'2025 AC'!M$3:M$250)</f>
        <v>16263.6</v>
      </c>
      <c r="P37" s="53">
        <f>SUMIF('2025 AC'!$B$3:$B$250,"*"&amp;$D37&amp;"*",'2025 AC'!N$3:N$250)</f>
        <v>11937.530000000001</v>
      </c>
      <c r="Q37" s="94">
        <f t="shared" si="316"/>
        <v>156794.07000000001</v>
      </c>
      <c r="R37" s="93">
        <f t="shared" si="303"/>
        <v>27183.259999999998</v>
      </c>
      <c r="S37" s="93">
        <f t="shared" si="304"/>
        <v>44079.389999999999</v>
      </c>
      <c r="T37" s="93">
        <f t="shared" si="305"/>
        <v>47738.029999999999</v>
      </c>
      <c r="U37" s="93">
        <f t="shared" si="306"/>
        <v>37793.389999999999</v>
      </c>
      <c r="V37" s="92">
        <f t="shared" si="307"/>
        <v>156794.07000000001</v>
      </c>
    </row>
    <row r="38" s="137" customFormat="1">
      <c r="A38" s="137" t="s">
        <v>69</v>
      </c>
      <c r="B38" s="137" t="s">
        <v>70</v>
      </c>
      <c r="C38" s="138" t="s">
        <v>71</v>
      </c>
      <c r="D38" s="139" t="s">
        <v>70</v>
      </c>
      <c r="E38" s="145">
        <f>SUMIF('2025 AC'!$B$3:$B$250,"*"&amp;$D38&amp;"*",'2025 AC'!C$3:C$250)</f>
        <v>11237.620000000001</v>
      </c>
      <c r="F38" s="146">
        <f>SUMIF('2025 AC'!$B$3:$B$250,"*"&amp;$D38&amp;"*",'2025 AC'!D$3:D$250)</f>
        <v>11051.17</v>
      </c>
      <c r="G38" s="146">
        <f>SUMIF('2025 AC'!$B$3:$B$250,"*"&amp;$D38&amp;"*",'2025 AC'!E$3:E$250)</f>
        <v>173283.01999999999</v>
      </c>
      <c r="H38" s="146">
        <f>SUMIF('2025 AC'!$B$3:$B$250,"*"&amp;$D38&amp;"*",'2025 AC'!F$3:F$250)</f>
        <v>22433.860000000001</v>
      </c>
      <c r="I38" s="146">
        <f>SUMIF('2025 AC'!$B$3:$B$250,"*"&amp;$D38&amp;"*",'2025 AC'!G$3:G$250)</f>
        <v>15215.129999999999</v>
      </c>
      <c r="J38" s="146">
        <f>SUMIF('2025 AC'!$B$3:$B$250,"*"&amp;$D38&amp;"*",'2025 AC'!H$3:H$250)</f>
        <v>12236.469999999999</v>
      </c>
      <c r="K38" s="146">
        <f>SUMIF('2025 AC'!$B$3:$B$250,"*"&amp;$D38&amp;"*",'2025 AC'!I$3:I$250)</f>
        <v>13176.76</v>
      </c>
      <c r="L38" s="146">
        <f>SUMIF('2025 AC'!$B$3:$B$250,"*"&amp;$D38&amp;"*",'2025 AC'!J$3:J$250)</f>
        <v>12812.24</v>
      </c>
      <c r="M38" s="146">
        <f>SUMIF('2025 AC'!$B$3:$B$250,"*"&amp;$D38&amp;"*",'2025 AC'!K$3:K$250)</f>
        <v>13000.860000000001</v>
      </c>
      <c r="N38" s="146">
        <f>SUMIF('2025 AC'!$B$3:$B$250,"*"&amp;$D38&amp;"*",'2025 AC'!L$3:L$250)</f>
        <v>10737.98</v>
      </c>
      <c r="O38" s="146">
        <f>SUMIF('2025 AC'!$B$3:$B$250,"*"&amp;$D38&amp;"*",'2025 AC'!M$3:M$250)</f>
        <v>11562.110000000001</v>
      </c>
      <c r="P38" s="146">
        <f>SUMIF('2025 AC'!$B$3:$B$250,"*"&amp;$D38&amp;"*",'2025 AC'!N$3:N$250)</f>
        <v>15761.74</v>
      </c>
      <c r="Q38" s="149">
        <f t="shared" si="316"/>
        <v>322508.95999999996</v>
      </c>
      <c r="R38" s="147">
        <f t="shared" si="303"/>
        <v>195571.81</v>
      </c>
      <c r="S38" s="147">
        <f t="shared" si="304"/>
        <v>49885.459999999999</v>
      </c>
      <c r="T38" s="147">
        <f t="shared" si="305"/>
        <v>38989.860000000001</v>
      </c>
      <c r="U38" s="147">
        <f t="shared" si="306"/>
        <v>38061.830000000002</v>
      </c>
      <c r="V38" s="148">
        <f t="shared" si="307"/>
        <v>322508.96000000002</v>
      </c>
    </row>
    <row r="39" ht="15" customHeight="1" outlineLevel="1">
      <c r="A39" t="s">
        <v>72</v>
      </c>
      <c r="B39" t="s">
        <v>73</v>
      </c>
      <c r="C39" s="34" t="s">
        <v>74</v>
      </c>
      <c r="D39" s="35" t="s">
        <v>73</v>
      </c>
      <c r="E39" s="63">
        <f>SUMIF('2025 AC'!$B$3:$B$250,"*"&amp;$D39&amp;"*",'2025 AC'!C$3:C$250)</f>
        <v>11237.620000000001</v>
      </c>
      <c r="F39" s="53">
        <f>SUMIF('2025 AC'!$B$3:$B$250,"*"&amp;$D39&amp;"*",'2025 AC'!D$3:D$250)</f>
        <v>9051.1700000000001</v>
      </c>
      <c r="G39" s="53">
        <f>SUMIF('2025 AC'!$B$3:$B$250,"*"&amp;$D39&amp;"*",'2025 AC'!E$3:E$250)</f>
        <v>12983.639999999999</v>
      </c>
      <c r="H39" s="53">
        <f>SUMIF('2025 AC'!$B$3:$B$250,"*"&amp;$D39&amp;"*",'2025 AC'!F$3:F$250)</f>
        <v>14924.200000000001</v>
      </c>
      <c r="I39" s="53">
        <f>SUMIF('2025 AC'!$B$3:$B$250,"*"&amp;$D39&amp;"*",'2025 AC'!G$3:G$250)</f>
        <v>12208.059999999999</v>
      </c>
      <c r="J39" s="53">
        <f>SUMIF('2025 AC'!$B$3:$B$250,"*"&amp;$D39&amp;"*",'2025 AC'!H$3:H$250)</f>
        <v>10241.5</v>
      </c>
      <c r="K39" s="53">
        <f>SUMIF('2025 AC'!$B$3:$B$250,"*"&amp;$D39&amp;"*",'2025 AC'!I$3:I$250)</f>
        <v>10898.860000000001</v>
      </c>
      <c r="L39" s="53">
        <f>SUMIF('2025 AC'!$B$3:$B$250,"*"&amp;$D39&amp;"*",'2025 AC'!J$3:J$250)</f>
        <v>8072.3900000000003</v>
      </c>
      <c r="M39" s="53">
        <f>SUMIF('2025 AC'!$B$3:$B$250,"*"&amp;$D39&amp;"*",'2025 AC'!K$3:K$250)</f>
        <v>4767.1400000000003</v>
      </c>
      <c r="N39" s="53">
        <f>SUMIF('2025 AC'!$B$3:$B$250,"*"&amp;$D39&amp;"*",'2025 AC'!L$3:L$250)</f>
        <v>7229.1800000000003</v>
      </c>
      <c r="O39" s="53">
        <f>SUMIF('2025 AC'!$B$3:$B$250,"*"&amp;$D39&amp;"*",'2025 AC'!M$3:M$250)</f>
        <v>7657.1599999999999</v>
      </c>
      <c r="P39" s="53">
        <f>SUMIF('2025 AC'!$B$3:$B$250,"*"&amp;$D39&amp;"*",'2025 AC'!N$3:N$250)</f>
        <v>7502.8400000000001</v>
      </c>
      <c r="Q39" s="94">
        <f t="shared" si="316"/>
        <v>116773.76000000001</v>
      </c>
      <c r="R39" s="93">
        <f t="shared" si="303"/>
        <v>33272.43</v>
      </c>
      <c r="S39" s="93">
        <f t="shared" si="304"/>
        <v>37373.760000000002</v>
      </c>
      <c r="T39" s="93">
        <f t="shared" si="305"/>
        <v>23738.389999999999</v>
      </c>
      <c r="U39" s="93">
        <f t="shared" si="306"/>
        <v>22389.18</v>
      </c>
      <c r="V39" s="92">
        <f t="shared" si="307"/>
        <v>116773.76000000001</v>
      </c>
    </row>
    <row r="40" ht="15" customHeight="1" outlineLevel="1">
      <c r="A40" t="s">
        <v>75</v>
      </c>
      <c r="B40" t="s">
        <v>76</v>
      </c>
      <c r="C40" s="157" t="s">
        <v>77</v>
      </c>
      <c r="D40" s="156" t="s">
        <v>76</v>
      </c>
      <c r="E40" s="63">
        <f>SUMIF('2025 AC'!$B$3:$B$250,"*"&amp;$D40&amp;"*",'2025 AC'!C$3:C$250)</f>
        <v>0</v>
      </c>
      <c r="F40" s="53">
        <f>SUMIF('2025 AC'!$B$3:$B$250,"*"&amp;$D40&amp;"*",'2025 AC'!D$3:D$250)</f>
        <v>0</v>
      </c>
      <c r="G40" s="53">
        <f>SUMIF('2025 AC'!$B$3:$B$250,"*"&amp;$D40&amp;"*",'2025 AC'!E$3:E$250)</f>
        <v>0</v>
      </c>
      <c r="H40" s="53">
        <f>SUMIF('2025 AC'!$B$3:$B$250,"*"&amp;$D40&amp;"*",'2025 AC'!F$3:F$250)</f>
        <v>0</v>
      </c>
      <c r="I40" s="53">
        <f>SUMIF('2025 AC'!$B$3:$B$250,"*"&amp;$D40&amp;"*",'2025 AC'!G$3:G$250)</f>
        <v>0</v>
      </c>
      <c r="J40" s="53">
        <f>SUMIF('2025 AC'!$B$3:$B$250,"*"&amp;$D40&amp;"*",'2025 AC'!H$3:H$250)</f>
        <v>0</v>
      </c>
      <c r="K40" s="53">
        <f>SUMIF('2025 AC'!$B$3:$B$250,"*"&amp;$D40&amp;"*",'2025 AC'!I$3:I$250)</f>
        <v>0</v>
      </c>
      <c r="L40" s="53">
        <f>SUMIF('2025 AC'!$B$3:$B$250,"*"&amp;$D40&amp;"*",'2025 AC'!J$3:J$250)</f>
        <v>0</v>
      </c>
      <c r="M40" s="53">
        <f>SUMIF('2025 AC'!$B$3:$B$250,"*"&amp;$D40&amp;"*",'2025 AC'!K$3:K$250)</f>
        <v>0</v>
      </c>
      <c r="N40" s="53">
        <f>SUMIF('2025 AC'!$B$3:$B$250,"*"&amp;$D40&amp;"*",'2025 AC'!L$3:L$250)</f>
        <v>0</v>
      </c>
      <c r="O40" s="53">
        <f>SUMIF('2025 AC'!$B$3:$B$250,"*"&amp;$D40&amp;"*",'2025 AC'!M$3:M$250)</f>
        <v>0</v>
      </c>
      <c r="P40" s="53">
        <f>SUMIF('2025 AC'!$B$3:$B$250,"*"&amp;$D40&amp;"*",'2025 AC'!N$3:N$250)</f>
        <v>0</v>
      </c>
      <c r="Q40" s="94">
        <f t="shared" si="316"/>
        <v>0</v>
      </c>
      <c r="R40" s="93">
        <f t="shared" si="303"/>
        <v>0</v>
      </c>
      <c r="S40" s="93">
        <f t="shared" si="304"/>
        <v>0</v>
      </c>
      <c r="T40" s="93">
        <f t="shared" si="305"/>
        <v>0</v>
      </c>
      <c r="U40" s="93">
        <f t="shared" si="306"/>
        <v>0</v>
      </c>
      <c r="V40" s="92">
        <f t="shared" si="307"/>
        <v>0</v>
      </c>
    </row>
    <row r="41" ht="15" customHeight="1" outlineLevel="1">
      <c r="A41" t="s">
        <v>78</v>
      </c>
      <c r="B41" t="s">
        <v>79</v>
      </c>
      <c r="C41" s="34" t="s">
        <v>80</v>
      </c>
      <c r="D41" s="35" t="s">
        <v>79</v>
      </c>
      <c r="E41" s="63">
        <f>SUMIF('2025 AC'!$B$3:$B$250,"*"&amp;$D41&amp;"*",'2025 AC'!C$3:C$250)</f>
        <v>0</v>
      </c>
      <c r="F41" s="53">
        <f>SUMIF('2025 AC'!$B$3:$B$250,"*"&amp;$D41&amp;"*",'2025 AC'!D$3:D$250)</f>
        <v>0</v>
      </c>
      <c r="G41" s="53">
        <f>SUMIF('2025 AC'!$B$3:$B$250,"*"&amp;$D41&amp;"*",'2025 AC'!E$3:E$250)</f>
        <v>0</v>
      </c>
      <c r="H41" s="53">
        <f>SUMIF('2025 AC'!$B$3:$B$250,"*"&amp;$D41&amp;"*",'2025 AC'!F$3:F$250)</f>
        <v>0</v>
      </c>
      <c r="I41" s="53">
        <f>SUMIF('2025 AC'!$B$3:$B$250,"*"&amp;$D41&amp;"*",'2025 AC'!G$3:G$250)</f>
        <v>0</v>
      </c>
      <c r="J41" s="53">
        <f>SUMIF('2025 AC'!$B$3:$B$250,"*"&amp;$D41&amp;"*",'2025 AC'!H$3:H$250)</f>
        <v>0</v>
      </c>
      <c r="K41" s="53">
        <f>SUMIF('2025 AC'!$B$3:$B$250,"*"&amp;$D41&amp;"*",'2025 AC'!I$3:I$250)</f>
        <v>0</v>
      </c>
      <c r="L41" s="53">
        <f>SUMIF('2025 AC'!$B$3:$B$250,"*"&amp;$D41&amp;"*",'2025 AC'!J$3:J$250)</f>
        <v>0</v>
      </c>
      <c r="M41" s="53">
        <f>SUMIF('2025 AC'!$B$3:$B$250,"*"&amp;$D41&amp;"*",'2025 AC'!K$3:K$250)</f>
        <v>0</v>
      </c>
      <c r="N41" s="53">
        <f>SUMIF('2025 AC'!$B$3:$B$250,"*"&amp;$D41&amp;"*",'2025 AC'!L$3:L$250)</f>
        <v>0</v>
      </c>
      <c r="O41" s="53">
        <f>SUMIF('2025 AC'!$B$3:$B$250,"*"&amp;$D41&amp;"*",'2025 AC'!M$3:M$250)</f>
        <v>0</v>
      </c>
      <c r="P41" s="53">
        <f>SUMIF('2025 AC'!$B$3:$B$250,"*"&amp;$D41&amp;"*",'2025 AC'!N$3:N$250)</f>
        <v>0</v>
      </c>
      <c r="Q41" s="94">
        <f t="shared" si="316"/>
        <v>0</v>
      </c>
      <c r="R41" s="93">
        <f t="shared" si="303"/>
        <v>0</v>
      </c>
      <c r="S41" s="93">
        <f t="shared" si="304"/>
        <v>0</v>
      </c>
      <c r="T41" s="93">
        <f t="shared" si="305"/>
        <v>0</v>
      </c>
      <c r="U41" s="93">
        <f t="shared" si="306"/>
        <v>0</v>
      </c>
      <c r="V41" s="92">
        <f t="shared" si="307"/>
        <v>0</v>
      </c>
    </row>
    <row r="42" ht="15" customHeight="1" outlineLevel="1">
      <c r="A42" t="s">
        <v>81</v>
      </c>
      <c r="B42" t="s">
        <v>82</v>
      </c>
      <c r="C42" s="34" t="s">
        <v>83</v>
      </c>
      <c r="D42" s="35" t="s">
        <v>82</v>
      </c>
      <c r="E42" s="63">
        <f>SUMIF('2025 AC'!$B$3:$B$250,"*"&amp;$D42&amp;"*",'2025 AC'!C$3:C$250)</f>
        <v>0</v>
      </c>
      <c r="F42" s="53">
        <f>SUMIF('2025 AC'!$B$3:$B$250,"*"&amp;$D42&amp;"*",'2025 AC'!D$3:D$250)</f>
        <v>0</v>
      </c>
      <c r="G42" s="53">
        <f>SUMIF('2025 AC'!$B$3:$B$250,"*"&amp;$D42&amp;"*",'2025 AC'!E$3:E$250)</f>
        <v>0</v>
      </c>
      <c r="H42" s="53">
        <f>SUMIF('2025 AC'!$B$3:$B$250,"*"&amp;$D42&amp;"*",'2025 AC'!F$3:F$250)</f>
        <v>0</v>
      </c>
      <c r="I42" s="53">
        <f>SUMIF('2025 AC'!$B$3:$B$250,"*"&amp;$D42&amp;"*",'2025 AC'!G$3:G$250)</f>
        <v>0</v>
      </c>
      <c r="J42" s="53">
        <f>SUMIF('2025 AC'!$B$3:$B$250,"*"&amp;$D42&amp;"*",'2025 AC'!H$3:H$250)</f>
        <v>0</v>
      </c>
      <c r="K42" s="53">
        <f>SUMIF('2025 AC'!$B$3:$B$250,"*"&amp;$D42&amp;"*",'2025 AC'!I$3:I$250)</f>
        <v>0</v>
      </c>
      <c r="L42" s="53">
        <f>SUMIF('2025 AC'!$B$3:$B$250,"*"&amp;$D42&amp;"*",'2025 AC'!J$3:J$250)</f>
        <v>0</v>
      </c>
      <c r="M42" s="53">
        <f>SUMIF('2025 AC'!$B$3:$B$250,"*"&amp;$D42&amp;"*",'2025 AC'!K$3:K$250)</f>
        <v>0</v>
      </c>
      <c r="N42" s="53">
        <f>SUMIF('2025 AC'!$B$3:$B$250,"*"&amp;$D42&amp;"*",'2025 AC'!L$3:L$250)</f>
        <v>0</v>
      </c>
      <c r="O42" s="53">
        <f>SUMIF('2025 AC'!$B$3:$B$250,"*"&amp;$D42&amp;"*",'2025 AC'!M$3:M$250)</f>
        <v>0</v>
      </c>
      <c r="P42" s="53">
        <f>SUMIF('2025 AC'!$B$3:$B$250,"*"&amp;$D42&amp;"*",'2025 AC'!N$3:N$250)</f>
        <v>0</v>
      </c>
      <c r="Q42" s="94">
        <f t="shared" si="316"/>
        <v>0</v>
      </c>
      <c r="R42" s="93">
        <f t="shared" si="303"/>
        <v>0</v>
      </c>
      <c r="S42" s="93">
        <f t="shared" si="304"/>
        <v>0</v>
      </c>
      <c r="T42" s="93">
        <f t="shared" si="305"/>
        <v>0</v>
      </c>
      <c r="U42" s="93">
        <f t="shared" si="306"/>
        <v>0</v>
      </c>
      <c r="V42" s="92">
        <f t="shared" si="307"/>
        <v>0</v>
      </c>
    </row>
    <row r="43" ht="15" customHeight="1" outlineLevel="1">
      <c r="A43" t="s">
        <v>84</v>
      </c>
      <c r="B43" t="s">
        <v>85</v>
      </c>
      <c r="C43" s="34" t="s">
        <v>86</v>
      </c>
      <c r="D43" s="35" t="s">
        <v>85</v>
      </c>
      <c r="E43" s="63">
        <f>SUMIF('2025 AC'!$B$3:$B$250,"*"&amp;$D43&amp;"*",'2025 AC'!C$3:C$250)</f>
        <v>0</v>
      </c>
      <c r="F43" s="53">
        <f>SUMIF('2025 AC'!$B$3:$B$250,"*"&amp;$D43&amp;"*",'2025 AC'!D$3:D$250)</f>
        <v>2000</v>
      </c>
      <c r="G43" s="53">
        <f>SUMIF('2025 AC'!$B$3:$B$250,"*"&amp;$D43&amp;"*",'2025 AC'!E$3:E$250)</f>
        <v>160299.38</v>
      </c>
      <c r="H43" s="53">
        <f>SUMIF('2025 AC'!$B$3:$B$250,"*"&amp;$D43&amp;"*",'2025 AC'!F$3:F$250)</f>
        <v>7509.6599999999999</v>
      </c>
      <c r="I43" s="53">
        <f>SUMIF('2025 AC'!$B$3:$B$250,"*"&amp;$D43&amp;"*",'2025 AC'!G$3:G$250)</f>
        <v>3007.0700000000002</v>
      </c>
      <c r="J43" s="53">
        <f>SUMIF('2025 AC'!$B$3:$B$250,"*"&amp;$D43&amp;"*",'2025 AC'!H$3:H$250)</f>
        <v>1994.97</v>
      </c>
      <c r="K43" s="53">
        <f>SUMIF('2025 AC'!$B$3:$B$250,"*"&amp;$D43&amp;"*",'2025 AC'!I$3:I$250)</f>
        <v>2277.9000000000001</v>
      </c>
      <c r="L43" s="53">
        <f>SUMIF('2025 AC'!$B$3:$B$250,"*"&amp;$D43&amp;"*",'2025 AC'!J$3:J$250)</f>
        <v>4739.8500000000004</v>
      </c>
      <c r="M43" s="53">
        <f>SUMIF('2025 AC'!$B$3:$B$250,"*"&amp;$D43&amp;"*",'2025 AC'!K$3:K$250)</f>
        <v>8233.7199999999993</v>
      </c>
      <c r="N43" s="53">
        <f>SUMIF('2025 AC'!$B$3:$B$250,"*"&amp;$D43&amp;"*",'2025 AC'!L$3:L$250)</f>
        <v>3508.8000000000002</v>
      </c>
      <c r="O43" s="53">
        <f>SUMIF('2025 AC'!$B$3:$B$250,"*"&amp;$D43&amp;"*",'2025 AC'!M$3:M$250)</f>
        <v>3904.9499999999998</v>
      </c>
      <c r="P43" s="53">
        <f>SUMIF('2025 AC'!$B$3:$B$250,"*"&amp;$D43&amp;"*",'2025 AC'!N$3:N$250)</f>
        <v>8258.8999999999996</v>
      </c>
      <c r="Q43" s="94">
        <f t="shared" si="316"/>
        <v>205735.20000000001</v>
      </c>
      <c r="R43" s="93">
        <f t="shared" si="303"/>
        <v>162299.38</v>
      </c>
      <c r="S43" s="93">
        <f t="shared" si="304"/>
        <v>12511.699999999999</v>
      </c>
      <c r="T43" s="93">
        <f t="shared" si="305"/>
        <v>15251.469999999999</v>
      </c>
      <c r="U43" s="93">
        <f t="shared" si="306"/>
        <v>15672.65</v>
      </c>
      <c r="V43" s="92">
        <f t="shared" si="307"/>
        <v>205735.20000000001</v>
      </c>
    </row>
    <row r="44" ht="15" customHeight="1" outlineLevel="1">
      <c r="A44" t="s">
        <v>87</v>
      </c>
      <c r="B44" t="s">
        <v>88</v>
      </c>
      <c r="C44" s="34" t="s">
        <v>89</v>
      </c>
      <c r="D44" s="156" t="s">
        <v>88</v>
      </c>
      <c r="E44" s="63">
        <f>SUMIF('2025 AC'!$B$3:$B$250,"*"&amp;$D44&amp;"*",'2025 AC'!C$3:C$250)</f>
        <v>0</v>
      </c>
      <c r="F44" s="53">
        <f>SUMIF('2025 AC'!$B$3:$B$250,"*"&amp;$D44&amp;"*",'2025 AC'!D$3:D$250)</f>
        <v>0</v>
      </c>
      <c r="G44" s="53">
        <f>SUMIF('2025 AC'!$B$3:$B$250,"*"&amp;$D44&amp;"*",'2025 AC'!E$3:E$250)</f>
        <v>0</v>
      </c>
      <c r="H44" s="53">
        <f>SUMIF('2025 AC'!$B$3:$B$250,"*"&amp;$D44&amp;"*",'2025 AC'!F$3:F$250)</f>
        <v>0</v>
      </c>
      <c r="I44" s="53">
        <f>SUMIF('2025 AC'!$B$3:$B$250,"*"&amp;$D44&amp;"*",'2025 AC'!G$3:G$250)</f>
        <v>0</v>
      </c>
      <c r="J44" s="53">
        <f>SUMIF('2025 AC'!$B$3:$B$250,"*"&amp;$D44&amp;"*",'2025 AC'!H$3:H$250)</f>
        <v>0</v>
      </c>
      <c r="K44" s="53">
        <f>SUMIF('2025 AC'!$B$3:$B$250,"*"&amp;$D44&amp;"*",'2025 AC'!I$3:I$250)</f>
        <v>0</v>
      </c>
      <c r="L44" s="53">
        <f>SUMIF('2025 AC'!$B$3:$B$250,"*"&amp;$D44&amp;"*",'2025 AC'!J$3:J$250)</f>
        <v>0</v>
      </c>
      <c r="M44" s="53">
        <f>SUMIF('2025 AC'!$B$3:$B$250,"*"&amp;$D44&amp;"*",'2025 AC'!K$3:K$250)</f>
        <v>0</v>
      </c>
      <c r="N44" s="53">
        <f>SUMIF('2025 AC'!$B$3:$B$250,"*"&amp;$D44&amp;"*",'2025 AC'!L$3:L$250)</f>
        <v>0</v>
      </c>
      <c r="O44" s="53">
        <f>SUMIF('2025 AC'!$B$3:$B$250,"*"&amp;$D44&amp;"*",'2025 AC'!M$3:M$250)</f>
        <v>0</v>
      </c>
      <c r="P44" s="53">
        <f>SUMIF('2025 AC'!$B$3:$B$250,"*"&amp;$D44&amp;"*",'2025 AC'!N$3:N$250)</f>
        <v>0</v>
      </c>
      <c r="Q44" s="94">
        <f t="shared" si="316"/>
        <v>0</v>
      </c>
      <c r="R44" s="93">
        <f t="shared" si="303"/>
        <v>0</v>
      </c>
      <c r="S44" s="93">
        <f t="shared" si="304"/>
        <v>0</v>
      </c>
      <c r="T44" s="93">
        <f t="shared" si="305"/>
        <v>0</v>
      </c>
      <c r="U44" s="93">
        <f t="shared" si="306"/>
        <v>0</v>
      </c>
      <c r="V44" s="92">
        <f t="shared" si="307"/>
        <v>0</v>
      </c>
    </row>
    <row r="45" s="137" customFormat="1">
      <c r="A45" s="137" t="s">
        <v>90</v>
      </c>
      <c r="B45" s="137" t="s">
        <v>91</v>
      </c>
      <c r="C45" s="158" t="s">
        <v>92</v>
      </c>
      <c r="D45" s="139" t="s">
        <v>91</v>
      </c>
      <c r="E45" s="145">
        <f>SUMIF('2025 AC'!$B$3:$B$250,"*"&amp;$D45&amp;"*",'2025 AC'!C$3:C$250)</f>
        <v>64669.559999999998</v>
      </c>
      <c r="F45" s="146">
        <f>SUMIF('2025 AC'!$B$3:$B$250,"*"&amp;$D45&amp;"*",'2025 AC'!D$3:D$250)</f>
        <v>44771.239999999998</v>
      </c>
      <c r="G45" s="146">
        <f>SUMIF('2025 AC'!$B$3:$B$250,"*"&amp;$D45&amp;"*",'2025 AC'!E$3:E$250)</f>
        <v>6822.04</v>
      </c>
      <c r="H45" s="146">
        <f>SUMIF('2025 AC'!$B$3:$B$250,"*"&amp;$D45&amp;"*",'2025 AC'!F$3:F$250)</f>
        <v>51250.080000000002</v>
      </c>
      <c r="I45" s="146">
        <f>SUMIF('2025 AC'!$B$3:$B$250,"*"&amp;$D45&amp;"*",'2025 AC'!G$3:G$250)</f>
        <v>118050.13</v>
      </c>
      <c r="J45" s="146">
        <f>SUMIF('2025 AC'!$B$3:$B$250,"*"&amp;$D45&amp;"*",'2025 AC'!H$3:H$250)</f>
        <v>73202.380000000005</v>
      </c>
      <c r="K45" s="146">
        <f>SUMIF('2025 AC'!$B$3:$B$250,"*"&amp;$D45&amp;"*",'2025 AC'!I$3:I$250)</f>
        <v>86079.940000000002</v>
      </c>
      <c r="L45" s="146">
        <f>SUMIF('2025 AC'!$B$3:$B$250,"*"&amp;$D45&amp;"*",'2025 AC'!J$3:J$250)</f>
        <v>92604.25</v>
      </c>
      <c r="M45" s="146">
        <f>SUMIF('2025 AC'!$B$3:$B$250,"*"&amp;$D45&amp;"*",'2025 AC'!K$3:K$250)</f>
        <v>126330.64999999999</v>
      </c>
      <c r="N45" s="146">
        <f>SUMIF('2025 AC'!$B$3:$B$250,"*"&amp;$D45&amp;"*",'2025 AC'!L$3:L$250)</f>
        <v>52014.419999999998</v>
      </c>
      <c r="O45" s="146">
        <f>SUMIF('2025 AC'!$B$3:$B$250,"*"&amp;$D45&amp;"*",'2025 AC'!M$3:M$250)</f>
        <v>120492.47</v>
      </c>
      <c r="P45" s="146">
        <f>SUMIF('2025 AC'!$B$3:$B$250,"*"&amp;$D45&amp;"*",'2025 AC'!N$3:N$250)</f>
        <v>67672.139999999999</v>
      </c>
      <c r="Q45" s="149">
        <f t="shared" si="316"/>
        <v>903959.30000000005</v>
      </c>
      <c r="R45" s="147">
        <f t="shared" si="303"/>
        <v>116262.83999999998</v>
      </c>
      <c r="S45" s="147">
        <f t="shared" si="304"/>
        <v>242502.59000000003</v>
      </c>
      <c r="T45" s="147">
        <f t="shared" si="305"/>
        <v>305014.83999999997</v>
      </c>
      <c r="U45" s="147">
        <f t="shared" si="306"/>
        <v>240179.03000000003</v>
      </c>
      <c r="V45" s="148">
        <f t="shared" si="307"/>
        <v>903959.30000000005</v>
      </c>
    </row>
    <row r="46" outlineLevel="1">
      <c r="A46" t="s">
        <v>93</v>
      </c>
      <c r="B46" t="s">
        <v>94</v>
      </c>
      <c r="C46" s="52" t="s">
        <v>92</v>
      </c>
      <c r="D46" s="35" t="s">
        <v>94</v>
      </c>
      <c r="E46" s="63">
        <f>SUMIF('2025 AC'!$B$3:$B$250,"*"&amp;$D46&amp;"*",'2025 AC'!C$3:C$250)</f>
        <v>64669.559999999998</v>
      </c>
      <c r="F46" s="53">
        <f>SUMIF('2025 AC'!$B$3:$B$250,"*"&amp;$D46&amp;"*",'2025 AC'!D$3:D$250)</f>
        <v>44771.239999999998</v>
      </c>
      <c r="G46" s="53">
        <f>SUMIF('2025 AC'!$B$3:$B$250,"*"&amp;$D46&amp;"*",'2025 AC'!E$3:E$250)</f>
        <v>6822.04</v>
      </c>
      <c r="H46" s="53">
        <f>SUMIF('2025 AC'!$B$3:$B$250,"*"&amp;$D46&amp;"*",'2025 AC'!F$3:F$250)</f>
        <v>51250.080000000002</v>
      </c>
      <c r="I46" s="53">
        <f>SUMIF('2025 AC'!$B$3:$B$250,"*"&amp;$D46&amp;"*",'2025 AC'!G$3:G$250)</f>
        <v>118050.13</v>
      </c>
      <c r="J46" s="53">
        <f>SUMIF('2025 AC'!$B$3:$B$250,"*"&amp;$D46&amp;"*",'2025 AC'!H$3:H$250)</f>
        <v>73202.380000000005</v>
      </c>
      <c r="K46" s="53">
        <f>SUMIF('2025 AC'!$B$3:$B$250,"*"&amp;$D46&amp;"*",'2025 AC'!I$3:I$250)</f>
        <v>86079.940000000002</v>
      </c>
      <c r="L46" s="53">
        <f>SUMIF('2025 AC'!$B$3:$B$250,"*"&amp;$D46&amp;"*",'2025 AC'!J$3:J$250)</f>
        <v>92604.25</v>
      </c>
      <c r="M46" s="53">
        <f>SUMIF('2025 AC'!$B$3:$B$250,"*"&amp;$D46&amp;"*",'2025 AC'!K$3:K$250)</f>
        <v>126330.64999999999</v>
      </c>
      <c r="N46" s="53">
        <f>SUMIF('2025 AC'!$B$3:$B$250,"*"&amp;$D46&amp;"*",'2025 AC'!L$3:L$250)</f>
        <v>52014.419999999998</v>
      </c>
      <c r="O46" s="53">
        <f>SUMIF('2025 AC'!$B$3:$B$250,"*"&amp;$D46&amp;"*",'2025 AC'!M$3:M$250)</f>
        <v>120492.47</v>
      </c>
      <c r="P46" s="53">
        <f>SUMIF('2025 AC'!$B$3:$B$250,"*"&amp;$D46&amp;"*",'2025 AC'!N$3:N$250)</f>
        <v>67672.139999999999</v>
      </c>
      <c r="Q46" s="94">
        <f t="shared" si="316"/>
        <v>903959.30000000005</v>
      </c>
      <c r="R46" s="93">
        <f t="shared" si="303"/>
        <v>116262.83999999998</v>
      </c>
      <c r="S46" s="93">
        <f t="shared" si="304"/>
        <v>242502.59000000003</v>
      </c>
      <c r="T46" s="93">
        <f t="shared" si="305"/>
        <v>305014.83999999997</v>
      </c>
      <c r="U46" s="93">
        <f t="shared" si="306"/>
        <v>240179.03000000003</v>
      </c>
      <c r="V46" s="92">
        <f t="shared" si="307"/>
        <v>903959.30000000005</v>
      </c>
    </row>
    <row r="47" ht="15" customHeight="1" outlineLevel="1">
      <c r="A47" t="s">
        <v>95</v>
      </c>
      <c r="B47" t="s">
        <v>96</v>
      </c>
      <c r="C47" s="52" t="s">
        <v>97</v>
      </c>
      <c r="D47" s="35" t="s">
        <v>98</v>
      </c>
      <c r="E47" s="63">
        <f>SUMIF('2025 AC'!$B$3:$B$250,"*"&amp;$D47&amp;"*",'2025 AC'!C$3:C$250)</f>
        <v>0</v>
      </c>
      <c r="F47" s="53">
        <f>SUMIF('2025 AC'!$B$3:$B$250,"*"&amp;$D47&amp;"*",'2025 AC'!D$3:D$250)</f>
        <v>0</v>
      </c>
      <c r="G47" s="53">
        <f>SUMIF('2025 AC'!$B$3:$B$250,"*"&amp;$D47&amp;"*",'2025 AC'!E$3:E$250)</f>
        <v>0</v>
      </c>
      <c r="H47" s="53">
        <f>SUMIF('2025 AC'!$B$3:$B$250,"*"&amp;$D47&amp;"*",'2025 AC'!F$3:F$250)</f>
        <v>0</v>
      </c>
      <c r="I47" s="53">
        <f>SUMIF('2025 AC'!$B$3:$B$250,"*"&amp;$D47&amp;"*",'2025 AC'!G$3:G$250)</f>
        <v>0</v>
      </c>
      <c r="J47" s="53">
        <f>SUMIF('2025 AC'!$B$3:$B$250,"*"&amp;$D47&amp;"*",'2025 AC'!H$3:H$250)</f>
        <v>0</v>
      </c>
      <c r="K47" s="53">
        <f>SUMIF('2025 AC'!$B$3:$B$250,"*"&amp;$D47&amp;"*",'2025 AC'!I$3:I$250)</f>
        <v>0</v>
      </c>
      <c r="L47" s="53">
        <f>SUMIF('2025 AC'!$B$3:$B$250,"*"&amp;$D47&amp;"*",'2025 AC'!J$3:J$250)</f>
        <v>0</v>
      </c>
      <c r="M47" s="53">
        <f>SUMIF('2025 AC'!$B$3:$B$250,"*"&amp;$D47&amp;"*",'2025 AC'!K$3:K$250)</f>
        <v>0</v>
      </c>
      <c r="N47" s="53">
        <f>SUMIF('2025 AC'!$B$3:$B$250,"*"&amp;$D47&amp;"*",'2025 AC'!L$3:L$250)</f>
        <v>0</v>
      </c>
      <c r="O47" s="53">
        <f>SUMIF('2025 AC'!$B$3:$B$250,"*"&amp;$D47&amp;"*",'2025 AC'!M$3:M$250)</f>
        <v>0</v>
      </c>
      <c r="P47" s="53">
        <f>SUMIF('2025 AC'!$B$3:$B$250,"*"&amp;$D47&amp;"*",'2025 AC'!N$3:N$250)</f>
        <v>0</v>
      </c>
      <c r="Q47" s="94">
        <f t="shared" si="316"/>
        <v>0</v>
      </c>
      <c r="R47" s="93">
        <f t="shared" si="303"/>
        <v>0</v>
      </c>
      <c r="S47" s="93">
        <f t="shared" si="304"/>
        <v>0</v>
      </c>
      <c r="T47" s="93">
        <f t="shared" si="305"/>
        <v>0</v>
      </c>
      <c r="U47" s="93">
        <f t="shared" si="306"/>
        <v>0</v>
      </c>
      <c r="V47" s="92">
        <f t="shared" si="307"/>
        <v>0</v>
      </c>
    </row>
    <row r="48" ht="15" customHeight="1" outlineLevel="1">
      <c r="A48" t="s">
        <v>95</v>
      </c>
      <c r="B48" t="s">
        <v>96</v>
      </c>
      <c r="C48" s="52" t="s">
        <v>99</v>
      </c>
      <c r="D48" s="35" t="s">
        <v>100</v>
      </c>
      <c r="E48" s="63">
        <f>SUMIF('2025 AC'!$B$3:$B$250,"*"&amp;$D48&amp;"*",'2025 AC'!C$3:C$250)</f>
        <v>0</v>
      </c>
      <c r="F48" s="53">
        <f>SUMIF('2025 AC'!$B$3:$B$250,"*"&amp;$D48&amp;"*",'2025 AC'!D$3:D$250)</f>
        <v>0</v>
      </c>
      <c r="G48" s="53">
        <f>SUMIF('2025 AC'!$B$3:$B$250,"*"&amp;$D48&amp;"*",'2025 AC'!E$3:E$250)</f>
        <v>0</v>
      </c>
      <c r="H48" s="53">
        <f>SUMIF('2025 AC'!$B$3:$B$250,"*"&amp;$D48&amp;"*",'2025 AC'!F$3:F$250)</f>
        <v>0</v>
      </c>
      <c r="I48" s="53">
        <f>SUMIF('2025 AC'!$B$3:$B$250,"*"&amp;$D48&amp;"*",'2025 AC'!G$3:G$250)</f>
        <v>0</v>
      </c>
      <c r="J48" s="53">
        <f>SUMIF('2025 AC'!$B$3:$B$250,"*"&amp;$D48&amp;"*",'2025 AC'!H$3:H$250)</f>
        <v>0</v>
      </c>
      <c r="K48" s="53">
        <f>SUMIF('2025 AC'!$B$3:$B$250,"*"&amp;$D48&amp;"*",'2025 AC'!I$3:I$250)</f>
        <v>0</v>
      </c>
      <c r="L48" s="53">
        <f>SUMIF('2025 AC'!$B$3:$B$250,"*"&amp;$D48&amp;"*",'2025 AC'!J$3:J$250)</f>
        <v>0</v>
      </c>
      <c r="M48" s="53">
        <f>SUMIF('2025 AC'!$B$3:$B$250,"*"&amp;$D48&amp;"*",'2025 AC'!K$3:K$250)</f>
        <v>0</v>
      </c>
      <c r="N48" s="53">
        <f>SUMIF('2025 AC'!$B$3:$B$250,"*"&amp;$D48&amp;"*",'2025 AC'!L$3:L$250)</f>
        <v>0</v>
      </c>
      <c r="O48" s="53">
        <f>SUMIF('2025 AC'!$B$3:$B$250,"*"&amp;$D48&amp;"*",'2025 AC'!M$3:M$250)</f>
        <v>0</v>
      </c>
      <c r="P48" s="53">
        <f>SUMIF('2025 AC'!$B$3:$B$250,"*"&amp;$D48&amp;"*",'2025 AC'!N$3:N$250)</f>
        <v>0</v>
      </c>
      <c r="Q48" s="94">
        <f t="shared" si="316"/>
        <v>0</v>
      </c>
      <c r="R48" s="93">
        <f t="shared" si="303"/>
        <v>0</v>
      </c>
      <c r="S48" s="93">
        <f t="shared" si="304"/>
        <v>0</v>
      </c>
      <c r="T48" s="93">
        <f t="shared" si="305"/>
        <v>0</v>
      </c>
      <c r="U48" s="93">
        <f t="shared" si="306"/>
        <v>0</v>
      </c>
      <c r="V48" s="92">
        <f t="shared" si="307"/>
        <v>0</v>
      </c>
    </row>
    <row r="49" ht="15" customHeight="1" outlineLevel="1">
      <c r="A49" t="s">
        <v>95</v>
      </c>
      <c r="B49" t="s">
        <v>96</v>
      </c>
      <c r="C49" s="52" t="s">
        <v>101</v>
      </c>
      <c r="D49" s="35" t="s">
        <v>102</v>
      </c>
      <c r="E49" s="63">
        <f>SUMIF('2025 AC'!$B$3:$B$250,"*"&amp;$D49&amp;"*",'2025 AC'!C$3:C$250)</f>
        <v>0</v>
      </c>
      <c r="F49" s="53">
        <f>SUMIF('2025 AC'!$B$3:$B$250,"*"&amp;$D49&amp;"*",'2025 AC'!D$3:D$250)</f>
        <v>0</v>
      </c>
      <c r="G49" s="53">
        <f>SUMIF('2025 AC'!$B$3:$B$250,"*"&amp;$D49&amp;"*",'2025 AC'!E$3:E$250)</f>
        <v>0</v>
      </c>
      <c r="H49" s="53">
        <f>SUMIF('2025 AC'!$B$3:$B$250,"*"&amp;$D49&amp;"*",'2025 AC'!F$3:F$250)</f>
        <v>0</v>
      </c>
      <c r="I49" s="53">
        <f>SUMIF('2025 AC'!$B$3:$B$250,"*"&amp;$D49&amp;"*",'2025 AC'!G$3:G$250)</f>
        <v>0</v>
      </c>
      <c r="J49" s="53">
        <f>SUMIF('2025 AC'!$B$3:$B$250,"*"&amp;$D49&amp;"*",'2025 AC'!H$3:H$250)</f>
        <v>0</v>
      </c>
      <c r="K49" s="53">
        <f>SUMIF('2025 AC'!$B$3:$B$250,"*"&amp;$D49&amp;"*",'2025 AC'!I$3:I$250)</f>
        <v>0</v>
      </c>
      <c r="L49" s="53">
        <f>SUMIF('2025 AC'!$B$3:$B$250,"*"&amp;$D49&amp;"*",'2025 AC'!J$3:J$250)</f>
        <v>0</v>
      </c>
      <c r="M49" s="53">
        <f>SUMIF('2025 AC'!$B$3:$B$250,"*"&amp;$D49&amp;"*",'2025 AC'!K$3:K$250)</f>
        <v>0</v>
      </c>
      <c r="N49" s="53">
        <f>SUMIF('2025 AC'!$B$3:$B$250,"*"&amp;$D49&amp;"*",'2025 AC'!L$3:L$250)</f>
        <v>0</v>
      </c>
      <c r="O49" s="53">
        <f>SUMIF('2025 AC'!$B$3:$B$250,"*"&amp;$D49&amp;"*",'2025 AC'!M$3:M$250)</f>
        <v>0</v>
      </c>
      <c r="P49" s="53">
        <f>SUMIF('2025 AC'!$B$3:$B$250,"*"&amp;$D49&amp;"*",'2025 AC'!N$3:N$250)</f>
        <v>0</v>
      </c>
      <c r="Q49" s="94">
        <f t="shared" si="316"/>
        <v>0</v>
      </c>
      <c r="R49" s="93">
        <f t="shared" si="303"/>
        <v>0</v>
      </c>
      <c r="S49" s="93">
        <f t="shared" si="304"/>
        <v>0</v>
      </c>
      <c r="T49" s="93">
        <f t="shared" si="305"/>
        <v>0</v>
      </c>
      <c r="U49" s="93">
        <f t="shared" si="306"/>
        <v>0</v>
      </c>
      <c r="V49" s="92">
        <f t="shared" si="307"/>
        <v>0</v>
      </c>
    </row>
    <row r="50" ht="15" customHeight="1" outlineLevel="1">
      <c r="A50" t="s">
        <v>95</v>
      </c>
      <c r="B50" t="s">
        <v>96</v>
      </c>
      <c r="C50" s="52" t="s">
        <v>103</v>
      </c>
      <c r="D50" s="35" t="s">
        <v>104</v>
      </c>
      <c r="E50" s="63">
        <f>SUMIF('2025 AC'!$B$3:$B$250,"*"&amp;$D50&amp;"*",'2025 AC'!C$3:C$250)</f>
        <v>0</v>
      </c>
      <c r="F50" s="53">
        <f>SUMIF('2025 AC'!$B$3:$B$250,"*"&amp;$D50&amp;"*",'2025 AC'!D$3:D$250)</f>
        <v>0</v>
      </c>
      <c r="G50" s="53">
        <f>SUMIF('2025 AC'!$B$3:$B$250,"*"&amp;$D50&amp;"*",'2025 AC'!E$3:E$250)</f>
        <v>0</v>
      </c>
      <c r="H50" s="53">
        <f>SUMIF('2025 AC'!$B$3:$B$250,"*"&amp;$D50&amp;"*",'2025 AC'!F$3:F$250)</f>
        <v>0</v>
      </c>
      <c r="I50" s="53">
        <f>SUMIF('2025 AC'!$B$3:$B$250,"*"&amp;$D50&amp;"*",'2025 AC'!G$3:G$250)</f>
        <v>0</v>
      </c>
      <c r="J50" s="53">
        <f>SUMIF('2025 AC'!$B$3:$B$250,"*"&amp;$D50&amp;"*",'2025 AC'!H$3:H$250)</f>
        <v>0</v>
      </c>
      <c r="K50" s="53">
        <f>SUMIF('2025 AC'!$B$3:$B$250,"*"&amp;$D50&amp;"*",'2025 AC'!I$3:I$250)</f>
        <v>0</v>
      </c>
      <c r="L50" s="53">
        <f>SUMIF('2025 AC'!$B$3:$B$250,"*"&amp;$D50&amp;"*",'2025 AC'!J$3:J$250)</f>
        <v>0</v>
      </c>
      <c r="M50" s="53">
        <f>SUMIF('2025 AC'!$B$3:$B$250,"*"&amp;$D50&amp;"*",'2025 AC'!K$3:K$250)</f>
        <v>0</v>
      </c>
      <c r="N50" s="53">
        <f>SUMIF('2025 AC'!$B$3:$B$250,"*"&amp;$D50&amp;"*",'2025 AC'!L$3:L$250)</f>
        <v>0</v>
      </c>
      <c r="O50" s="53">
        <f>SUMIF('2025 AC'!$B$3:$B$250,"*"&amp;$D50&amp;"*",'2025 AC'!M$3:M$250)</f>
        <v>0</v>
      </c>
      <c r="P50" s="53">
        <f>SUMIF('2025 AC'!$B$3:$B$250,"*"&amp;$D50&amp;"*",'2025 AC'!N$3:N$250)</f>
        <v>0</v>
      </c>
      <c r="Q50" s="94">
        <f t="shared" si="316"/>
        <v>0</v>
      </c>
      <c r="R50" s="93">
        <f t="shared" si="303"/>
        <v>0</v>
      </c>
      <c r="S50" s="93">
        <f t="shared" si="304"/>
        <v>0</v>
      </c>
      <c r="T50" s="93">
        <f t="shared" si="305"/>
        <v>0</v>
      </c>
      <c r="U50" s="93">
        <f t="shared" si="306"/>
        <v>0</v>
      </c>
      <c r="V50" s="92">
        <f t="shared" si="307"/>
        <v>0</v>
      </c>
    </row>
    <row r="51" ht="15" customHeight="1" outlineLevel="1">
      <c r="A51" t="s">
        <v>95</v>
      </c>
      <c r="B51" t="s">
        <v>96</v>
      </c>
      <c r="C51" s="52" t="s">
        <v>105</v>
      </c>
      <c r="D51" s="35" t="s">
        <v>96</v>
      </c>
      <c r="E51" s="63">
        <f>SUMIF('2025 AC'!$B$3:$B$250,"*"&amp;$D51&amp;"*",'2025 AC'!C$3:C$250)</f>
        <v>0</v>
      </c>
      <c r="F51" s="53">
        <f>SUMIF('2025 AC'!$B$3:$B$250,"*"&amp;$D51&amp;"*",'2025 AC'!D$3:D$250)</f>
        <v>0</v>
      </c>
      <c r="G51" s="53">
        <f>SUMIF('2025 AC'!$B$3:$B$250,"*"&amp;$D51&amp;"*",'2025 AC'!E$3:E$250)</f>
        <v>0</v>
      </c>
      <c r="H51" s="53">
        <f>SUMIF('2025 AC'!$B$3:$B$250,"*"&amp;$D51&amp;"*",'2025 AC'!F$3:F$250)</f>
        <v>0</v>
      </c>
      <c r="I51" s="53">
        <f>SUMIF('2025 AC'!$B$3:$B$250,"*"&amp;$D51&amp;"*",'2025 AC'!G$3:G$250)</f>
        <v>0</v>
      </c>
      <c r="J51" s="53">
        <f>SUMIF('2025 AC'!$B$3:$B$250,"*"&amp;$D51&amp;"*",'2025 AC'!H$3:H$250)</f>
        <v>0</v>
      </c>
      <c r="K51" s="53">
        <f>SUMIF('2025 AC'!$B$3:$B$250,"*"&amp;$D51&amp;"*",'2025 AC'!I$3:I$250)</f>
        <v>0</v>
      </c>
      <c r="L51" s="53">
        <f>SUMIF('2025 AC'!$B$3:$B$250,"*"&amp;$D51&amp;"*",'2025 AC'!J$3:J$250)</f>
        <v>0</v>
      </c>
      <c r="M51" s="53">
        <f>SUMIF('2025 AC'!$B$3:$B$250,"*"&amp;$D51&amp;"*",'2025 AC'!K$3:K$250)</f>
        <v>0</v>
      </c>
      <c r="N51" s="53">
        <f>SUMIF('2025 AC'!$B$3:$B$250,"*"&amp;$D51&amp;"*",'2025 AC'!L$3:L$250)</f>
        <v>0</v>
      </c>
      <c r="O51" s="53">
        <f>SUMIF('2025 AC'!$B$3:$B$250,"*"&amp;$D51&amp;"*",'2025 AC'!M$3:M$250)</f>
        <v>0</v>
      </c>
      <c r="P51" s="53">
        <f>SUMIF('2025 AC'!$B$3:$B$250,"*"&amp;$D51&amp;"*",'2025 AC'!N$3:N$250)</f>
        <v>0</v>
      </c>
      <c r="Q51" s="94">
        <f t="shared" si="316"/>
        <v>0</v>
      </c>
      <c r="R51" s="93">
        <f t="shared" si="303"/>
        <v>0</v>
      </c>
      <c r="S51" s="93">
        <f t="shared" si="304"/>
        <v>0</v>
      </c>
      <c r="T51" s="93">
        <f t="shared" si="305"/>
        <v>0</v>
      </c>
      <c r="U51" s="93">
        <f t="shared" si="306"/>
        <v>0</v>
      </c>
      <c r="V51" s="92">
        <f t="shared" si="307"/>
        <v>0</v>
      </c>
    </row>
    <row r="52" s="137" customFormat="1">
      <c r="A52" s="137" t="s">
        <v>106</v>
      </c>
      <c r="B52" s="137" t="s">
        <v>107</v>
      </c>
      <c r="C52" s="138" t="s">
        <v>108</v>
      </c>
      <c r="D52" s="139" t="s">
        <v>107</v>
      </c>
      <c r="E52" s="145">
        <f>SUMIF('2025 AC'!$B$3:$B$250,"*"&amp;$D52&amp;"*",'2025 AC'!C$3:C$250)</f>
        <v>7011.3299999999999</v>
      </c>
      <c r="F52" s="146">
        <f>SUMIF('2025 AC'!$B$3:$B$250,"*"&amp;$D52&amp;"*",'2025 AC'!D$3:D$250)</f>
        <v>6865.1000000000004</v>
      </c>
      <c r="G52" s="146">
        <f>SUMIF('2025 AC'!$B$3:$B$250,"*"&amp;$D52&amp;"*",'2025 AC'!E$3:E$250)</f>
        <v>4241.5100000000002</v>
      </c>
      <c r="H52" s="146">
        <f>SUMIF('2025 AC'!$B$3:$B$250,"*"&amp;$D52&amp;"*",'2025 AC'!F$3:F$250)</f>
        <v>6443</v>
      </c>
      <c r="I52" s="146">
        <f>SUMIF('2025 AC'!$B$3:$B$250,"*"&amp;$D52&amp;"*",'2025 AC'!G$3:G$250)</f>
        <v>9686.8099999999995</v>
      </c>
      <c r="J52" s="146">
        <f>SUMIF('2025 AC'!$B$3:$B$250,"*"&amp;$D52&amp;"*",'2025 AC'!H$3:H$250)</f>
        <v>5330.1999999999998</v>
      </c>
      <c r="K52" s="146">
        <f>SUMIF('2025 AC'!$B$3:$B$250,"*"&amp;$D52&amp;"*",'2025 AC'!I$3:I$250)</f>
        <v>4754.6700000000001</v>
      </c>
      <c r="L52" s="146">
        <f>SUMIF('2025 AC'!$B$3:$B$250,"*"&amp;$D52&amp;"*",'2025 AC'!J$3:J$250)</f>
        <v>4735.2299999999996</v>
      </c>
      <c r="M52" s="146">
        <f>SUMIF('2025 AC'!$B$3:$B$250,"*"&amp;$D52&amp;"*",'2025 AC'!K$3:K$250)</f>
        <v>4395.4200000000001</v>
      </c>
      <c r="N52" s="146">
        <f>SUMIF('2025 AC'!$B$3:$B$250,"*"&amp;$D52&amp;"*",'2025 AC'!L$3:L$250)</f>
        <v>6295.2700000000004</v>
      </c>
      <c r="O52" s="146">
        <f>SUMIF('2025 AC'!$B$3:$B$250,"*"&amp;$D52&amp;"*",'2025 AC'!M$3:M$250)</f>
        <v>4213.1999999999998</v>
      </c>
      <c r="P52" s="146">
        <f>SUMIF('2025 AC'!$B$3:$B$250,"*"&amp;$D52&amp;"*",'2025 AC'!N$3:N$250)</f>
        <v>4830.1800000000003</v>
      </c>
      <c r="Q52" s="149">
        <f t="shared" si="316"/>
        <v>68801.919999999984</v>
      </c>
      <c r="R52" s="147">
        <f t="shared" si="303"/>
        <v>18117.940000000002</v>
      </c>
      <c r="S52" s="147">
        <f t="shared" si="304"/>
        <v>21460.009999999998</v>
      </c>
      <c r="T52" s="147">
        <f t="shared" si="305"/>
        <v>13885.32</v>
      </c>
      <c r="U52" s="147">
        <f t="shared" si="306"/>
        <v>15338.650000000001</v>
      </c>
      <c r="V52" s="148">
        <f t="shared" si="307"/>
        <v>68801.919999999998</v>
      </c>
    </row>
    <row r="53" outlineLevel="1">
      <c r="A53" t="s">
        <v>106</v>
      </c>
      <c r="B53" t="s">
        <v>107</v>
      </c>
      <c r="C53" s="160" t="s">
        <v>109</v>
      </c>
      <c r="D53" s="35" t="s">
        <v>110</v>
      </c>
      <c r="E53" s="63">
        <f>SUMIF('2025 AC'!$B$3:$B$250,"*"&amp;$D53&amp;"*",'2025 AC'!C$3:C$250)</f>
        <v>7011.3299999999999</v>
      </c>
      <c r="F53" s="53">
        <f>SUMIF('2025 AC'!$B$3:$B$250,"*"&amp;$D53&amp;"*",'2025 AC'!D$3:D$250)</f>
        <v>6865.1000000000004</v>
      </c>
      <c r="G53" s="53">
        <f>SUMIF('2025 AC'!$B$3:$B$250,"*"&amp;$D53&amp;"*",'2025 AC'!E$3:E$250)</f>
        <v>4241.5100000000002</v>
      </c>
      <c r="H53" s="53">
        <f>SUMIF('2025 AC'!$B$3:$B$250,"*"&amp;$D53&amp;"*",'2025 AC'!F$3:F$250)</f>
        <v>6443</v>
      </c>
      <c r="I53" s="53">
        <f>SUMIF('2025 AC'!$B$3:$B$250,"*"&amp;$D53&amp;"*",'2025 AC'!G$3:G$250)</f>
        <v>9686.8099999999995</v>
      </c>
      <c r="J53" s="53">
        <f>SUMIF('2025 AC'!$B$3:$B$250,"*"&amp;$D53&amp;"*",'2025 AC'!H$3:H$250)</f>
        <v>5330.1999999999998</v>
      </c>
      <c r="K53" s="53">
        <f>SUMIF('2025 AC'!$B$3:$B$250,"*"&amp;$D53&amp;"*",'2025 AC'!I$3:I$250)</f>
        <v>4754.6700000000001</v>
      </c>
      <c r="L53" s="53">
        <f>SUMIF('2025 AC'!$B$3:$B$250,"*"&amp;$D53&amp;"*",'2025 AC'!J$3:J$250)</f>
        <v>4735.2299999999996</v>
      </c>
      <c r="M53" s="53">
        <f>SUMIF('2025 AC'!$B$3:$B$250,"*"&amp;$D53&amp;"*",'2025 AC'!K$3:K$250)</f>
        <v>4395.4200000000001</v>
      </c>
      <c r="N53" s="53">
        <f>SUMIF('2025 AC'!$B$3:$B$250,"*"&amp;$D53&amp;"*",'2025 AC'!L$3:L$250)</f>
        <v>6295.2700000000004</v>
      </c>
      <c r="O53" s="53">
        <f>SUMIF('2025 AC'!$B$3:$B$250,"*"&amp;$D53&amp;"*",'2025 AC'!M$3:M$250)</f>
        <v>4213.1999999999998</v>
      </c>
      <c r="P53" s="53">
        <f>SUMIF('2025 AC'!$B$3:$B$250,"*"&amp;$D53&amp;"*",'2025 AC'!N$3:N$250)</f>
        <v>4830.1800000000003</v>
      </c>
      <c r="Q53" s="94">
        <f t="shared" si="316"/>
        <v>68801.919999999984</v>
      </c>
      <c r="R53" s="93">
        <f t="shared" si="303"/>
        <v>18117.940000000002</v>
      </c>
      <c r="S53" s="93">
        <f t="shared" si="304"/>
        <v>21460.009999999998</v>
      </c>
      <c r="T53" s="93">
        <f t="shared" si="305"/>
        <v>13885.32</v>
      </c>
      <c r="U53" s="93">
        <f t="shared" si="306"/>
        <v>15338.650000000001</v>
      </c>
      <c r="V53" s="92">
        <f t="shared" si="307"/>
        <v>68801.919999999998</v>
      </c>
    </row>
    <row r="54" outlineLevel="1">
      <c r="A54" t="s">
        <v>106</v>
      </c>
      <c r="B54" t="s">
        <v>107</v>
      </c>
      <c r="C54" s="160" t="s">
        <v>111</v>
      </c>
      <c r="D54" s="35" t="s">
        <v>112</v>
      </c>
      <c r="E54" s="63">
        <f>SUMIF('2025 AC'!$B$3:$B$250,"*"&amp;$D54&amp;"*",'2025 AC'!C$3:C$250)</f>
        <v>0</v>
      </c>
      <c r="F54" s="53">
        <f>SUMIF('2025 AC'!$B$3:$B$250,"*"&amp;$D54&amp;"*",'2025 AC'!D$3:D$250)</f>
        <v>0</v>
      </c>
      <c r="G54" s="53">
        <f>SUMIF('2025 AC'!$B$3:$B$250,"*"&amp;$D54&amp;"*",'2025 AC'!E$3:E$250)</f>
        <v>0</v>
      </c>
      <c r="H54" s="53">
        <f>SUMIF('2025 AC'!$B$3:$B$250,"*"&amp;$D54&amp;"*",'2025 AC'!F$3:F$250)</f>
        <v>0</v>
      </c>
      <c r="I54" s="53">
        <f>SUMIF('2025 AC'!$B$3:$B$250,"*"&amp;$D54&amp;"*",'2025 AC'!G$3:G$250)</f>
        <v>0</v>
      </c>
      <c r="J54" s="53">
        <f>SUMIF('2025 AC'!$B$3:$B$250,"*"&amp;$D54&amp;"*",'2025 AC'!H$3:H$250)</f>
        <v>0</v>
      </c>
      <c r="K54" s="53">
        <f>SUMIF('2025 AC'!$B$3:$B$250,"*"&amp;$D54&amp;"*",'2025 AC'!I$3:I$250)</f>
        <v>0</v>
      </c>
      <c r="L54" s="53">
        <f>SUMIF('2025 AC'!$B$3:$B$250,"*"&amp;$D54&amp;"*",'2025 AC'!J$3:J$250)</f>
        <v>0</v>
      </c>
      <c r="M54" s="53">
        <f>SUMIF('2025 AC'!$B$3:$B$250,"*"&amp;$D54&amp;"*",'2025 AC'!K$3:K$250)</f>
        <v>0</v>
      </c>
      <c r="N54" s="53">
        <f>SUMIF('2025 AC'!$B$3:$B$250,"*"&amp;$D54&amp;"*",'2025 AC'!L$3:L$250)</f>
        <v>0</v>
      </c>
      <c r="O54" s="53">
        <f>SUMIF('2025 AC'!$B$3:$B$250,"*"&amp;$D54&amp;"*",'2025 AC'!M$3:M$250)</f>
        <v>0</v>
      </c>
      <c r="P54" s="53">
        <f>SUMIF('2025 AC'!$B$3:$B$250,"*"&amp;$D54&amp;"*",'2025 AC'!N$3:N$250)</f>
        <v>0</v>
      </c>
      <c r="Q54" s="94">
        <f t="shared" si="316"/>
        <v>0</v>
      </c>
      <c r="R54" s="93">
        <f t="shared" si="303"/>
        <v>0</v>
      </c>
      <c r="S54" s="93">
        <f t="shared" si="304"/>
        <v>0</v>
      </c>
      <c r="T54" s="93">
        <f t="shared" si="305"/>
        <v>0</v>
      </c>
      <c r="U54" s="93">
        <f t="shared" si="306"/>
        <v>0</v>
      </c>
      <c r="V54" s="92">
        <f t="shared" si="307"/>
        <v>0</v>
      </c>
    </row>
    <row r="55" s="137" customFormat="1">
      <c r="A55" s="137" t="s">
        <v>113</v>
      </c>
      <c r="B55" s="137" t="s">
        <v>110</v>
      </c>
      <c r="C55" s="158" t="s">
        <v>114</v>
      </c>
      <c r="D55" s="139" t="s">
        <v>115</v>
      </c>
      <c r="E55" s="145">
        <f>SUMIF('2025 AC'!$B$3:$B$250,"*"&amp;$D55&amp;"*",'2025 AC'!C$3:C$250)</f>
        <v>259.25999999999999</v>
      </c>
      <c r="F55" s="146">
        <f>SUMIF('2025 AC'!$B$3:$B$250,"*"&amp;$D55&amp;"*",'2025 AC'!D$3:D$250)</f>
        <v>0</v>
      </c>
      <c r="G55" s="146">
        <f>SUMIF('2025 AC'!$B$3:$B$250,"*"&amp;$D55&amp;"*",'2025 AC'!E$3:E$250)</f>
        <v>0</v>
      </c>
      <c r="H55" s="146">
        <f>SUMIF('2025 AC'!$B$3:$B$250,"*"&amp;$D55&amp;"*",'2025 AC'!F$3:F$250)</f>
        <v>0</v>
      </c>
      <c r="I55" s="146">
        <f>SUMIF('2025 AC'!$B$3:$B$250,"*"&amp;$D55&amp;"*",'2025 AC'!G$3:G$250)</f>
        <v>0</v>
      </c>
      <c r="J55" s="146">
        <f>SUMIF('2025 AC'!$B$3:$B$250,"*"&amp;$D55&amp;"*",'2025 AC'!H$3:H$250)</f>
        <v>0</v>
      </c>
      <c r="K55" s="146">
        <f>SUMIF('2025 AC'!$B$3:$B$250,"*"&amp;$D55&amp;"*",'2025 AC'!I$3:I$250)</f>
        <v>259.25999999999999</v>
      </c>
      <c r="L55" s="146">
        <f>SUMIF('2025 AC'!$B$3:$B$250,"*"&amp;$D55&amp;"*",'2025 AC'!J$3:J$250)</f>
        <v>0</v>
      </c>
      <c r="M55" s="146">
        <f>SUMIF('2025 AC'!$B$3:$B$250,"*"&amp;$D55&amp;"*",'2025 AC'!K$3:K$250)</f>
        <v>0</v>
      </c>
      <c r="N55" s="146">
        <f>SUMIF('2025 AC'!$B$3:$B$250,"*"&amp;$D55&amp;"*",'2025 AC'!L$3:L$250)</f>
        <v>0</v>
      </c>
      <c r="O55" s="146">
        <f>SUMIF('2025 AC'!$B$3:$B$250,"*"&amp;$D55&amp;"*",'2025 AC'!M$3:M$250)</f>
        <v>0</v>
      </c>
      <c r="P55" s="146">
        <f>SUMIF('2025 AC'!$B$3:$B$250,"*"&amp;$D55&amp;"*",'2025 AC'!N$3:N$250)</f>
        <v>45270</v>
      </c>
      <c r="Q55" s="149">
        <f t="shared" si="316"/>
        <v>45788.519999999997</v>
      </c>
      <c r="R55" s="147">
        <f t="shared" si="303"/>
        <v>259.25999999999999</v>
      </c>
      <c r="S55" s="147">
        <f t="shared" si="304"/>
        <v>0</v>
      </c>
      <c r="T55" s="147">
        <f t="shared" si="305"/>
        <v>259.25999999999999</v>
      </c>
      <c r="U55" s="147">
        <f t="shared" si="306"/>
        <v>45270</v>
      </c>
      <c r="V55" s="148">
        <f t="shared" si="307"/>
        <v>45788.519999999997</v>
      </c>
    </row>
    <row r="56" ht="15" customHeight="1" outlineLevel="1">
      <c r="A56" t="s">
        <v>116</v>
      </c>
      <c r="B56" t="s">
        <v>117</v>
      </c>
      <c r="C56" s="150" t="s">
        <v>114</v>
      </c>
      <c r="D56" s="35" t="s">
        <v>117</v>
      </c>
      <c r="E56" s="63">
        <f>SUMIF('2025 AC'!$B$3:$B$250,"*"&amp;$D56&amp;"*",'2025 AC'!C$3:C$250)</f>
        <v>259.25999999999999</v>
      </c>
      <c r="F56" s="53">
        <f>SUMIF('2025 AC'!$B$3:$B$250,"*"&amp;$D56&amp;"*",'2025 AC'!D$3:D$250)</f>
        <v>0</v>
      </c>
      <c r="G56" s="53">
        <f>SUMIF('2025 AC'!$B$3:$B$250,"*"&amp;$D56&amp;"*",'2025 AC'!E$3:E$250)</f>
        <v>0</v>
      </c>
      <c r="H56" s="53">
        <f>SUMIF('2025 AC'!$B$3:$B$250,"*"&amp;$D56&amp;"*",'2025 AC'!F$3:F$250)</f>
        <v>0</v>
      </c>
      <c r="I56" s="53">
        <f>SUMIF('2025 AC'!$B$3:$B$250,"*"&amp;$D56&amp;"*",'2025 AC'!G$3:G$250)</f>
        <v>0</v>
      </c>
      <c r="J56" s="53">
        <f>SUMIF('2025 AC'!$B$3:$B$250,"*"&amp;$D56&amp;"*",'2025 AC'!H$3:H$250)</f>
        <v>0</v>
      </c>
      <c r="K56" s="53">
        <f>SUMIF('2025 AC'!$B$3:$B$250,"*"&amp;$D56&amp;"*",'2025 AC'!I$3:I$250)</f>
        <v>259.25999999999999</v>
      </c>
      <c r="L56" s="53">
        <f>SUMIF('2025 AC'!$B$3:$B$250,"*"&amp;$D56&amp;"*",'2025 AC'!J$3:J$250)</f>
        <v>0</v>
      </c>
      <c r="M56" s="53">
        <f>SUMIF('2025 AC'!$B$3:$B$250,"*"&amp;$D56&amp;"*",'2025 AC'!K$3:K$250)</f>
        <v>0</v>
      </c>
      <c r="N56" s="53">
        <f>SUMIF('2025 AC'!$B$3:$B$250,"*"&amp;$D56&amp;"*",'2025 AC'!L$3:L$250)</f>
        <v>0</v>
      </c>
      <c r="O56" s="53">
        <f>SUMIF('2025 AC'!$B$3:$B$250,"*"&amp;$D56&amp;"*",'2025 AC'!M$3:M$250)</f>
        <v>0</v>
      </c>
      <c r="P56" s="53">
        <f>SUMIF('2025 AC'!$B$3:$B$250,"*"&amp;$D56&amp;"*",'2025 AC'!N$3:N$250)</f>
        <v>45270</v>
      </c>
      <c r="Q56" s="94">
        <f t="shared" si="316"/>
        <v>45788.519999999997</v>
      </c>
      <c r="R56" s="93">
        <f t="shared" si="303"/>
        <v>259.25999999999999</v>
      </c>
      <c r="S56" s="93">
        <f t="shared" si="304"/>
        <v>0</v>
      </c>
      <c r="T56" s="93">
        <f t="shared" si="305"/>
        <v>259.25999999999999</v>
      </c>
      <c r="U56" s="93">
        <f t="shared" si="306"/>
        <v>45270</v>
      </c>
      <c r="V56" s="92">
        <f t="shared" si="307"/>
        <v>45788.519999999997</v>
      </c>
    </row>
    <row r="57" s="137" customFormat="1" ht="15" customHeight="1">
      <c r="A57" s="137" t="s">
        <v>118</v>
      </c>
      <c r="B57" s="137" t="s">
        <v>115</v>
      </c>
      <c r="C57" s="138" t="s">
        <v>119</v>
      </c>
      <c r="D57" s="139" t="s">
        <v>120</v>
      </c>
      <c r="E57" s="145">
        <f>SUMIF('2025 AC'!$B$3:$B$250,"*"&amp;$D57&amp;"*",'2025 AC'!C$3:C$250)</f>
        <v>0</v>
      </c>
      <c r="F57" s="146">
        <f>SUMIF('2025 AC'!$B$3:$B$250,"*"&amp;$D57&amp;"*",'2025 AC'!D$3:D$250)</f>
        <v>0</v>
      </c>
      <c r="G57" s="146">
        <f>SUMIF('2025 AC'!$B$3:$B$250,"*"&amp;$D57&amp;"*",'2025 AC'!E$3:E$250)</f>
        <v>0</v>
      </c>
      <c r="H57" s="146">
        <f>SUMIF('2025 AC'!$B$3:$B$250,"*"&amp;$D57&amp;"*",'2025 AC'!F$3:F$250)</f>
        <v>120</v>
      </c>
      <c r="I57" s="146">
        <f>SUMIF('2025 AC'!$B$3:$B$250,"*"&amp;$D57&amp;"*",'2025 AC'!G$3:G$250)</f>
        <v>30</v>
      </c>
      <c r="J57" s="146">
        <f>SUMIF('2025 AC'!$B$3:$B$250,"*"&amp;$D57&amp;"*",'2025 AC'!H$3:H$250)</f>
        <v>0</v>
      </c>
      <c r="K57" s="146">
        <f>SUMIF('2025 AC'!$B$3:$B$250,"*"&amp;$D57&amp;"*",'2025 AC'!I$3:I$250)</f>
        <v>30</v>
      </c>
      <c r="L57" s="146">
        <f>SUMIF('2025 AC'!$B$3:$B$250,"*"&amp;$D57&amp;"*",'2025 AC'!J$3:J$250)</f>
        <v>0</v>
      </c>
      <c r="M57" s="146">
        <f>SUMIF('2025 AC'!$B$3:$B$250,"*"&amp;$D57&amp;"*",'2025 AC'!K$3:K$250)</f>
        <v>0</v>
      </c>
      <c r="N57" s="146">
        <f>SUMIF('2025 AC'!$B$3:$B$250,"*"&amp;$D57&amp;"*",'2025 AC'!L$3:L$250)</f>
        <v>0</v>
      </c>
      <c r="O57" s="146">
        <f>SUMIF('2025 AC'!$B$3:$B$250,"*"&amp;$D57&amp;"*",'2025 AC'!M$3:M$250)</f>
        <v>30</v>
      </c>
      <c r="P57" s="146">
        <f>SUMIF('2025 AC'!$B$3:$B$250,"*"&amp;$D57&amp;"*",'2025 AC'!N$3:N$250)</f>
        <v>0</v>
      </c>
      <c r="Q57" s="149">
        <f t="shared" si="316"/>
        <v>210</v>
      </c>
      <c r="R57" s="147">
        <f t="shared" si="303"/>
        <v>0</v>
      </c>
      <c r="S57" s="147">
        <f t="shared" si="304"/>
        <v>150</v>
      </c>
      <c r="T57" s="147">
        <f t="shared" si="305"/>
        <v>30</v>
      </c>
      <c r="U57" s="147">
        <f t="shared" si="306"/>
        <v>30</v>
      </c>
      <c r="V57" s="148">
        <f t="shared" si="307"/>
        <v>210</v>
      </c>
    </row>
    <row r="58" ht="15" customHeight="1" outlineLevel="1">
      <c r="A58" t="s">
        <v>121</v>
      </c>
      <c r="B58" t="s">
        <v>122</v>
      </c>
      <c r="C58" s="150" t="s">
        <v>123</v>
      </c>
      <c r="D58" s="35" t="s">
        <v>122</v>
      </c>
      <c r="E58" s="63">
        <f>SUMIF('2025 AC'!$B$3:$B$250,"*"&amp;$D58&amp;"*",'2025 AC'!C$3:C$250)</f>
        <v>0</v>
      </c>
      <c r="F58" s="53">
        <f>SUMIF('2025 AC'!$B$3:$B$250,"*"&amp;$D58&amp;"*",'2025 AC'!D$3:D$250)</f>
        <v>0</v>
      </c>
      <c r="G58" s="53">
        <f>SUMIF('2025 AC'!$B$3:$B$250,"*"&amp;$D58&amp;"*",'2025 AC'!E$3:E$250)</f>
        <v>0</v>
      </c>
      <c r="H58" s="53">
        <f>SUMIF('2025 AC'!$B$3:$B$250,"*"&amp;$D58&amp;"*",'2025 AC'!F$3:F$250)</f>
        <v>0</v>
      </c>
      <c r="I58" s="53">
        <f>SUMIF('2025 AC'!$B$3:$B$250,"*"&amp;$D58&amp;"*",'2025 AC'!G$3:G$250)</f>
        <v>0</v>
      </c>
      <c r="J58" s="53">
        <f>SUMIF('2025 AC'!$B$3:$B$250,"*"&amp;$D58&amp;"*",'2025 AC'!H$3:H$250)</f>
        <v>0</v>
      </c>
      <c r="K58" s="53">
        <f>SUMIF('2025 AC'!$B$3:$B$250,"*"&amp;$D58&amp;"*",'2025 AC'!I$3:I$250)</f>
        <v>0</v>
      </c>
      <c r="L58" s="53">
        <f>SUMIF('2025 AC'!$B$3:$B$250,"*"&amp;$D58&amp;"*",'2025 AC'!J$3:J$250)</f>
        <v>0</v>
      </c>
      <c r="M58" s="53">
        <f>SUMIF('2025 AC'!$B$3:$B$250,"*"&amp;$D58&amp;"*",'2025 AC'!K$3:K$250)</f>
        <v>0</v>
      </c>
      <c r="N58" s="53">
        <f>SUMIF('2025 AC'!$B$3:$B$250,"*"&amp;$D58&amp;"*",'2025 AC'!L$3:L$250)</f>
        <v>0</v>
      </c>
      <c r="O58" s="53">
        <f>SUMIF('2025 AC'!$B$3:$B$250,"*"&amp;$D58&amp;"*",'2025 AC'!M$3:M$250)</f>
        <v>0</v>
      </c>
      <c r="P58" s="53">
        <f>SUMIF('2025 AC'!$B$3:$B$250,"*"&amp;$D58&amp;"*",'2025 AC'!N$3:N$250)</f>
        <v>0</v>
      </c>
      <c r="Q58" s="94">
        <f t="shared" si="316"/>
        <v>0</v>
      </c>
      <c r="R58" s="93">
        <f t="shared" si="303"/>
        <v>0</v>
      </c>
      <c r="S58" s="93">
        <f t="shared" si="304"/>
        <v>0</v>
      </c>
      <c r="T58" s="93">
        <f t="shared" si="305"/>
        <v>0</v>
      </c>
      <c r="U58" s="93">
        <f t="shared" si="306"/>
        <v>0</v>
      </c>
      <c r="V58" s="92">
        <f t="shared" si="307"/>
        <v>0</v>
      </c>
    </row>
    <row r="59" ht="15" customHeight="1" outlineLevel="1">
      <c r="A59" t="s">
        <v>124</v>
      </c>
      <c r="B59" t="s">
        <v>125</v>
      </c>
      <c r="C59" s="150" t="s">
        <v>126</v>
      </c>
      <c r="D59" s="35" t="s">
        <v>125</v>
      </c>
      <c r="E59" s="63">
        <f>SUMIF('2025 AC'!$B$3:$B$250,"*"&amp;$D59&amp;"*",'2025 AC'!C$3:C$250)</f>
        <v>0</v>
      </c>
      <c r="F59" s="53">
        <f>SUMIF('2025 AC'!$B$3:$B$250,"*"&amp;$D59&amp;"*",'2025 AC'!D$3:D$250)</f>
        <v>0</v>
      </c>
      <c r="G59" s="53">
        <f>SUMIF('2025 AC'!$B$3:$B$250,"*"&amp;$D59&amp;"*",'2025 AC'!E$3:E$250)</f>
        <v>0</v>
      </c>
      <c r="H59" s="53">
        <f>SUMIF('2025 AC'!$B$3:$B$250,"*"&amp;$D59&amp;"*",'2025 AC'!F$3:F$250)</f>
        <v>120</v>
      </c>
      <c r="I59" s="53">
        <f>SUMIF('2025 AC'!$B$3:$B$250,"*"&amp;$D59&amp;"*",'2025 AC'!G$3:G$250)</f>
        <v>30</v>
      </c>
      <c r="J59" s="53">
        <f>SUMIF('2025 AC'!$B$3:$B$250,"*"&amp;$D59&amp;"*",'2025 AC'!H$3:H$250)</f>
        <v>0</v>
      </c>
      <c r="K59" s="53">
        <f>SUMIF('2025 AC'!$B$3:$B$250,"*"&amp;$D59&amp;"*",'2025 AC'!I$3:I$250)</f>
        <v>30</v>
      </c>
      <c r="L59" s="53">
        <f>SUMIF('2025 AC'!$B$3:$B$250,"*"&amp;$D59&amp;"*",'2025 AC'!J$3:J$250)</f>
        <v>0</v>
      </c>
      <c r="M59" s="53">
        <f>SUMIF('2025 AC'!$B$3:$B$250,"*"&amp;$D59&amp;"*",'2025 AC'!K$3:K$250)</f>
        <v>0</v>
      </c>
      <c r="N59" s="53">
        <f>SUMIF('2025 AC'!$B$3:$B$250,"*"&amp;$D59&amp;"*",'2025 AC'!L$3:L$250)</f>
        <v>0</v>
      </c>
      <c r="O59" s="53">
        <f>SUMIF('2025 AC'!$B$3:$B$250,"*"&amp;$D59&amp;"*",'2025 AC'!M$3:M$250)</f>
        <v>30</v>
      </c>
      <c r="P59" s="53">
        <f>SUMIF('2025 AC'!$B$3:$B$250,"*"&amp;$D59&amp;"*",'2025 AC'!N$3:N$250)</f>
        <v>0</v>
      </c>
      <c r="Q59" s="94">
        <f t="shared" si="316"/>
        <v>210</v>
      </c>
      <c r="R59" s="93">
        <f t="shared" si="303"/>
        <v>0</v>
      </c>
      <c r="S59" s="93">
        <f t="shared" si="304"/>
        <v>150</v>
      </c>
      <c r="T59" s="93">
        <f t="shared" si="305"/>
        <v>30</v>
      </c>
      <c r="U59" s="93">
        <f t="shared" si="306"/>
        <v>30</v>
      </c>
      <c r="V59" s="92">
        <f t="shared" si="307"/>
        <v>210</v>
      </c>
    </row>
    <row r="60" s="137" customFormat="1" ht="15" customHeight="1">
      <c r="A60" s="137" t="s">
        <v>118</v>
      </c>
      <c r="B60" s="137" t="s">
        <v>115</v>
      </c>
      <c r="C60" s="138" t="s">
        <v>127</v>
      </c>
      <c r="D60" s="139" t="s">
        <v>128</v>
      </c>
      <c r="E60" s="145">
        <f>SUMIF('2025 AC'!$B$3:$B$250,"*"&amp;$D60&amp;"*",'2025 AC'!C$3:C$250)</f>
        <v>0</v>
      </c>
      <c r="F60" s="146">
        <f>SUMIF('2025 AC'!$B$3:$B$250,"*"&amp;$D60&amp;"*",'2025 AC'!D$3:D$250)</f>
        <v>0</v>
      </c>
      <c r="G60" s="146">
        <f>SUMIF('2025 AC'!$B$3:$B$250,"*"&amp;$D60&amp;"*",'2025 AC'!E$3:E$250)</f>
        <v>0</v>
      </c>
      <c r="H60" s="146">
        <f>SUMIF('2025 AC'!$B$3:$B$250,"*"&amp;$D60&amp;"*",'2025 AC'!F$3:F$250)</f>
        <v>0</v>
      </c>
      <c r="I60" s="146">
        <f>SUMIF('2025 AC'!$B$3:$B$250,"*"&amp;$D60&amp;"*",'2025 AC'!G$3:G$250)</f>
        <v>0</v>
      </c>
      <c r="J60" s="146">
        <f>SUMIF('2025 AC'!$B$3:$B$250,"*"&amp;$D60&amp;"*",'2025 AC'!H$3:H$250)</f>
        <v>0</v>
      </c>
      <c r="K60" s="146">
        <f>SUMIF('2025 AC'!$B$3:$B$250,"*"&amp;$D60&amp;"*",'2025 AC'!I$3:I$250)</f>
        <v>0</v>
      </c>
      <c r="L60" s="146">
        <f>SUMIF('2025 AC'!$B$3:$B$250,"*"&amp;$D60&amp;"*",'2025 AC'!J$3:J$250)</f>
        <v>0</v>
      </c>
      <c r="M60" s="146">
        <f>SUMIF('2025 AC'!$B$3:$B$250,"*"&amp;$D60&amp;"*",'2025 AC'!K$3:K$250)</f>
        <v>0</v>
      </c>
      <c r="N60" s="146">
        <f>SUMIF('2025 AC'!$B$3:$B$250,"*"&amp;$D60&amp;"*",'2025 AC'!L$3:L$250)</f>
        <v>0</v>
      </c>
      <c r="O60" s="146">
        <f>SUMIF('2025 AC'!$B$3:$B$250,"*"&amp;$D60&amp;"*",'2025 AC'!M$3:M$250)</f>
        <v>0</v>
      </c>
      <c r="P60" s="146">
        <f>SUMIF('2025 AC'!$B$3:$B$250,"*"&amp;$D60&amp;"*",'2025 AC'!N$3:N$250)</f>
        <v>22500</v>
      </c>
      <c r="Q60" s="149">
        <f t="shared" si="316"/>
        <v>22500</v>
      </c>
      <c r="R60" s="147">
        <f t="shared" si="303"/>
        <v>0</v>
      </c>
      <c r="S60" s="147">
        <f t="shared" si="304"/>
        <v>0</v>
      </c>
      <c r="T60" s="147">
        <f t="shared" si="305"/>
        <v>0</v>
      </c>
      <c r="U60" s="147">
        <f t="shared" si="306"/>
        <v>22500</v>
      </c>
      <c r="V60" s="148">
        <f t="shared" si="307"/>
        <v>22500</v>
      </c>
    </row>
    <row r="61" outlineLevel="1">
      <c r="C61" s="34" t="s">
        <v>129</v>
      </c>
      <c r="D61" s="35" t="s">
        <v>130</v>
      </c>
      <c r="E61" s="63">
        <f>SUMIF('2025 AC'!$B$3:$B$250,"*"&amp;$D61&amp;"*",'2025 AC'!C$3:C$250)</f>
        <v>0</v>
      </c>
      <c r="F61" s="53">
        <f>SUMIF('2025 AC'!$B$3:$B$250,"*"&amp;$D61&amp;"*",'2025 AC'!D$3:D$250)</f>
        <v>0</v>
      </c>
      <c r="G61" s="53">
        <f>SUMIF('2025 AC'!$B$3:$B$250,"*"&amp;$D61&amp;"*",'2025 AC'!E$3:E$250)</f>
        <v>0</v>
      </c>
      <c r="H61" s="53">
        <f>SUMIF('2025 AC'!$B$3:$B$250,"*"&amp;$D61&amp;"*",'2025 AC'!F$3:F$250)</f>
        <v>0</v>
      </c>
      <c r="I61" s="53">
        <f>SUMIF('2025 AC'!$B$3:$B$250,"*"&amp;$D61&amp;"*",'2025 AC'!G$3:G$250)</f>
        <v>0</v>
      </c>
      <c r="J61" s="53">
        <f>SUMIF('2025 AC'!$B$3:$B$250,"*"&amp;$D61&amp;"*",'2025 AC'!H$3:H$250)</f>
        <v>0</v>
      </c>
      <c r="K61" s="53">
        <f>SUMIF('2025 AC'!$B$3:$B$250,"*"&amp;$D61&amp;"*",'2025 AC'!I$3:I$250)</f>
        <v>0</v>
      </c>
      <c r="L61" s="53">
        <f>SUMIF('2025 AC'!$B$3:$B$250,"*"&amp;$D61&amp;"*",'2025 AC'!J$3:J$250)</f>
        <v>0</v>
      </c>
      <c r="M61" s="53">
        <f>SUMIF('2025 AC'!$B$3:$B$250,"*"&amp;$D61&amp;"*",'2025 AC'!K$3:K$250)</f>
        <v>0</v>
      </c>
      <c r="N61" s="53">
        <f>SUMIF('2025 AC'!$B$3:$B$250,"*"&amp;$D61&amp;"*",'2025 AC'!L$3:L$250)</f>
        <v>0</v>
      </c>
      <c r="O61" s="53">
        <f>SUMIF('2025 AC'!$B$3:$B$250,"*"&amp;$D61&amp;"*",'2025 AC'!M$3:M$250)</f>
        <v>0</v>
      </c>
      <c r="P61" s="53">
        <f>SUMIF('2025 AC'!$B$3:$B$250,"*"&amp;$D61&amp;"*",'2025 AC'!N$3:N$250)</f>
        <v>22500</v>
      </c>
      <c r="Q61" s="94">
        <f t="shared" si="316"/>
        <v>22500</v>
      </c>
      <c r="R61" s="93">
        <f t="shared" si="303"/>
        <v>0</v>
      </c>
      <c r="S61" s="93">
        <f t="shared" si="304"/>
        <v>0</v>
      </c>
      <c r="T61" s="93">
        <f t="shared" si="305"/>
        <v>0</v>
      </c>
      <c r="U61" s="93">
        <f t="shared" si="306"/>
        <v>22500</v>
      </c>
      <c r="V61" s="92">
        <f t="shared" si="307"/>
        <v>22500</v>
      </c>
    </row>
    <row r="62">
      <c r="C62" s="34"/>
      <c r="D62" s="35"/>
      <c r="E62" s="6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94"/>
      <c r="R62" s="93">
        <f t="shared" si="303"/>
        <v>0</v>
      </c>
      <c r="S62" s="93">
        <f t="shared" si="304"/>
        <v>0</v>
      </c>
      <c r="T62" s="93">
        <f t="shared" si="305"/>
        <v>0</v>
      </c>
      <c r="U62" s="93">
        <f t="shared" si="306"/>
        <v>0</v>
      </c>
      <c r="V62" s="92">
        <f t="shared" si="307"/>
        <v>0</v>
      </c>
    </row>
    <row r="63" s="164" customFormat="1">
      <c r="C63" s="165" t="s">
        <v>131</v>
      </c>
      <c r="D63" s="166"/>
      <c r="E63" s="168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72"/>
      <c r="R63" s="170">
        <f t="shared" si="303"/>
        <v>0</v>
      </c>
      <c r="S63" s="170">
        <f t="shared" si="304"/>
        <v>0</v>
      </c>
      <c r="T63" s="170">
        <f t="shared" si="305"/>
        <v>0</v>
      </c>
      <c r="U63" s="170">
        <f t="shared" si="306"/>
        <v>0</v>
      </c>
      <c r="V63" s="171">
        <f t="shared" si="307"/>
        <v>0</v>
      </c>
    </row>
    <row r="64" s="164" customFormat="1">
      <c r="C64" s="165"/>
      <c r="D64" s="166"/>
      <c r="E64" s="168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72"/>
      <c r="R64" s="170">
        <f t="shared" si="303"/>
        <v>0</v>
      </c>
      <c r="S64" s="170">
        <f t="shared" si="304"/>
        <v>0</v>
      </c>
      <c r="T64" s="170">
        <f t="shared" si="305"/>
        <v>0</v>
      </c>
      <c r="U64" s="170">
        <f t="shared" si="306"/>
        <v>0</v>
      </c>
      <c r="V64" s="171">
        <f t="shared" si="307"/>
        <v>0</v>
      </c>
    </row>
    <row r="65" s="137" customFormat="1">
      <c r="C65" s="173" t="s">
        <v>132</v>
      </c>
      <c r="D65" s="139" t="s">
        <v>133</v>
      </c>
      <c r="E65" s="145">
        <f>SUMIF('2025 AC'!$B$3:$B$250,"*"&amp;$D65&amp;"*",'2025 AC'!C$3:C$250)</f>
        <v>0</v>
      </c>
      <c r="F65" s="146">
        <f>SUMIF('2025 AC'!$B$3:$B$250,"*"&amp;$D65&amp;"*",'2025 AC'!D$3:D$250)</f>
        <v>0</v>
      </c>
      <c r="G65" s="146">
        <f>SUMIF('2025 AC'!$B$3:$B$250,"*"&amp;$D65&amp;"*",'2025 AC'!E$3:E$250)</f>
        <v>0</v>
      </c>
      <c r="H65" s="146">
        <f>SUMIF('2025 AC'!$B$3:$B$250,"*"&amp;$D65&amp;"*",'2025 AC'!F$3:F$250)</f>
        <v>0</v>
      </c>
      <c r="I65" s="146">
        <f>SUMIF('2025 AC'!$B$3:$B$250,"*"&amp;$D65&amp;"*",'2025 AC'!G$3:G$250)</f>
        <v>0</v>
      </c>
      <c r="J65" s="146">
        <f>SUMIF('2025 AC'!$B$3:$B$250,"*"&amp;$D65&amp;"*",'2025 AC'!H$3:H$250)</f>
        <v>0</v>
      </c>
      <c r="K65" s="146">
        <f>SUMIF('2025 AC'!$B$3:$B$250,"*"&amp;$D65&amp;"*",'2025 AC'!I$3:I$250)</f>
        <v>0</v>
      </c>
      <c r="L65" s="146">
        <f>SUMIF('2025 AC'!$B$3:$B$250,"*"&amp;$D65&amp;"*",'2025 AC'!J$3:J$250)</f>
        <v>0</v>
      </c>
      <c r="M65" s="146">
        <f>SUMIF('2025 AC'!$B$3:$B$250,"*"&amp;$D65&amp;"*",'2025 AC'!K$3:K$250)</f>
        <v>0</v>
      </c>
      <c r="N65" s="146">
        <f>SUMIF('2025 AC'!$B$3:$B$250,"*"&amp;$D65&amp;"*",'2025 AC'!L$3:L$250)</f>
        <v>0</v>
      </c>
      <c r="O65" s="146">
        <f>SUMIF('2025 AC'!$B$3:$B$250,"*"&amp;$D65&amp;"*",'2025 AC'!M$3:M$250)</f>
        <v>0</v>
      </c>
      <c r="P65" s="146">
        <f>SUMIF('2025 AC'!$B$3:$B$250,"*"&amp;$D65&amp;"*",'2025 AC'!N$3:N$250)</f>
        <v>0</v>
      </c>
      <c r="Q65" s="149">
        <f t="shared" si="316"/>
        <v>0</v>
      </c>
      <c r="R65" s="147">
        <f t="shared" si="303"/>
        <v>0</v>
      </c>
      <c r="S65" s="147">
        <f t="shared" si="304"/>
        <v>0</v>
      </c>
      <c r="T65" s="147">
        <f t="shared" si="305"/>
        <v>0</v>
      </c>
      <c r="U65" s="147">
        <f t="shared" si="306"/>
        <v>0</v>
      </c>
      <c r="V65" s="148">
        <f t="shared" si="307"/>
        <v>0</v>
      </c>
    </row>
    <row r="66" s="137" customFormat="1">
      <c r="C66" s="173" t="s">
        <v>134</v>
      </c>
      <c r="D66" s="139" t="s">
        <v>135</v>
      </c>
      <c r="E66" s="145">
        <f>SUMIF('2025 AC'!$B$3:$B$250,"*"&amp;$D66&amp;"*",'2025 AC'!C$3:C$250)</f>
        <v>0</v>
      </c>
      <c r="F66" s="146">
        <f>SUMIF('2025 AC'!$B$3:$B$250,"*"&amp;$D66&amp;"*",'2025 AC'!D$3:D$250)</f>
        <v>0</v>
      </c>
      <c r="G66" s="146">
        <f>SUMIF('2025 AC'!$B$3:$B$250,"*"&amp;$D66&amp;"*",'2025 AC'!E$3:E$250)</f>
        <v>0</v>
      </c>
      <c r="H66" s="146">
        <f>SUMIF('2025 AC'!$B$3:$B$250,"*"&amp;$D66&amp;"*",'2025 AC'!F$3:F$250)</f>
        <v>0</v>
      </c>
      <c r="I66" s="146">
        <f>SUMIF('2025 AC'!$B$3:$B$250,"*"&amp;$D66&amp;"*",'2025 AC'!G$3:G$250)</f>
        <v>0</v>
      </c>
      <c r="J66" s="146">
        <f>SUMIF('2025 AC'!$B$3:$B$250,"*"&amp;$D66&amp;"*",'2025 AC'!H$3:H$250)</f>
        <v>0</v>
      </c>
      <c r="K66" s="146">
        <f>SUMIF('2025 AC'!$B$3:$B$250,"*"&amp;$D66&amp;"*",'2025 AC'!I$3:I$250)</f>
        <v>0</v>
      </c>
      <c r="L66" s="146">
        <f>SUMIF('2025 AC'!$B$3:$B$250,"*"&amp;$D66&amp;"*",'2025 AC'!J$3:J$250)</f>
        <v>0</v>
      </c>
      <c r="M66" s="146">
        <f>SUMIF('2025 AC'!$B$3:$B$250,"*"&amp;$D66&amp;"*",'2025 AC'!K$3:K$250)</f>
        <v>0</v>
      </c>
      <c r="N66" s="146">
        <f>SUMIF('2025 AC'!$B$3:$B$250,"*"&amp;$D66&amp;"*",'2025 AC'!L$3:L$250)</f>
        <v>0</v>
      </c>
      <c r="O66" s="146">
        <f>SUMIF('2025 AC'!$B$3:$B$250,"*"&amp;$D66&amp;"*",'2025 AC'!M$3:M$250)</f>
        <v>0</v>
      </c>
      <c r="P66" s="146">
        <f>SUMIF('2025 AC'!$B$3:$B$250,"*"&amp;$D66&amp;"*",'2025 AC'!N$3:N$250)</f>
        <v>0</v>
      </c>
      <c r="Q66" s="149">
        <f t="shared" si="316"/>
        <v>0</v>
      </c>
      <c r="R66" s="147">
        <f t="shared" si="303"/>
        <v>0</v>
      </c>
      <c r="S66" s="147">
        <f t="shared" si="304"/>
        <v>0</v>
      </c>
      <c r="T66" s="147">
        <f t="shared" si="305"/>
        <v>0</v>
      </c>
      <c r="U66" s="147">
        <f t="shared" si="306"/>
        <v>0</v>
      </c>
      <c r="V66" s="148">
        <f t="shared" si="307"/>
        <v>0</v>
      </c>
    </row>
    <row r="67" outlineLevel="1">
      <c r="C67" s="34" t="s">
        <v>136</v>
      </c>
      <c r="D67" s="35" t="s">
        <v>137</v>
      </c>
      <c r="E67" s="63">
        <f>SUMIF('2025 AC'!$B$3:$B$250,"*"&amp;$D67&amp;"*",'2025 AC'!C$3:C$250)</f>
        <v>0</v>
      </c>
      <c r="F67" s="53">
        <f>SUMIF('2025 AC'!$B$3:$B$250,"*"&amp;$D67&amp;"*",'2025 AC'!D$3:D$250)</f>
        <v>0</v>
      </c>
      <c r="G67" s="53">
        <f>SUMIF('2025 AC'!$B$3:$B$250,"*"&amp;$D67&amp;"*",'2025 AC'!E$3:E$250)</f>
        <v>0</v>
      </c>
      <c r="H67" s="53">
        <f>SUMIF('2025 AC'!$B$3:$B$250,"*"&amp;$D67&amp;"*",'2025 AC'!F$3:F$250)</f>
        <v>0</v>
      </c>
      <c r="I67" s="53">
        <f>SUMIF('2025 AC'!$B$3:$B$250,"*"&amp;$D67&amp;"*",'2025 AC'!G$3:G$250)</f>
        <v>0</v>
      </c>
      <c r="J67" s="53">
        <f>SUMIF('2025 AC'!$B$3:$B$250,"*"&amp;$D67&amp;"*",'2025 AC'!H$3:H$250)</f>
        <v>0</v>
      </c>
      <c r="K67" s="53">
        <f>SUMIF('2025 AC'!$B$3:$B$250,"*"&amp;$D67&amp;"*",'2025 AC'!I$3:I$250)</f>
        <v>0</v>
      </c>
      <c r="L67" s="53">
        <f>SUMIF('2025 AC'!$B$3:$B$250,"*"&amp;$D67&amp;"*",'2025 AC'!J$3:J$250)</f>
        <v>0</v>
      </c>
      <c r="M67" s="53">
        <f>SUMIF('2025 AC'!$B$3:$B$250,"*"&amp;$D67&amp;"*",'2025 AC'!K$3:K$250)</f>
        <v>0</v>
      </c>
      <c r="N67" s="53">
        <f>SUMIF('2025 AC'!$B$3:$B$250,"*"&amp;$D67&amp;"*",'2025 AC'!L$3:L$250)</f>
        <v>0</v>
      </c>
      <c r="O67" s="53">
        <f>SUMIF('2025 AC'!$B$3:$B$250,"*"&amp;$D67&amp;"*",'2025 AC'!M$3:M$250)</f>
        <v>0</v>
      </c>
      <c r="P67" s="53">
        <f>SUMIF('2025 AC'!$B$3:$B$250,"*"&amp;$D67&amp;"*",'2025 AC'!N$3:N$250)</f>
        <v>0</v>
      </c>
      <c r="Q67" s="94">
        <f t="shared" si="316"/>
        <v>0</v>
      </c>
      <c r="R67" s="93">
        <f t="shared" si="303"/>
        <v>0</v>
      </c>
      <c r="S67" s="93">
        <f t="shared" si="304"/>
        <v>0</v>
      </c>
      <c r="T67" s="93">
        <f t="shared" si="305"/>
        <v>0</v>
      </c>
      <c r="U67" s="93">
        <f t="shared" si="306"/>
        <v>0</v>
      </c>
      <c r="V67" s="92">
        <f t="shared" si="307"/>
        <v>0</v>
      </c>
    </row>
    <row r="68" outlineLevel="1">
      <c r="C68" s="34" t="s">
        <v>138</v>
      </c>
      <c r="D68" s="35" t="s">
        <v>139</v>
      </c>
      <c r="E68" s="63">
        <f>SUMIF('2025 AC'!$B$3:$B$250,"*"&amp;$D68&amp;"*",'2025 AC'!C$3:C$250)</f>
        <v>0</v>
      </c>
      <c r="F68" s="53">
        <f>SUMIF('2025 AC'!$B$3:$B$250,"*"&amp;$D68&amp;"*",'2025 AC'!D$3:D$250)</f>
        <v>0</v>
      </c>
      <c r="G68" s="53">
        <f>SUMIF('2025 AC'!$B$3:$B$250,"*"&amp;$D68&amp;"*",'2025 AC'!E$3:E$250)</f>
        <v>0</v>
      </c>
      <c r="H68" s="53">
        <f>SUMIF('2025 AC'!$B$3:$B$250,"*"&amp;$D68&amp;"*",'2025 AC'!F$3:F$250)</f>
        <v>0</v>
      </c>
      <c r="I68" s="53">
        <f>SUMIF('2025 AC'!$B$3:$B$250,"*"&amp;$D68&amp;"*",'2025 AC'!G$3:G$250)</f>
        <v>0</v>
      </c>
      <c r="J68" s="53">
        <f>SUMIF('2025 AC'!$B$3:$B$250,"*"&amp;$D68&amp;"*",'2025 AC'!H$3:H$250)</f>
        <v>0</v>
      </c>
      <c r="K68" s="53">
        <f>SUMIF('2025 AC'!$B$3:$B$250,"*"&amp;$D68&amp;"*",'2025 AC'!I$3:I$250)</f>
        <v>0</v>
      </c>
      <c r="L68" s="53">
        <f>SUMIF('2025 AC'!$B$3:$B$250,"*"&amp;$D68&amp;"*",'2025 AC'!J$3:J$250)</f>
        <v>0</v>
      </c>
      <c r="M68" s="53">
        <f>SUMIF('2025 AC'!$B$3:$B$250,"*"&amp;$D68&amp;"*",'2025 AC'!K$3:K$250)</f>
        <v>0</v>
      </c>
      <c r="N68" s="53">
        <f>SUMIF('2025 AC'!$B$3:$B$250,"*"&amp;$D68&amp;"*",'2025 AC'!L$3:L$250)</f>
        <v>0</v>
      </c>
      <c r="O68" s="53">
        <f>SUMIF('2025 AC'!$B$3:$B$250,"*"&amp;$D68&amp;"*",'2025 AC'!M$3:M$250)</f>
        <v>0</v>
      </c>
      <c r="P68" s="53">
        <f>SUMIF('2025 AC'!$B$3:$B$250,"*"&amp;$D68&amp;"*",'2025 AC'!N$3:N$250)</f>
        <v>0</v>
      </c>
      <c r="Q68" s="94">
        <f t="shared" si="316"/>
        <v>0</v>
      </c>
      <c r="R68" s="93">
        <f t="shared" si="303"/>
        <v>0</v>
      </c>
      <c r="S68" s="93">
        <f t="shared" si="304"/>
        <v>0</v>
      </c>
      <c r="T68" s="93">
        <f t="shared" si="305"/>
        <v>0</v>
      </c>
      <c r="U68" s="93">
        <f t="shared" si="306"/>
        <v>0</v>
      </c>
      <c r="V68" s="92">
        <f t="shared" si="307"/>
        <v>0</v>
      </c>
    </row>
    <row r="69">
      <c r="A69" t="s">
        <v>140</v>
      </c>
      <c r="B69" t="s">
        <v>130</v>
      </c>
      <c r="C69" s="34"/>
      <c r="D69" s="35"/>
      <c r="E69" s="6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94"/>
      <c r="R69" s="93">
        <f t="shared" si="303"/>
        <v>0</v>
      </c>
      <c r="S69" s="93">
        <f t="shared" si="304"/>
        <v>0</v>
      </c>
      <c r="T69" s="93">
        <f t="shared" si="305"/>
        <v>0</v>
      </c>
      <c r="U69" s="93">
        <f t="shared" si="306"/>
        <v>0</v>
      </c>
      <c r="V69" s="92">
        <f t="shared" si="307"/>
        <v>0</v>
      </c>
    </row>
    <row r="70" s="125" customFormat="1">
      <c r="A70" s="174"/>
      <c r="C70" s="175" t="s">
        <v>141</v>
      </c>
      <c r="D70" s="127"/>
      <c r="E70" s="180">
        <f t="shared" ref="E70:P70" si="318">E27+E38+E45+E52+E55+E57+E60+E65+E66</f>
        <v>470439.94</v>
      </c>
      <c r="F70" s="181">
        <f t="shared" si="318"/>
        <v>432995.45999999996</v>
      </c>
      <c r="G70" s="181">
        <f t="shared" si="318"/>
        <v>441561.97999999998</v>
      </c>
      <c r="H70" s="181">
        <f t="shared" si="318"/>
        <v>405954.77000000002</v>
      </c>
      <c r="I70" s="181">
        <f t="shared" si="318"/>
        <v>495391.32000000001</v>
      </c>
      <c r="J70" s="181">
        <f t="shared" si="318"/>
        <v>427388.51000000001</v>
      </c>
      <c r="K70" s="181">
        <f t="shared" si="318"/>
        <v>433310.16999999998</v>
      </c>
      <c r="L70" s="181">
        <f t="shared" si="318"/>
        <v>479592.41999999998</v>
      </c>
      <c r="M70" s="181">
        <f t="shared" si="318"/>
        <v>496423.23999999993</v>
      </c>
      <c r="N70" s="181">
        <f t="shared" si="318"/>
        <v>318096.53000000003</v>
      </c>
      <c r="O70" s="181">
        <f t="shared" si="318"/>
        <v>415571.41999999998</v>
      </c>
      <c r="P70" s="181">
        <f t="shared" si="318"/>
        <v>630066.90000000002</v>
      </c>
      <c r="Q70" s="184">
        <f t="shared" si="316"/>
        <v>5446792.6599999992</v>
      </c>
      <c r="R70" s="182">
        <f t="shared" si="303"/>
        <v>1344997.3799999999</v>
      </c>
      <c r="S70" s="182">
        <f t="shared" si="304"/>
        <v>1328734.6000000001</v>
      </c>
      <c r="T70" s="182">
        <f t="shared" si="305"/>
        <v>1409325.8299999998</v>
      </c>
      <c r="U70" s="182">
        <f t="shared" si="306"/>
        <v>1363734.8500000001</v>
      </c>
      <c r="V70" s="183">
        <f t="shared" si="307"/>
        <v>5446792.6600000001</v>
      </c>
    </row>
    <row r="71">
      <c r="A71" s="185" t="s">
        <v>131</v>
      </c>
      <c r="C71" s="34"/>
      <c r="D71" s="35"/>
      <c r="E71" s="6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94"/>
      <c r="R71" s="93">
        <f t="shared" si="303"/>
        <v>0</v>
      </c>
      <c r="S71" s="93">
        <f t="shared" si="304"/>
        <v>0</v>
      </c>
      <c r="T71" s="93">
        <f t="shared" si="305"/>
        <v>0</v>
      </c>
      <c r="U71" s="93">
        <f t="shared" si="306"/>
        <v>0</v>
      </c>
      <c r="V71" s="92">
        <f t="shared" si="307"/>
        <v>0</v>
      </c>
    </row>
    <row r="72">
      <c r="A72" s="185" t="s">
        <v>142</v>
      </c>
      <c r="C72" s="136" t="s">
        <v>143</v>
      </c>
      <c r="D72" s="35"/>
      <c r="E72" s="6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94"/>
      <c r="R72" s="93">
        <f t="shared" si="303"/>
        <v>0</v>
      </c>
      <c r="S72" s="93">
        <f t="shared" si="304"/>
        <v>0</v>
      </c>
      <c r="T72" s="93">
        <f t="shared" si="305"/>
        <v>0</v>
      </c>
      <c r="U72" s="93">
        <f t="shared" si="306"/>
        <v>0</v>
      </c>
      <c r="V72" s="92">
        <f t="shared" si="307"/>
        <v>0</v>
      </c>
    </row>
    <row r="73">
      <c r="A73" s="185"/>
      <c r="C73" s="136"/>
      <c r="D73" s="35"/>
      <c r="E73" s="6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94"/>
      <c r="R73" s="93">
        <f t="shared" si="303"/>
        <v>0</v>
      </c>
      <c r="S73" s="93">
        <f t="shared" si="304"/>
        <v>0</v>
      </c>
      <c r="T73" s="93">
        <f t="shared" si="305"/>
        <v>0</v>
      </c>
      <c r="U73" s="93">
        <f t="shared" si="306"/>
        <v>0</v>
      </c>
      <c r="V73" s="92">
        <f t="shared" si="307"/>
        <v>0</v>
      </c>
    </row>
    <row r="74" s="137" customFormat="1">
      <c r="A74" s="137" t="s">
        <v>144</v>
      </c>
      <c r="B74" s="137" t="s">
        <v>145</v>
      </c>
      <c r="C74" s="138" t="s">
        <v>146</v>
      </c>
      <c r="D74" s="139" t="s">
        <v>145</v>
      </c>
      <c r="E74" s="145">
        <f>SUMIF('2025 AC'!$B$3:$B$250,"*"&amp;$D74&amp;"*",'2025 AC'!C$3:C$250)</f>
        <v>30020.349999999999</v>
      </c>
      <c r="F74" s="146">
        <f>SUMIF('2025 AC'!$B$3:$B$250,"*"&amp;$D74&amp;"*",'2025 AC'!D$3:D$250)</f>
        <v>0</v>
      </c>
      <c r="G74" s="146">
        <f>SUMIF('2025 AC'!$B$3:$B$250,"*"&amp;$D74&amp;"*",'2025 AC'!E$3:E$250)</f>
        <v>0</v>
      </c>
      <c r="H74" s="146">
        <f>SUMIF('2025 AC'!$B$3:$B$250,"*"&amp;$D74&amp;"*",'2025 AC'!F$3:F$250)</f>
        <v>0</v>
      </c>
      <c r="I74" s="146">
        <f>SUMIF('2025 AC'!$B$3:$B$250,"*"&amp;$D74&amp;"*",'2025 AC'!G$3:G$250)</f>
        <v>0</v>
      </c>
      <c r="J74" s="146">
        <f>SUMIF('2025 AC'!$B$3:$B$250,"*"&amp;$D74&amp;"*",'2025 AC'!H$3:H$250)</f>
        <v>0</v>
      </c>
      <c r="K74" s="146">
        <f>SUMIF('2025 AC'!$B$3:$B$250,"*"&amp;$D74&amp;"*",'2025 AC'!I$3:I$250)</f>
        <v>0</v>
      </c>
      <c r="L74" s="146">
        <f>SUMIF('2025 AC'!$B$3:$B$250,"*"&amp;$D74&amp;"*",'2025 AC'!J$3:J$250)</f>
        <v>0</v>
      </c>
      <c r="M74" s="146">
        <f>SUMIF('2025 AC'!$B$3:$B$250,"*"&amp;$D74&amp;"*",'2025 AC'!K$3:K$250)</f>
        <v>0</v>
      </c>
      <c r="N74" s="146">
        <f>SUMIF('2025 AC'!$B$3:$B$250,"*"&amp;$D74&amp;"*",'2025 AC'!L$3:L$250)</f>
        <v>0</v>
      </c>
      <c r="O74" s="146">
        <f>SUMIF('2025 AC'!$B$3:$B$250,"*"&amp;$D74&amp;"*",'2025 AC'!M$3:M$250)</f>
        <v>0</v>
      </c>
      <c r="P74" s="146">
        <f>SUMIF('2025 AC'!$B$3:$B$250,"*"&amp;$D74&amp;"*",'2025 AC'!N$3:N$250)</f>
        <v>0</v>
      </c>
      <c r="Q74" s="149">
        <f t="shared" si="316"/>
        <v>30020.349999999999</v>
      </c>
      <c r="R74" s="147">
        <f t="shared" ref="R74:R137" si="319">SUM(E74:G74)</f>
        <v>30020.349999999999</v>
      </c>
      <c r="S74" s="147">
        <f t="shared" ref="S74:S137" si="320">SUM(H74:J74)</f>
        <v>0</v>
      </c>
      <c r="T74" s="147">
        <f t="shared" ref="T74:T137" si="321">SUM(K74:M74)</f>
        <v>0</v>
      </c>
      <c r="U74" s="147">
        <f t="shared" ref="U74:U137" si="322">SUM(N74:P74)</f>
        <v>0</v>
      </c>
      <c r="V74" s="148">
        <f t="shared" ref="V74:V137" si="323">SUM(R74:U74)</f>
        <v>30020.349999999999</v>
      </c>
    </row>
    <row r="75" s="137" customFormat="1">
      <c r="A75" s="137" t="s">
        <v>147</v>
      </c>
      <c r="B75" s="137" t="s">
        <v>148</v>
      </c>
      <c r="C75" s="138" t="s">
        <v>149</v>
      </c>
      <c r="D75" s="139" t="s">
        <v>148</v>
      </c>
      <c r="E75" s="145">
        <f>SUMIF('2025 AC'!$B$3:$B$250,"*"&amp;$D75&amp;"*",'2025 AC'!C$3:C$250)</f>
        <v>46246.849999999999</v>
      </c>
      <c r="F75" s="146">
        <f>SUMIF('2025 AC'!$B$3:$B$250,"*"&amp;$D75&amp;"*",'2025 AC'!D$3:D$250)</f>
        <v>45368.599999999999</v>
      </c>
      <c r="G75" s="146">
        <f>SUMIF('2025 AC'!$B$3:$B$250,"*"&amp;$D75&amp;"*",'2025 AC'!E$3:E$250)</f>
        <v>21607.91</v>
      </c>
      <c r="H75" s="146">
        <f>SUMIF('2025 AC'!$B$3:$B$250,"*"&amp;$D75&amp;"*",'2025 AC'!F$3:F$250)</f>
        <v>33942.410000000003</v>
      </c>
      <c r="I75" s="146">
        <f>SUMIF('2025 AC'!$B$3:$B$250,"*"&amp;$D75&amp;"*",'2025 AC'!G$3:G$250)</f>
        <v>37913.169999999998</v>
      </c>
      <c r="J75" s="146">
        <f>SUMIF('2025 AC'!$B$3:$B$250,"*"&amp;$D75&amp;"*",'2025 AC'!H$3:H$250)</f>
        <v>35070.410000000003</v>
      </c>
      <c r="K75" s="146">
        <f>SUMIF('2025 AC'!$B$3:$B$250,"*"&amp;$D75&amp;"*",'2025 AC'!I$3:I$250)</f>
        <v>9277.6200000000008</v>
      </c>
      <c r="L75" s="146">
        <f>SUMIF('2025 AC'!$B$3:$B$250,"*"&amp;$D75&amp;"*",'2025 AC'!J$3:J$250)</f>
        <v>48246.309999999998</v>
      </c>
      <c r="M75" s="146">
        <f>SUMIF('2025 AC'!$B$3:$B$250,"*"&amp;$D75&amp;"*",'2025 AC'!K$3:K$250)</f>
        <v>36973.730000000003</v>
      </c>
      <c r="N75" s="146">
        <f>SUMIF('2025 AC'!$B$3:$B$250,"*"&amp;$D75&amp;"*",'2025 AC'!L$3:L$250)</f>
        <v>55599.980000000003</v>
      </c>
      <c r="O75" s="146">
        <f>SUMIF('2025 AC'!$B$3:$B$250,"*"&amp;$D75&amp;"*",'2025 AC'!M$3:M$250)</f>
        <v>29202.48</v>
      </c>
      <c r="P75" s="146">
        <f>SUMIF('2025 AC'!$B$3:$B$250,"*"&amp;$D75&amp;"*",'2025 AC'!N$3:N$250)</f>
        <v>63364.550000000003</v>
      </c>
      <c r="Q75" s="149">
        <f t="shared" si="316"/>
        <v>462814.01999999996</v>
      </c>
      <c r="R75" s="147">
        <f t="shared" si="319"/>
        <v>113223.36</v>
      </c>
      <c r="S75" s="147">
        <f t="shared" si="320"/>
        <v>106925.99000000001</v>
      </c>
      <c r="T75" s="147">
        <f t="shared" si="321"/>
        <v>94497.660000000003</v>
      </c>
      <c r="U75" s="147">
        <f t="shared" si="322"/>
        <v>148167.01000000001</v>
      </c>
      <c r="V75" s="148">
        <f t="shared" si="323"/>
        <v>462814.02000000002</v>
      </c>
    </row>
    <row r="76" ht="15" customHeight="1" outlineLevel="1">
      <c r="A76" t="s">
        <v>150</v>
      </c>
      <c r="B76" t="s">
        <v>151</v>
      </c>
      <c r="C76" s="52" t="s">
        <v>152</v>
      </c>
      <c r="D76" s="35" t="s">
        <v>151</v>
      </c>
      <c r="E76" s="63">
        <f>SUMIF('2025 AC'!$B$3:$B$250,"*"&amp;$D76&amp;"*",'2025 AC'!C$3:C$250)</f>
        <v>16906.860000000001</v>
      </c>
      <c r="F76" s="53">
        <f>SUMIF('2025 AC'!$B$3:$B$250,"*"&amp;$D76&amp;"*",'2025 AC'!D$3:D$250)</f>
        <v>15678.049999999999</v>
      </c>
      <c r="G76" s="53">
        <f>SUMIF('2025 AC'!$B$3:$B$250,"*"&amp;$D76&amp;"*",'2025 AC'!E$3:E$250)</f>
        <v>2620</v>
      </c>
      <c r="H76" s="53">
        <f>SUMIF('2025 AC'!$B$3:$B$250,"*"&amp;$D76&amp;"*",'2025 AC'!F$3:F$250)</f>
        <v>9013</v>
      </c>
      <c r="I76" s="53">
        <f>SUMIF('2025 AC'!$B$3:$B$250,"*"&amp;$D76&amp;"*",'2025 AC'!G$3:G$250)</f>
        <v>14241</v>
      </c>
      <c r="J76" s="53">
        <f>SUMIF('2025 AC'!$B$3:$B$250,"*"&amp;$D76&amp;"*",'2025 AC'!H$3:H$250)</f>
        <v>8080</v>
      </c>
      <c r="K76" s="53">
        <f>SUMIF('2025 AC'!$B$3:$B$250,"*"&amp;$D76&amp;"*",'2025 AC'!I$3:I$250)</f>
        <v>9677.6200000000008</v>
      </c>
      <c r="L76" s="53">
        <f>SUMIF('2025 AC'!$B$3:$B$250,"*"&amp;$D76&amp;"*",'2025 AC'!J$3:J$250)</f>
        <v>23300.98</v>
      </c>
      <c r="M76" s="53">
        <f>SUMIF('2025 AC'!$B$3:$B$250,"*"&amp;$D76&amp;"*",'2025 AC'!K$3:K$250)</f>
        <v>11848</v>
      </c>
      <c r="N76" s="53">
        <f>SUMIF('2025 AC'!$B$3:$B$250,"*"&amp;$D76&amp;"*",'2025 AC'!L$3:L$250)</f>
        <v>29928</v>
      </c>
      <c r="O76" s="53">
        <f>SUMIF('2025 AC'!$B$3:$B$250,"*"&amp;$D76&amp;"*",'2025 AC'!M$3:M$250)</f>
        <v>6695</v>
      </c>
      <c r="P76" s="53">
        <f>SUMIF('2025 AC'!$B$3:$B$250,"*"&amp;$D76&amp;"*",'2025 AC'!N$3:N$250)</f>
        <v>11569</v>
      </c>
      <c r="Q76" s="94">
        <f t="shared" si="316"/>
        <v>159557.51000000001</v>
      </c>
      <c r="R76" s="93">
        <f t="shared" si="319"/>
        <v>35204.910000000003</v>
      </c>
      <c r="S76" s="93">
        <f t="shared" si="320"/>
        <v>31334</v>
      </c>
      <c r="T76" s="93">
        <f t="shared" si="321"/>
        <v>44826.599999999999</v>
      </c>
      <c r="U76" s="93">
        <f t="shared" si="322"/>
        <v>48192</v>
      </c>
      <c r="V76" s="92">
        <f t="shared" si="323"/>
        <v>159557.51000000001</v>
      </c>
    </row>
    <row r="77" ht="15" customHeight="1" outlineLevel="1">
      <c r="A77" t="s">
        <v>153</v>
      </c>
      <c r="B77" t="s">
        <v>154</v>
      </c>
      <c r="C77" s="52" t="s">
        <v>155</v>
      </c>
      <c r="D77" s="35" t="s">
        <v>154</v>
      </c>
      <c r="E77" s="63">
        <f>SUMIF('2025 AC'!$B$3:$B$250,"*"&amp;$D77&amp;"*",'2025 AC'!C$3:C$250)</f>
        <v>0</v>
      </c>
      <c r="F77" s="53">
        <f>SUMIF('2025 AC'!$B$3:$B$250,"*"&amp;$D77&amp;"*",'2025 AC'!D$3:D$250)</f>
        <v>0</v>
      </c>
      <c r="G77" s="53">
        <f>SUMIF('2025 AC'!$B$3:$B$250,"*"&amp;$D77&amp;"*",'2025 AC'!E$3:E$250)</f>
        <v>0</v>
      </c>
      <c r="H77" s="53">
        <f>SUMIF('2025 AC'!$B$3:$B$250,"*"&amp;$D77&amp;"*",'2025 AC'!F$3:F$250)</f>
        <v>0</v>
      </c>
      <c r="I77" s="53">
        <f>SUMIF('2025 AC'!$B$3:$B$250,"*"&amp;$D77&amp;"*",'2025 AC'!G$3:G$250)</f>
        <v>0</v>
      </c>
      <c r="J77" s="53">
        <f>SUMIF('2025 AC'!$B$3:$B$250,"*"&amp;$D77&amp;"*",'2025 AC'!H$3:H$250)</f>
        <v>0</v>
      </c>
      <c r="K77" s="53">
        <f>SUMIF('2025 AC'!$B$3:$B$250,"*"&amp;$D77&amp;"*",'2025 AC'!I$3:I$250)</f>
        <v>0</v>
      </c>
      <c r="L77" s="53">
        <f>SUMIF('2025 AC'!$B$3:$B$250,"*"&amp;$D77&amp;"*",'2025 AC'!J$3:J$250)</f>
        <v>0</v>
      </c>
      <c r="M77" s="53">
        <f>SUMIF('2025 AC'!$B$3:$B$250,"*"&amp;$D77&amp;"*",'2025 AC'!K$3:K$250)</f>
        <v>0</v>
      </c>
      <c r="N77" s="53">
        <f>SUMIF('2025 AC'!$B$3:$B$250,"*"&amp;$D77&amp;"*",'2025 AC'!L$3:L$250)</f>
        <v>0</v>
      </c>
      <c r="O77" s="53">
        <f>SUMIF('2025 AC'!$B$3:$B$250,"*"&amp;$D77&amp;"*",'2025 AC'!M$3:M$250)</f>
        <v>0</v>
      </c>
      <c r="P77" s="53">
        <f>SUMIF('2025 AC'!$B$3:$B$250,"*"&amp;$D77&amp;"*",'2025 AC'!N$3:N$250)</f>
        <v>0</v>
      </c>
      <c r="Q77" s="94">
        <f t="shared" si="316"/>
        <v>0</v>
      </c>
      <c r="R77" s="93">
        <f t="shared" si="319"/>
        <v>0</v>
      </c>
      <c r="S77" s="93">
        <f t="shared" si="320"/>
        <v>0</v>
      </c>
      <c r="T77" s="93">
        <f t="shared" si="321"/>
        <v>0</v>
      </c>
      <c r="U77" s="93">
        <f t="shared" si="322"/>
        <v>0</v>
      </c>
      <c r="V77" s="92">
        <f t="shared" si="323"/>
        <v>0</v>
      </c>
    </row>
    <row r="78" ht="15" customHeight="1" outlineLevel="1">
      <c r="A78" t="s">
        <v>156</v>
      </c>
      <c r="B78" t="s">
        <v>157</v>
      </c>
      <c r="C78" s="52" t="s">
        <v>158</v>
      </c>
      <c r="D78" s="35" t="s">
        <v>157</v>
      </c>
      <c r="E78" s="63">
        <f>SUMIF('2025 AC'!$B$3:$B$250,"*"&amp;$D78&amp;"*",'2025 AC'!C$3:C$250)</f>
        <v>0</v>
      </c>
      <c r="F78" s="53">
        <f>SUMIF('2025 AC'!$B$3:$B$250,"*"&amp;$D78&amp;"*",'2025 AC'!D$3:D$250)</f>
        <v>0</v>
      </c>
      <c r="G78" s="53">
        <f>SUMIF('2025 AC'!$B$3:$B$250,"*"&amp;$D78&amp;"*",'2025 AC'!E$3:E$250)</f>
        <v>0</v>
      </c>
      <c r="H78" s="53">
        <f>SUMIF('2025 AC'!$B$3:$B$250,"*"&amp;$D78&amp;"*",'2025 AC'!F$3:F$250)</f>
        <v>0</v>
      </c>
      <c r="I78" s="53">
        <f>SUMIF('2025 AC'!$B$3:$B$250,"*"&amp;$D78&amp;"*",'2025 AC'!G$3:G$250)</f>
        <v>0</v>
      </c>
      <c r="J78" s="53">
        <f>SUMIF('2025 AC'!$B$3:$B$250,"*"&amp;$D78&amp;"*",'2025 AC'!H$3:H$250)</f>
        <v>0</v>
      </c>
      <c r="K78" s="53">
        <f>SUMIF('2025 AC'!$B$3:$B$250,"*"&amp;$D78&amp;"*",'2025 AC'!I$3:I$250)</f>
        <v>0</v>
      </c>
      <c r="L78" s="53">
        <f>SUMIF('2025 AC'!$B$3:$B$250,"*"&amp;$D78&amp;"*",'2025 AC'!J$3:J$250)</f>
        <v>0</v>
      </c>
      <c r="M78" s="53">
        <f>SUMIF('2025 AC'!$B$3:$B$250,"*"&amp;$D78&amp;"*",'2025 AC'!K$3:K$250)</f>
        <v>0</v>
      </c>
      <c r="N78" s="53">
        <f>SUMIF('2025 AC'!$B$3:$B$250,"*"&amp;$D78&amp;"*",'2025 AC'!L$3:L$250)</f>
        <v>0</v>
      </c>
      <c r="O78" s="53">
        <f>SUMIF('2025 AC'!$B$3:$B$250,"*"&amp;$D78&amp;"*",'2025 AC'!M$3:M$250)</f>
        <v>0</v>
      </c>
      <c r="P78" s="53">
        <f>SUMIF('2025 AC'!$B$3:$B$250,"*"&amp;$D78&amp;"*",'2025 AC'!N$3:N$250)</f>
        <v>0</v>
      </c>
      <c r="Q78" s="94">
        <f t="shared" si="316"/>
        <v>0</v>
      </c>
      <c r="R78" s="93">
        <f t="shared" si="319"/>
        <v>0</v>
      </c>
      <c r="S78" s="93">
        <f t="shared" si="320"/>
        <v>0</v>
      </c>
      <c r="T78" s="93">
        <f t="shared" si="321"/>
        <v>0</v>
      </c>
      <c r="U78" s="93">
        <f t="shared" si="322"/>
        <v>0</v>
      </c>
      <c r="V78" s="92">
        <f t="shared" si="323"/>
        <v>0</v>
      </c>
    </row>
    <row r="79" ht="15" customHeight="1" outlineLevel="1">
      <c r="A79" t="s">
        <v>159</v>
      </c>
      <c r="B79" t="s">
        <v>160</v>
      </c>
      <c r="C79" s="34" t="s">
        <v>161</v>
      </c>
      <c r="D79" s="35" t="s">
        <v>160</v>
      </c>
      <c r="E79" s="63">
        <f>SUMIF('2025 AC'!$B$3:$B$250,"*"&amp;$D79&amp;"*",'2025 AC'!C$3:C$250)</f>
        <v>9.3000000000000007</v>
      </c>
      <c r="F79" s="53">
        <f>SUMIF('2025 AC'!$B$3:$B$250,"*"&amp;$D79&amp;"*",'2025 AC'!D$3:D$250)</f>
        <v>0</v>
      </c>
      <c r="G79" s="53">
        <f>SUMIF('2025 AC'!$B$3:$B$250,"*"&amp;$D79&amp;"*",'2025 AC'!E$3:E$250)</f>
        <v>0</v>
      </c>
      <c r="H79" s="53">
        <f>SUMIF('2025 AC'!$B$3:$B$250,"*"&amp;$D79&amp;"*",'2025 AC'!F$3:F$250)</f>
        <v>0</v>
      </c>
      <c r="I79" s="53">
        <f>SUMIF('2025 AC'!$B$3:$B$250,"*"&amp;$D79&amp;"*",'2025 AC'!G$3:G$250)</f>
        <v>0</v>
      </c>
      <c r="J79" s="53">
        <f>SUMIF('2025 AC'!$B$3:$B$250,"*"&amp;$D79&amp;"*",'2025 AC'!H$3:H$250)</f>
        <v>0</v>
      </c>
      <c r="K79" s="53">
        <f>SUMIF('2025 AC'!$B$3:$B$250,"*"&amp;$D79&amp;"*",'2025 AC'!I$3:I$250)</f>
        <v>0</v>
      </c>
      <c r="L79" s="53">
        <f>SUMIF('2025 AC'!$B$3:$B$250,"*"&amp;$D79&amp;"*",'2025 AC'!J$3:J$250)</f>
        <v>0</v>
      </c>
      <c r="M79" s="53">
        <f>SUMIF('2025 AC'!$B$3:$B$250,"*"&amp;$D79&amp;"*",'2025 AC'!K$3:K$250)</f>
        <v>0</v>
      </c>
      <c r="N79" s="53">
        <f>SUMIF('2025 AC'!$B$3:$B$250,"*"&amp;$D79&amp;"*",'2025 AC'!L$3:L$250)</f>
        <v>0</v>
      </c>
      <c r="O79" s="53">
        <f>SUMIF('2025 AC'!$B$3:$B$250,"*"&amp;$D79&amp;"*",'2025 AC'!M$3:M$250)</f>
        <v>0</v>
      </c>
      <c r="P79" s="53">
        <f>SUMIF('2025 AC'!$B$3:$B$250,"*"&amp;$D79&amp;"*",'2025 AC'!N$3:N$250)</f>
        <v>0</v>
      </c>
      <c r="Q79" s="94">
        <f t="shared" si="316"/>
        <v>9.3000000000000007</v>
      </c>
      <c r="R79" s="93">
        <f t="shared" si="319"/>
        <v>9.3000000000000007</v>
      </c>
      <c r="S79" s="93">
        <f t="shared" si="320"/>
        <v>0</v>
      </c>
      <c r="T79" s="93">
        <f t="shared" si="321"/>
        <v>0</v>
      </c>
      <c r="U79" s="93">
        <f t="shared" si="322"/>
        <v>0</v>
      </c>
      <c r="V79" s="92">
        <f t="shared" si="323"/>
        <v>9.3000000000000007</v>
      </c>
    </row>
    <row r="80" ht="15" customHeight="1" outlineLevel="1">
      <c r="A80" t="s">
        <v>162</v>
      </c>
      <c r="B80" t="s">
        <v>163</v>
      </c>
      <c r="C80" s="52" t="s">
        <v>164</v>
      </c>
      <c r="D80" s="35" t="s">
        <v>163</v>
      </c>
      <c r="E80" s="63">
        <f>SUMIF('2025 AC'!$B$3:$B$250,"*"&amp;$D80&amp;"*",'2025 AC'!C$3:C$250)</f>
        <v>0</v>
      </c>
      <c r="F80" s="53">
        <f>SUMIF('2025 AC'!$B$3:$B$250,"*"&amp;$D80&amp;"*",'2025 AC'!D$3:D$250)</f>
        <v>0</v>
      </c>
      <c r="G80" s="53">
        <f>SUMIF('2025 AC'!$B$3:$B$250,"*"&amp;$D80&amp;"*",'2025 AC'!E$3:E$250)</f>
        <v>0</v>
      </c>
      <c r="H80" s="53">
        <f>SUMIF('2025 AC'!$B$3:$B$250,"*"&amp;$D80&amp;"*",'2025 AC'!F$3:F$250)</f>
        <v>0</v>
      </c>
      <c r="I80" s="53">
        <f>SUMIF('2025 AC'!$B$3:$B$250,"*"&amp;$D80&amp;"*",'2025 AC'!G$3:G$250)</f>
        <v>0</v>
      </c>
      <c r="J80" s="53">
        <f>SUMIF('2025 AC'!$B$3:$B$250,"*"&amp;$D80&amp;"*",'2025 AC'!H$3:H$250)</f>
        <v>0</v>
      </c>
      <c r="K80" s="53">
        <f>SUMIF('2025 AC'!$B$3:$B$250,"*"&amp;$D80&amp;"*",'2025 AC'!I$3:I$250)</f>
        <v>0</v>
      </c>
      <c r="L80" s="53">
        <f>SUMIF('2025 AC'!$B$3:$B$250,"*"&amp;$D80&amp;"*",'2025 AC'!J$3:J$250)</f>
        <v>0</v>
      </c>
      <c r="M80" s="53">
        <f>SUMIF('2025 AC'!$B$3:$B$250,"*"&amp;$D80&amp;"*",'2025 AC'!K$3:K$250)</f>
        <v>0</v>
      </c>
      <c r="N80" s="53">
        <f>SUMIF('2025 AC'!$B$3:$B$250,"*"&amp;$D80&amp;"*",'2025 AC'!L$3:L$250)</f>
        <v>0</v>
      </c>
      <c r="O80" s="53">
        <f>SUMIF('2025 AC'!$B$3:$B$250,"*"&amp;$D80&amp;"*",'2025 AC'!M$3:M$250)</f>
        <v>0</v>
      </c>
      <c r="P80" s="53">
        <f>SUMIF('2025 AC'!$B$3:$B$250,"*"&amp;$D80&amp;"*",'2025 AC'!N$3:N$250)</f>
        <v>0</v>
      </c>
      <c r="Q80" s="94">
        <f t="shared" si="316"/>
        <v>0</v>
      </c>
      <c r="R80" s="93">
        <f t="shared" si="319"/>
        <v>0</v>
      </c>
      <c r="S80" s="93">
        <f t="shared" si="320"/>
        <v>0</v>
      </c>
      <c r="T80" s="93">
        <f t="shared" si="321"/>
        <v>0</v>
      </c>
      <c r="U80" s="93">
        <f t="shared" si="322"/>
        <v>0</v>
      </c>
      <c r="V80" s="92">
        <f t="shared" si="323"/>
        <v>0</v>
      </c>
    </row>
    <row r="81" ht="15" customHeight="1" outlineLevel="1">
      <c r="A81" t="s">
        <v>165</v>
      </c>
      <c r="B81" t="s">
        <v>166</v>
      </c>
      <c r="C81" s="52" t="s">
        <v>167</v>
      </c>
      <c r="D81" s="35" t="s">
        <v>166</v>
      </c>
      <c r="E81" s="63">
        <f>SUMIF('2025 AC'!$B$3:$B$250,"*"&amp;$D81&amp;"*",'2025 AC'!C$3:C$250)</f>
        <v>29330.689999999999</v>
      </c>
      <c r="F81" s="53">
        <f>SUMIF('2025 AC'!$B$3:$B$250,"*"&amp;$D81&amp;"*",'2025 AC'!D$3:D$250)</f>
        <v>29690.549999999999</v>
      </c>
      <c r="G81" s="53">
        <f>SUMIF('2025 AC'!$B$3:$B$250,"*"&amp;$D81&amp;"*",'2025 AC'!E$3:E$250)</f>
        <v>18987.91</v>
      </c>
      <c r="H81" s="53">
        <f>SUMIF('2025 AC'!$B$3:$B$250,"*"&amp;$D81&amp;"*",'2025 AC'!F$3:F$250)</f>
        <v>24929.41</v>
      </c>
      <c r="I81" s="53">
        <f>SUMIF('2025 AC'!$B$3:$B$250,"*"&amp;$D81&amp;"*",'2025 AC'!G$3:G$250)</f>
        <v>23672.169999999998</v>
      </c>
      <c r="J81" s="53">
        <f>SUMIF('2025 AC'!$B$3:$B$250,"*"&amp;$D81&amp;"*",'2025 AC'!H$3:H$250)</f>
        <v>26990.41</v>
      </c>
      <c r="K81" s="53">
        <f>SUMIF('2025 AC'!$B$3:$B$250,"*"&amp;$D81&amp;"*",'2025 AC'!I$3:I$250)</f>
        <v>-400</v>
      </c>
      <c r="L81" s="53">
        <f>SUMIF('2025 AC'!$B$3:$B$250,"*"&amp;$D81&amp;"*",'2025 AC'!J$3:J$250)</f>
        <v>24945.330000000002</v>
      </c>
      <c r="M81" s="53">
        <f>SUMIF('2025 AC'!$B$3:$B$250,"*"&amp;$D81&amp;"*",'2025 AC'!K$3:K$250)</f>
        <v>25125.73</v>
      </c>
      <c r="N81" s="53">
        <f>SUMIF('2025 AC'!$B$3:$B$250,"*"&amp;$D81&amp;"*",'2025 AC'!L$3:L$250)</f>
        <v>25671.98</v>
      </c>
      <c r="O81" s="53">
        <f>SUMIF('2025 AC'!$B$3:$B$250,"*"&amp;$D81&amp;"*",'2025 AC'!M$3:M$250)</f>
        <v>22507.48</v>
      </c>
      <c r="P81" s="53">
        <f>SUMIF('2025 AC'!$B$3:$B$250,"*"&amp;$D81&amp;"*",'2025 AC'!N$3:N$250)</f>
        <v>51795.550000000003</v>
      </c>
      <c r="Q81" s="94">
        <f t="shared" si="316"/>
        <v>303247.21000000002</v>
      </c>
      <c r="R81" s="93">
        <f t="shared" si="319"/>
        <v>78009.149999999994</v>
      </c>
      <c r="S81" s="93">
        <f t="shared" si="320"/>
        <v>75591.990000000005</v>
      </c>
      <c r="T81" s="93">
        <f t="shared" si="321"/>
        <v>49671.059999999998</v>
      </c>
      <c r="U81" s="93">
        <f t="shared" si="322"/>
        <v>99975.010000000009</v>
      </c>
      <c r="V81" s="92">
        <f t="shared" si="323"/>
        <v>303247.21000000002</v>
      </c>
    </row>
    <row r="82" s="137" customFormat="1" ht="15" customHeight="1">
      <c r="A82" s="137" t="s">
        <v>168</v>
      </c>
      <c r="B82" s="137" t="s">
        <v>169</v>
      </c>
      <c r="C82" s="187" t="s">
        <v>170</v>
      </c>
      <c r="D82" s="139" t="s">
        <v>169</v>
      </c>
      <c r="E82" s="145">
        <f>SUMIF('2025 AC'!$B$3:$B$250,"*"&amp;$D82&amp;"*",'2025 AC'!C$3:C$250)</f>
        <v>53144.940000000002</v>
      </c>
      <c r="F82" s="146">
        <f>SUMIF('2025 AC'!$B$3:$B$250,"*"&amp;$D82&amp;"*",'2025 AC'!D$3:D$250)</f>
        <v>32417.580000000002</v>
      </c>
      <c r="G82" s="146">
        <f>SUMIF('2025 AC'!$B$3:$B$250,"*"&amp;$D82&amp;"*",'2025 AC'!E$3:E$250)</f>
        <v>84998.970000000001</v>
      </c>
      <c r="H82" s="146">
        <f>SUMIF('2025 AC'!$B$3:$B$250,"*"&amp;$D82&amp;"*",'2025 AC'!F$3:F$250)</f>
        <v>32431.830000000002</v>
      </c>
      <c r="I82" s="146">
        <f>SUMIF('2025 AC'!$B$3:$B$250,"*"&amp;$D82&amp;"*",'2025 AC'!G$3:G$250)</f>
        <v>51290.209999999999</v>
      </c>
      <c r="J82" s="146">
        <f>SUMIF('2025 AC'!$B$3:$B$250,"*"&amp;$D82&amp;"*",'2025 AC'!H$3:H$250)</f>
        <v>26834.040000000001</v>
      </c>
      <c r="K82" s="146">
        <f>SUMIF('2025 AC'!$B$3:$B$250,"*"&amp;$D82&amp;"*",'2025 AC'!I$3:I$250)</f>
        <v>32072.540000000001</v>
      </c>
      <c r="L82" s="146">
        <f>SUMIF('2025 AC'!$B$3:$B$250,"*"&amp;$D82&amp;"*",'2025 AC'!J$3:J$250)</f>
        <v>33955.25</v>
      </c>
      <c r="M82" s="146">
        <f>SUMIF('2025 AC'!$B$3:$B$250,"*"&amp;$D82&amp;"*",'2025 AC'!K$3:K$250)</f>
        <v>41797.169999999998</v>
      </c>
      <c r="N82" s="146">
        <f>SUMIF('2025 AC'!$B$3:$B$250,"*"&amp;$D82&amp;"*",'2025 AC'!L$3:L$250)</f>
        <v>24190.240000000002</v>
      </c>
      <c r="O82" s="146">
        <f>SUMIF('2025 AC'!$B$3:$B$250,"*"&amp;$D82&amp;"*",'2025 AC'!M$3:M$250)</f>
        <v>43787.940000000002</v>
      </c>
      <c r="P82" s="146">
        <f>SUMIF('2025 AC'!$B$3:$B$250,"*"&amp;$D82&amp;"*",'2025 AC'!N$3:N$250)</f>
        <v>45608.650000000001</v>
      </c>
      <c r="Q82" s="149">
        <f t="shared" si="316"/>
        <v>502529.35999999999</v>
      </c>
      <c r="R82" s="147">
        <f t="shared" si="319"/>
        <v>170561.48999999999</v>
      </c>
      <c r="S82" s="147">
        <f t="shared" si="320"/>
        <v>110556.08000000002</v>
      </c>
      <c r="T82" s="147">
        <f t="shared" si="321"/>
        <v>107824.96000000001</v>
      </c>
      <c r="U82" s="147">
        <f t="shared" si="322"/>
        <v>113586.83000000002</v>
      </c>
      <c r="V82" s="148">
        <f t="shared" si="323"/>
        <v>502529.36000000004</v>
      </c>
    </row>
    <row r="83" ht="15" customHeight="1" outlineLevel="1">
      <c r="A83" t="s">
        <v>171</v>
      </c>
      <c r="B83" t="s">
        <v>172</v>
      </c>
      <c r="C83" s="34" t="s">
        <v>173</v>
      </c>
      <c r="D83" s="35" t="s">
        <v>172</v>
      </c>
      <c r="E83" s="63">
        <f>SUMIF('2025 AC'!$B$3:$B$250,"*"&amp;$D83&amp;"*",'2025 AC'!C$3:C$250)</f>
        <v>1625</v>
      </c>
      <c r="F83" s="53">
        <f>SUMIF('2025 AC'!$B$3:$B$250,"*"&amp;$D83&amp;"*",'2025 AC'!D$3:D$250)</f>
        <v>0</v>
      </c>
      <c r="G83" s="53">
        <f>SUMIF('2025 AC'!$B$3:$B$250,"*"&amp;$D83&amp;"*",'2025 AC'!E$3:E$250)</f>
        <v>83.849999999999994</v>
      </c>
      <c r="H83" s="53">
        <f>SUMIF('2025 AC'!$B$3:$B$250,"*"&amp;$D83&amp;"*",'2025 AC'!F$3:F$250)</f>
        <v>0</v>
      </c>
      <c r="I83" s="53">
        <f>SUMIF('2025 AC'!$B$3:$B$250,"*"&amp;$D83&amp;"*",'2025 AC'!G$3:G$250)</f>
        <v>130</v>
      </c>
      <c r="J83" s="53">
        <f>SUMIF('2025 AC'!$B$3:$B$250,"*"&amp;$D83&amp;"*",'2025 AC'!H$3:H$250)</f>
        <v>0</v>
      </c>
      <c r="K83" s="53">
        <f>SUMIF('2025 AC'!$B$3:$B$250,"*"&amp;$D83&amp;"*",'2025 AC'!I$3:I$250)</f>
        <v>0</v>
      </c>
      <c r="L83" s="53">
        <f>SUMIF('2025 AC'!$B$3:$B$250,"*"&amp;$D83&amp;"*",'2025 AC'!J$3:J$250)</f>
        <v>0</v>
      </c>
      <c r="M83" s="53">
        <f>SUMIF('2025 AC'!$B$3:$B$250,"*"&amp;$D83&amp;"*",'2025 AC'!K$3:K$250)</f>
        <v>0</v>
      </c>
      <c r="N83" s="53">
        <f>SUMIF('2025 AC'!$B$3:$B$250,"*"&amp;$D83&amp;"*",'2025 AC'!L$3:L$250)</f>
        <v>0</v>
      </c>
      <c r="O83" s="53">
        <f>SUMIF('2025 AC'!$B$3:$B$250,"*"&amp;$D83&amp;"*",'2025 AC'!M$3:M$250)</f>
        <v>423.89999999999998</v>
      </c>
      <c r="P83" s="53">
        <f>SUMIF('2025 AC'!$B$3:$B$250,"*"&amp;$D83&amp;"*",'2025 AC'!N$3:N$250)</f>
        <v>66</v>
      </c>
      <c r="Q83" s="94">
        <f t="shared" si="316"/>
        <v>2328.75</v>
      </c>
      <c r="R83" s="93">
        <f t="shared" si="319"/>
        <v>1708.8499999999999</v>
      </c>
      <c r="S83" s="93">
        <f t="shared" si="320"/>
        <v>130</v>
      </c>
      <c r="T83" s="93">
        <f t="shared" si="321"/>
        <v>0</v>
      </c>
      <c r="U83" s="93">
        <f t="shared" si="322"/>
        <v>489.89999999999998</v>
      </c>
      <c r="V83" s="92">
        <f t="shared" si="323"/>
        <v>2328.75</v>
      </c>
    </row>
    <row r="84" ht="15" customHeight="1" outlineLevel="1">
      <c r="A84" t="s">
        <v>174</v>
      </c>
      <c r="B84" t="s">
        <v>175</v>
      </c>
      <c r="C84" s="34" t="s">
        <v>176</v>
      </c>
      <c r="D84" s="35" t="s">
        <v>175</v>
      </c>
      <c r="E84" s="63">
        <f>SUMIF('2025 AC'!$B$3:$B$250,"*"&amp;$D84&amp;"*",'2025 AC'!C$3:C$250)</f>
        <v>2141.5</v>
      </c>
      <c r="F84" s="53">
        <f>SUMIF('2025 AC'!$B$3:$B$250,"*"&amp;$D84&amp;"*",'2025 AC'!D$3:D$250)</f>
        <v>0</v>
      </c>
      <c r="G84" s="53">
        <f>SUMIF('2025 AC'!$B$3:$B$250,"*"&amp;$D84&amp;"*",'2025 AC'!E$3:E$250)</f>
        <v>502</v>
      </c>
      <c r="H84" s="53">
        <f>SUMIF('2025 AC'!$B$3:$B$250,"*"&amp;$D84&amp;"*",'2025 AC'!F$3:F$250)</f>
        <v>434</v>
      </c>
      <c r="I84" s="53">
        <f>SUMIF('2025 AC'!$B$3:$B$250,"*"&amp;$D84&amp;"*",'2025 AC'!G$3:G$250)</f>
        <v>1950</v>
      </c>
      <c r="J84" s="53">
        <f>SUMIF('2025 AC'!$B$3:$B$250,"*"&amp;$D84&amp;"*",'2025 AC'!H$3:H$250)</f>
        <v>600</v>
      </c>
      <c r="K84" s="53">
        <f>SUMIF('2025 AC'!$B$3:$B$250,"*"&amp;$D84&amp;"*",'2025 AC'!I$3:I$250)</f>
        <v>0</v>
      </c>
      <c r="L84" s="53">
        <f>SUMIF('2025 AC'!$B$3:$B$250,"*"&amp;$D84&amp;"*",'2025 AC'!J$3:J$250)</f>
        <v>708</v>
      </c>
      <c r="M84" s="53">
        <f>SUMIF('2025 AC'!$B$3:$B$250,"*"&amp;$D84&amp;"*",'2025 AC'!K$3:K$250)</f>
        <v>1458</v>
      </c>
      <c r="N84" s="53">
        <f>SUMIF('2025 AC'!$B$3:$B$250,"*"&amp;$D84&amp;"*",'2025 AC'!L$3:L$250)</f>
        <v>0</v>
      </c>
      <c r="O84" s="53">
        <f>SUMIF('2025 AC'!$B$3:$B$250,"*"&amp;$D84&amp;"*",'2025 AC'!M$3:M$250)</f>
        <v>880</v>
      </c>
      <c r="P84" s="53">
        <f>SUMIF('2025 AC'!$B$3:$B$250,"*"&amp;$D84&amp;"*",'2025 AC'!N$3:N$250)</f>
        <v>0</v>
      </c>
      <c r="Q84" s="94">
        <f t="shared" si="316"/>
        <v>8673.5</v>
      </c>
      <c r="R84" s="93">
        <f t="shared" si="319"/>
        <v>2643.5</v>
      </c>
      <c r="S84" s="93">
        <f t="shared" si="320"/>
        <v>2984</v>
      </c>
      <c r="T84" s="93">
        <f t="shared" si="321"/>
        <v>2166</v>
      </c>
      <c r="U84" s="93">
        <f t="shared" si="322"/>
        <v>880</v>
      </c>
      <c r="V84" s="92">
        <f t="shared" si="323"/>
        <v>8673.5</v>
      </c>
    </row>
    <row r="85" ht="15" customHeight="1" outlineLevel="1">
      <c r="A85" t="s">
        <v>177</v>
      </c>
      <c r="B85" t="s">
        <v>178</v>
      </c>
      <c r="C85" s="34" t="s">
        <v>179</v>
      </c>
      <c r="D85" s="35" t="s">
        <v>178</v>
      </c>
      <c r="E85" s="63">
        <f>SUMIF('2025 AC'!$B$3:$B$250,"*"&amp;$D85&amp;"*",'2025 AC'!C$3:C$250)</f>
        <v>705.60000000000002</v>
      </c>
      <c r="F85" s="53">
        <f>SUMIF('2025 AC'!$B$3:$B$250,"*"&amp;$D85&amp;"*",'2025 AC'!D$3:D$250)</f>
        <v>171.69999999999999</v>
      </c>
      <c r="G85" s="53">
        <f>SUMIF('2025 AC'!$B$3:$B$250,"*"&amp;$D85&amp;"*",'2025 AC'!E$3:E$250)</f>
        <v>0</v>
      </c>
      <c r="H85" s="53">
        <f>SUMIF('2025 AC'!$B$3:$B$250,"*"&amp;$D85&amp;"*",'2025 AC'!F$3:F$250)</f>
        <v>0</v>
      </c>
      <c r="I85" s="53">
        <f>SUMIF('2025 AC'!$B$3:$B$250,"*"&amp;$D85&amp;"*",'2025 AC'!G$3:G$250)</f>
        <v>0</v>
      </c>
      <c r="J85" s="53">
        <f>SUMIF('2025 AC'!$B$3:$B$250,"*"&amp;$D85&amp;"*",'2025 AC'!H$3:H$250)</f>
        <v>705.60000000000002</v>
      </c>
      <c r="K85" s="53">
        <f>SUMIF('2025 AC'!$B$3:$B$250,"*"&amp;$D85&amp;"*",'2025 AC'!I$3:I$250)</f>
        <v>0</v>
      </c>
      <c r="L85" s="53">
        <f>SUMIF('2025 AC'!$B$3:$B$250,"*"&amp;$D85&amp;"*",'2025 AC'!J$3:J$250)</f>
        <v>0</v>
      </c>
      <c r="M85" s="53">
        <f>SUMIF('2025 AC'!$B$3:$B$250,"*"&amp;$D85&amp;"*",'2025 AC'!K$3:K$250)</f>
        <v>0</v>
      </c>
      <c r="N85" s="53">
        <f>SUMIF('2025 AC'!$B$3:$B$250,"*"&amp;$D85&amp;"*",'2025 AC'!L$3:L$250)</f>
        <v>705.60000000000002</v>
      </c>
      <c r="O85" s="53">
        <f>SUMIF('2025 AC'!$B$3:$B$250,"*"&amp;$D85&amp;"*",'2025 AC'!M$3:M$250)</f>
        <v>0</v>
      </c>
      <c r="P85" s="53">
        <f>SUMIF('2025 AC'!$B$3:$B$250,"*"&amp;$D85&amp;"*",'2025 AC'!N$3:N$250)</f>
        <v>705.60000000000002</v>
      </c>
      <c r="Q85" s="94">
        <f t="shared" ref="Q85:Q110" si="324">SUM(E85:P85)</f>
        <v>2994.0999999999999</v>
      </c>
      <c r="R85" s="93">
        <f t="shared" si="319"/>
        <v>877.29999999999995</v>
      </c>
      <c r="S85" s="93">
        <f t="shared" si="320"/>
        <v>705.60000000000002</v>
      </c>
      <c r="T85" s="93">
        <f t="shared" si="321"/>
        <v>0</v>
      </c>
      <c r="U85" s="93">
        <f t="shared" si="322"/>
        <v>1411.2</v>
      </c>
      <c r="V85" s="92">
        <f t="shared" si="323"/>
        <v>2994.1000000000004</v>
      </c>
    </row>
    <row r="86" ht="15" customHeight="1" outlineLevel="1">
      <c r="A86" t="s">
        <v>180</v>
      </c>
      <c r="B86" t="s">
        <v>181</v>
      </c>
      <c r="C86" s="34" t="s">
        <v>182</v>
      </c>
      <c r="D86" s="35" t="s">
        <v>181</v>
      </c>
      <c r="E86" s="63">
        <f>SUMIF('2025 AC'!$B$3:$B$250,"*"&amp;$D86&amp;"*",'2025 AC'!C$3:C$250)</f>
        <v>0</v>
      </c>
      <c r="F86" s="53">
        <f>SUMIF('2025 AC'!$B$3:$B$250,"*"&amp;$D86&amp;"*",'2025 AC'!D$3:D$250)</f>
        <v>0</v>
      </c>
      <c r="G86" s="53">
        <f>SUMIF('2025 AC'!$B$3:$B$250,"*"&amp;$D86&amp;"*",'2025 AC'!E$3:E$250)</f>
        <v>0</v>
      </c>
      <c r="H86" s="53">
        <f>SUMIF('2025 AC'!$B$3:$B$250,"*"&amp;$D86&amp;"*",'2025 AC'!F$3:F$250)</f>
        <v>0</v>
      </c>
      <c r="I86" s="53">
        <f>SUMIF('2025 AC'!$B$3:$B$250,"*"&amp;$D86&amp;"*",'2025 AC'!G$3:G$250)</f>
        <v>0</v>
      </c>
      <c r="J86" s="53">
        <f>SUMIF('2025 AC'!$B$3:$B$250,"*"&amp;$D86&amp;"*",'2025 AC'!H$3:H$250)</f>
        <v>0</v>
      </c>
      <c r="K86" s="53">
        <f>SUMIF('2025 AC'!$B$3:$B$250,"*"&amp;$D86&amp;"*",'2025 AC'!I$3:I$250)</f>
        <v>0</v>
      </c>
      <c r="L86" s="53">
        <f>SUMIF('2025 AC'!$B$3:$B$250,"*"&amp;$D86&amp;"*",'2025 AC'!J$3:J$250)</f>
        <v>0</v>
      </c>
      <c r="M86" s="53">
        <f>SUMIF('2025 AC'!$B$3:$B$250,"*"&amp;$D86&amp;"*",'2025 AC'!K$3:K$250)</f>
        <v>0</v>
      </c>
      <c r="N86" s="53">
        <f>SUMIF('2025 AC'!$B$3:$B$250,"*"&amp;$D86&amp;"*",'2025 AC'!L$3:L$250)</f>
        <v>0</v>
      </c>
      <c r="O86" s="53">
        <f>SUMIF('2025 AC'!$B$3:$B$250,"*"&amp;$D86&amp;"*",'2025 AC'!M$3:M$250)</f>
        <v>0</v>
      </c>
      <c r="P86" s="53">
        <f>SUMIF('2025 AC'!$B$3:$B$250,"*"&amp;$D86&amp;"*",'2025 AC'!N$3:N$250)</f>
        <v>0</v>
      </c>
      <c r="Q86" s="94">
        <f t="shared" si="324"/>
        <v>0</v>
      </c>
      <c r="R86" s="93">
        <f t="shared" si="319"/>
        <v>0</v>
      </c>
      <c r="S86" s="93">
        <f t="shared" si="320"/>
        <v>0</v>
      </c>
      <c r="T86" s="93">
        <f t="shared" si="321"/>
        <v>0</v>
      </c>
      <c r="U86" s="93">
        <f t="shared" si="322"/>
        <v>0</v>
      </c>
      <c r="V86" s="92">
        <f t="shared" si="323"/>
        <v>0</v>
      </c>
    </row>
    <row r="87" ht="15" customHeight="1" outlineLevel="1">
      <c r="A87" t="s">
        <v>183</v>
      </c>
      <c r="B87" t="s">
        <v>184</v>
      </c>
      <c r="C87" s="34" t="s">
        <v>185</v>
      </c>
      <c r="D87" s="35" t="s">
        <v>184</v>
      </c>
      <c r="E87" s="63">
        <f>SUMIF('2025 AC'!$B$3:$B$250,"*"&amp;$D87&amp;"*",'2025 AC'!C$3:C$250)</f>
        <v>0</v>
      </c>
      <c r="F87" s="53">
        <f>SUMIF('2025 AC'!$B$3:$B$250,"*"&amp;$D87&amp;"*",'2025 AC'!D$3:D$250)</f>
        <v>0</v>
      </c>
      <c r="G87" s="53">
        <f>SUMIF('2025 AC'!$B$3:$B$250,"*"&amp;$D87&amp;"*",'2025 AC'!E$3:E$250)</f>
        <v>0</v>
      </c>
      <c r="H87" s="53">
        <f>SUMIF('2025 AC'!$B$3:$B$250,"*"&amp;$D87&amp;"*",'2025 AC'!F$3:F$250)</f>
        <v>0</v>
      </c>
      <c r="I87" s="53">
        <f>SUMIF('2025 AC'!$B$3:$B$250,"*"&amp;$D87&amp;"*",'2025 AC'!G$3:G$250)</f>
        <v>0</v>
      </c>
      <c r="J87" s="53">
        <f>SUMIF('2025 AC'!$B$3:$B$250,"*"&amp;$D87&amp;"*",'2025 AC'!H$3:H$250)</f>
        <v>0</v>
      </c>
      <c r="K87" s="53">
        <f>SUMIF('2025 AC'!$B$3:$B$250,"*"&amp;$D87&amp;"*",'2025 AC'!I$3:I$250)</f>
        <v>0</v>
      </c>
      <c r="L87" s="53">
        <f>SUMIF('2025 AC'!$B$3:$B$250,"*"&amp;$D87&amp;"*",'2025 AC'!J$3:J$250)</f>
        <v>0</v>
      </c>
      <c r="M87" s="53">
        <f>SUMIF('2025 AC'!$B$3:$B$250,"*"&amp;$D87&amp;"*",'2025 AC'!K$3:K$250)</f>
        <v>0</v>
      </c>
      <c r="N87" s="53">
        <f>SUMIF('2025 AC'!$B$3:$B$250,"*"&amp;$D87&amp;"*",'2025 AC'!L$3:L$250)</f>
        <v>0</v>
      </c>
      <c r="O87" s="53">
        <f>SUMIF('2025 AC'!$B$3:$B$250,"*"&amp;$D87&amp;"*",'2025 AC'!M$3:M$250)</f>
        <v>0</v>
      </c>
      <c r="P87" s="53">
        <f>SUMIF('2025 AC'!$B$3:$B$250,"*"&amp;$D87&amp;"*",'2025 AC'!N$3:N$250)</f>
        <v>0</v>
      </c>
      <c r="Q87" s="94">
        <f t="shared" si="324"/>
        <v>0</v>
      </c>
      <c r="R87" s="93">
        <f t="shared" si="319"/>
        <v>0</v>
      </c>
      <c r="S87" s="93">
        <f t="shared" si="320"/>
        <v>0</v>
      </c>
      <c r="T87" s="93">
        <f t="shared" si="321"/>
        <v>0</v>
      </c>
      <c r="U87" s="93">
        <f t="shared" si="322"/>
        <v>0</v>
      </c>
      <c r="V87" s="92">
        <f t="shared" si="323"/>
        <v>0</v>
      </c>
    </row>
    <row r="88" ht="15" customHeight="1" outlineLevel="1">
      <c r="A88" t="s">
        <v>186</v>
      </c>
      <c r="B88" t="s">
        <v>187</v>
      </c>
      <c r="C88" s="160" t="s">
        <v>188</v>
      </c>
      <c r="D88" s="35" t="s">
        <v>187</v>
      </c>
      <c r="E88" s="63">
        <f>SUMIF('2025 AC'!$B$3:$B$250,"*"&amp;$D88&amp;"*",'2025 AC'!C$3:C$250)</f>
        <v>47566.769999999997</v>
      </c>
      <c r="F88" s="53">
        <f>SUMIF('2025 AC'!$B$3:$B$250,"*"&amp;$D88&amp;"*",'2025 AC'!D$3:D$250)</f>
        <v>31316.32</v>
      </c>
      <c r="G88" s="53">
        <f>SUMIF('2025 AC'!$B$3:$B$250,"*"&amp;$D88&amp;"*",'2025 AC'!E$3:E$250)</f>
        <v>82766.25</v>
      </c>
      <c r="H88" s="53">
        <f>SUMIF('2025 AC'!$B$3:$B$250,"*"&amp;$D88&amp;"*",'2025 AC'!F$3:F$250)</f>
        <v>31736.32</v>
      </c>
      <c r="I88" s="53">
        <f>SUMIF('2025 AC'!$B$3:$B$250,"*"&amp;$D88&amp;"*",'2025 AC'!G$3:G$250)</f>
        <v>48102.669999999998</v>
      </c>
      <c r="J88" s="53">
        <f>SUMIF('2025 AC'!$B$3:$B$250,"*"&amp;$D88&amp;"*",'2025 AC'!H$3:H$250)</f>
        <v>25438.849999999999</v>
      </c>
      <c r="K88" s="53">
        <f>SUMIF('2025 AC'!$B$3:$B$250,"*"&amp;$D88&amp;"*",'2025 AC'!I$3:I$250)</f>
        <v>31307.540000000001</v>
      </c>
      <c r="L88" s="53">
        <f>SUMIF('2025 AC'!$B$3:$B$250,"*"&amp;$D88&amp;"*",'2025 AC'!J$3:J$250)</f>
        <v>33134.879999999997</v>
      </c>
      <c r="M88" s="53">
        <f>SUMIF('2025 AC'!$B$3:$B$250,"*"&amp;$D88&amp;"*",'2025 AC'!K$3:K$250)</f>
        <v>39689.970000000001</v>
      </c>
      <c r="N88" s="53">
        <f>SUMIF('2025 AC'!$B$3:$B$250,"*"&amp;$D88&amp;"*",'2025 AC'!L$3:L$250)</f>
        <v>23447.380000000001</v>
      </c>
      <c r="O88" s="53">
        <f>SUMIF('2025 AC'!$B$3:$B$250,"*"&amp;$D88&amp;"*",'2025 AC'!M$3:M$250)</f>
        <v>41675.879999999997</v>
      </c>
      <c r="P88" s="53">
        <f>SUMIF('2025 AC'!$B$3:$B$250,"*"&amp;$D88&amp;"*",'2025 AC'!N$3:N$250)</f>
        <v>43879.580000000002</v>
      </c>
      <c r="Q88" s="94">
        <f t="shared" si="324"/>
        <v>480062.40999999997</v>
      </c>
      <c r="R88" s="93">
        <f t="shared" si="319"/>
        <v>161649.34</v>
      </c>
      <c r="S88" s="93">
        <f t="shared" si="320"/>
        <v>105277.84</v>
      </c>
      <c r="T88" s="93">
        <f t="shared" si="321"/>
        <v>104132.39</v>
      </c>
      <c r="U88" s="93">
        <f t="shared" si="322"/>
        <v>109002.84</v>
      </c>
      <c r="V88" s="92">
        <f t="shared" si="323"/>
        <v>480062.41000000003</v>
      </c>
    </row>
    <row r="89" ht="15" customHeight="1" outlineLevel="1">
      <c r="A89" t="s">
        <v>189</v>
      </c>
      <c r="B89" t="s">
        <v>190</v>
      </c>
      <c r="C89" s="52" t="s">
        <v>191</v>
      </c>
      <c r="D89" s="35" t="s">
        <v>190</v>
      </c>
      <c r="E89" s="63">
        <f>SUMIF('2025 AC'!$B$3:$B$250,"*"&amp;$D89&amp;"*",'2025 AC'!C$3:C$250)</f>
        <v>0</v>
      </c>
      <c r="F89" s="53">
        <f>SUMIF('2025 AC'!$B$3:$B$250,"*"&amp;$D89&amp;"*",'2025 AC'!D$3:D$250)</f>
        <v>0</v>
      </c>
      <c r="G89" s="53">
        <f>SUMIF('2025 AC'!$B$3:$B$250,"*"&amp;$D89&amp;"*",'2025 AC'!E$3:E$250)</f>
        <v>0</v>
      </c>
      <c r="H89" s="53">
        <f>SUMIF('2025 AC'!$B$3:$B$250,"*"&amp;$D89&amp;"*",'2025 AC'!F$3:F$250)</f>
        <v>0</v>
      </c>
      <c r="I89" s="53">
        <f>SUMIF('2025 AC'!$B$3:$B$250,"*"&amp;$D89&amp;"*",'2025 AC'!G$3:G$250)</f>
        <v>0</v>
      </c>
      <c r="J89" s="53">
        <f>SUMIF('2025 AC'!$B$3:$B$250,"*"&amp;$D89&amp;"*",'2025 AC'!H$3:H$250)</f>
        <v>0</v>
      </c>
      <c r="K89" s="53">
        <f>SUMIF('2025 AC'!$B$3:$B$250,"*"&amp;$D89&amp;"*",'2025 AC'!I$3:I$250)</f>
        <v>0</v>
      </c>
      <c r="L89" s="53">
        <f>SUMIF('2025 AC'!$B$3:$B$250,"*"&amp;$D89&amp;"*",'2025 AC'!J$3:J$250)</f>
        <v>0</v>
      </c>
      <c r="M89" s="53">
        <f>SUMIF('2025 AC'!$B$3:$B$250,"*"&amp;$D89&amp;"*",'2025 AC'!K$3:K$250)</f>
        <v>0</v>
      </c>
      <c r="N89" s="53">
        <f>SUMIF('2025 AC'!$B$3:$B$250,"*"&amp;$D89&amp;"*",'2025 AC'!L$3:L$250)</f>
        <v>0</v>
      </c>
      <c r="O89" s="53">
        <f>SUMIF('2025 AC'!$B$3:$B$250,"*"&amp;$D89&amp;"*",'2025 AC'!M$3:M$250)</f>
        <v>0</v>
      </c>
      <c r="P89" s="53">
        <f>SUMIF('2025 AC'!$B$3:$B$250,"*"&amp;$D89&amp;"*",'2025 AC'!N$3:N$250)</f>
        <v>0</v>
      </c>
      <c r="Q89" s="94">
        <f t="shared" si="324"/>
        <v>0</v>
      </c>
      <c r="R89" s="93">
        <f t="shared" si="319"/>
        <v>0</v>
      </c>
      <c r="S89" s="93">
        <f t="shared" si="320"/>
        <v>0</v>
      </c>
      <c r="T89" s="93">
        <f t="shared" si="321"/>
        <v>0</v>
      </c>
      <c r="U89" s="93">
        <f t="shared" si="322"/>
        <v>0</v>
      </c>
      <c r="V89" s="92">
        <f t="shared" si="323"/>
        <v>0</v>
      </c>
    </row>
    <row r="90" ht="15" customHeight="1" outlineLevel="1">
      <c r="A90" t="s">
        <v>192</v>
      </c>
      <c r="B90" t="s">
        <v>193</v>
      </c>
      <c r="C90" s="52" t="s">
        <v>194</v>
      </c>
      <c r="D90" s="35" t="s">
        <v>193</v>
      </c>
      <c r="E90" s="63">
        <f>SUMIF('2025 AC'!$B$3:$B$250,"*"&amp;$D90&amp;"*",'2025 AC'!C$3:C$250)</f>
        <v>1106.0699999999999</v>
      </c>
      <c r="F90" s="53">
        <f>SUMIF('2025 AC'!$B$3:$B$250,"*"&amp;$D90&amp;"*",'2025 AC'!D$3:D$250)</f>
        <v>929.55999999999995</v>
      </c>
      <c r="G90" s="53">
        <f>SUMIF('2025 AC'!$B$3:$B$250,"*"&amp;$D90&amp;"*",'2025 AC'!E$3:E$250)</f>
        <v>1646.8699999999999</v>
      </c>
      <c r="H90" s="53">
        <f>SUMIF('2025 AC'!$B$3:$B$250,"*"&amp;$D90&amp;"*",'2025 AC'!F$3:F$250)</f>
        <v>261.50999999999999</v>
      </c>
      <c r="I90" s="53">
        <f>SUMIF('2025 AC'!$B$3:$B$250,"*"&amp;$D90&amp;"*",'2025 AC'!G$3:G$250)</f>
        <v>1107.54</v>
      </c>
      <c r="J90" s="53">
        <f>SUMIF('2025 AC'!$B$3:$B$250,"*"&amp;$D90&amp;"*",'2025 AC'!H$3:H$250)</f>
        <v>89.590000000000003</v>
      </c>
      <c r="K90" s="53">
        <f>SUMIF('2025 AC'!$B$3:$B$250,"*"&amp;$D90&amp;"*",'2025 AC'!I$3:I$250)</f>
        <v>765</v>
      </c>
      <c r="L90" s="53">
        <f>SUMIF('2025 AC'!$B$3:$B$250,"*"&amp;$D90&amp;"*",'2025 AC'!J$3:J$250)</f>
        <v>112.37</v>
      </c>
      <c r="M90" s="53">
        <f>SUMIF('2025 AC'!$B$3:$B$250,"*"&amp;$D90&amp;"*",'2025 AC'!K$3:K$250)</f>
        <v>649.20000000000005</v>
      </c>
      <c r="N90" s="53">
        <f>SUMIF('2025 AC'!$B$3:$B$250,"*"&amp;$D90&amp;"*",'2025 AC'!L$3:L$250)</f>
        <v>37.259999999999998</v>
      </c>
      <c r="O90" s="53">
        <f>SUMIF('2025 AC'!$B$3:$B$250,"*"&amp;$D90&amp;"*",'2025 AC'!M$3:M$250)</f>
        <v>808.15999999999997</v>
      </c>
      <c r="P90" s="53">
        <f>SUMIF('2025 AC'!$B$3:$B$250,"*"&amp;$D90&amp;"*",'2025 AC'!N$3:N$250)</f>
        <v>957.47000000000003</v>
      </c>
      <c r="Q90" s="94">
        <f t="shared" si="324"/>
        <v>8470.6000000000004</v>
      </c>
      <c r="R90" s="93">
        <f t="shared" si="319"/>
        <v>3682.5</v>
      </c>
      <c r="S90" s="93">
        <f t="shared" si="320"/>
        <v>1458.6399999999999</v>
      </c>
      <c r="T90" s="93">
        <f t="shared" si="321"/>
        <v>1526.5700000000002</v>
      </c>
      <c r="U90" s="93">
        <f t="shared" si="322"/>
        <v>1802.8899999999999</v>
      </c>
      <c r="V90" s="92">
        <f t="shared" si="323"/>
        <v>8470.5999999999985</v>
      </c>
    </row>
    <row r="91" ht="15" customHeight="1" outlineLevel="1">
      <c r="A91" t="s">
        <v>195</v>
      </c>
      <c r="B91" t="s">
        <v>196</v>
      </c>
      <c r="C91" s="34" t="s">
        <v>197</v>
      </c>
      <c r="D91" s="35" t="s">
        <v>196</v>
      </c>
      <c r="E91" s="63">
        <f>SUMIF('2025 AC'!$B$3:$B$250,"*"&amp;$D91&amp;"*",'2025 AC'!C$3:C$250)</f>
        <v>0</v>
      </c>
      <c r="F91" s="53">
        <f>SUMIF('2025 AC'!$B$3:$B$250,"*"&amp;$D91&amp;"*",'2025 AC'!D$3:D$250)</f>
        <v>0</v>
      </c>
      <c r="G91" s="53">
        <f>SUMIF('2025 AC'!$B$3:$B$250,"*"&amp;$D91&amp;"*",'2025 AC'!E$3:E$250)</f>
        <v>0</v>
      </c>
      <c r="H91" s="53">
        <f>SUMIF('2025 AC'!$B$3:$B$250,"*"&amp;$D91&amp;"*",'2025 AC'!F$3:F$250)</f>
        <v>0</v>
      </c>
      <c r="I91" s="53">
        <f>SUMIF('2025 AC'!$B$3:$B$250,"*"&amp;$D91&amp;"*",'2025 AC'!G$3:G$250)</f>
        <v>0</v>
      </c>
      <c r="J91" s="53">
        <f>SUMIF('2025 AC'!$B$3:$B$250,"*"&amp;$D91&amp;"*",'2025 AC'!H$3:H$250)</f>
        <v>0</v>
      </c>
      <c r="K91" s="53">
        <f>SUMIF('2025 AC'!$B$3:$B$250,"*"&amp;$D91&amp;"*",'2025 AC'!I$3:I$250)</f>
        <v>0</v>
      </c>
      <c r="L91" s="53">
        <f>SUMIF('2025 AC'!$B$3:$B$250,"*"&amp;$D91&amp;"*",'2025 AC'!J$3:J$250)</f>
        <v>0</v>
      </c>
      <c r="M91" s="53">
        <f>SUMIF('2025 AC'!$B$3:$B$250,"*"&amp;$D91&amp;"*",'2025 AC'!K$3:K$250)</f>
        <v>0</v>
      </c>
      <c r="N91" s="53">
        <f>SUMIF('2025 AC'!$B$3:$B$250,"*"&amp;$D91&amp;"*",'2025 AC'!L$3:L$250)</f>
        <v>0</v>
      </c>
      <c r="O91" s="53">
        <f>SUMIF('2025 AC'!$B$3:$B$250,"*"&amp;$D91&amp;"*",'2025 AC'!M$3:M$250)</f>
        <v>0</v>
      </c>
      <c r="P91" s="53">
        <f>SUMIF('2025 AC'!$B$3:$B$250,"*"&amp;$D91&amp;"*",'2025 AC'!N$3:N$250)</f>
        <v>0</v>
      </c>
      <c r="Q91" s="94">
        <f t="shared" si="324"/>
        <v>0</v>
      </c>
      <c r="R91" s="93">
        <f t="shared" si="319"/>
        <v>0</v>
      </c>
      <c r="S91" s="93">
        <f t="shared" si="320"/>
        <v>0</v>
      </c>
      <c r="T91" s="93">
        <f t="shared" si="321"/>
        <v>0</v>
      </c>
      <c r="U91" s="93">
        <f t="shared" si="322"/>
        <v>0</v>
      </c>
      <c r="V91" s="92">
        <f t="shared" si="323"/>
        <v>0</v>
      </c>
    </row>
    <row r="92" s="137" customFormat="1" ht="15" customHeight="1">
      <c r="A92" s="137" t="s">
        <v>198</v>
      </c>
      <c r="B92" s="137" t="s">
        <v>199</v>
      </c>
      <c r="C92" s="173" t="s">
        <v>200</v>
      </c>
      <c r="D92" s="139" t="s">
        <v>199</v>
      </c>
      <c r="E92" s="145">
        <f>SUMIF('2025 AC'!$B$3:$B$250,"*"&amp;$D92&amp;"*",'2025 AC'!C$3:C$250)</f>
        <v>3740</v>
      </c>
      <c r="F92" s="146">
        <f>SUMIF('2025 AC'!$B$3:$B$250,"*"&amp;$D92&amp;"*",'2025 AC'!D$3:D$250)</f>
        <v>1900</v>
      </c>
      <c r="G92" s="146">
        <f>SUMIF('2025 AC'!$B$3:$B$250,"*"&amp;$D92&amp;"*",'2025 AC'!E$3:E$250)</f>
        <v>1940</v>
      </c>
      <c r="H92" s="146">
        <f>SUMIF('2025 AC'!$B$3:$B$250,"*"&amp;$D92&amp;"*",'2025 AC'!F$3:F$250)</f>
        <v>1860</v>
      </c>
      <c r="I92" s="146">
        <f>SUMIF('2025 AC'!$B$3:$B$250,"*"&amp;$D92&amp;"*",'2025 AC'!G$3:G$250)</f>
        <v>1612</v>
      </c>
      <c r="J92" s="146">
        <f>SUMIF('2025 AC'!$B$3:$B$250,"*"&amp;$D92&amp;"*",'2025 AC'!H$3:H$250)</f>
        <v>-180</v>
      </c>
      <c r="K92" s="146">
        <f>SUMIF('2025 AC'!$B$3:$B$250,"*"&amp;$D92&amp;"*",'2025 AC'!I$3:I$250)</f>
        <v>1710</v>
      </c>
      <c r="L92" s="146">
        <f>SUMIF('2025 AC'!$B$3:$B$250,"*"&amp;$D92&amp;"*",'2025 AC'!J$3:J$250)</f>
        <v>1720</v>
      </c>
      <c r="M92" s="146">
        <f>SUMIF('2025 AC'!$B$3:$B$250,"*"&amp;$D92&amp;"*",'2025 AC'!K$3:K$250)</f>
        <v>1760</v>
      </c>
      <c r="N92" s="146">
        <f>SUMIF('2025 AC'!$B$3:$B$250,"*"&amp;$D92&amp;"*",'2025 AC'!L$3:L$250)</f>
        <v>1690</v>
      </c>
      <c r="O92" s="146">
        <f>SUMIF('2025 AC'!$B$3:$B$250,"*"&amp;$D92&amp;"*",'2025 AC'!M$3:M$250)</f>
        <v>1800</v>
      </c>
      <c r="P92" s="146">
        <f>SUMIF('2025 AC'!$B$3:$B$250,"*"&amp;$D92&amp;"*",'2025 AC'!N$3:N$250)</f>
        <v>196</v>
      </c>
      <c r="Q92" s="149">
        <f t="shared" si="324"/>
        <v>19748</v>
      </c>
      <c r="R92" s="147">
        <f t="shared" si="319"/>
        <v>7580</v>
      </c>
      <c r="S92" s="147">
        <f t="shared" si="320"/>
        <v>3292</v>
      </c>
      <c r="T92" s="147">
        <f t="shared" si="321"/>
        <v>5190</v>
      </c>
      <c r="U92" s="147">
        <f t="shared" si="322"/>
        <v>3686</v>
      </c>
      <c r="V92" s="148">
        <f t="shared" si="323"/>
        <v>19748</v>
      </c>
    </row>
    <row r="93" ht="15" customHeight="1" outlineLevel="1">
      <c r="A93" t="s">
        <v>201</v>
      </c>
      <c r="B93" t="s">
        <v>202</v>
      </c>
      <c r="C93" s="34" t="s">
        <v>200</v>
      </c>
      <c r="D93" s="35" t="s">
        <v>202</v>
      </c>
      <c r="E93" s="63">
        <f>SUMIF('2025 AC'!$B$3:$B$250,"*"&amp;$D93&amp;"*",'2025 AC'!C$3:C$250)</f>
        <v>3740</v>
      </c>
      <c r="F93" s="53">
        <f>SUMIF('2025 AC'!$B$3:$B$250,"*"&amp;$D93&amp;"*",'2025 AC'!D$3:D$250)</f>
        <v>1900</v>
      </c>
      <c r="G93" s="53">
        <f>SUMIF('2025 AC'!$B$3:$B$250,"*"&amp;$D93&amp;"*",'2025 AC'!E$3:E$250)</f>
        <v>1940</v>
      </c>
      <c r="H93" s="53">
        <f>SUMIF('2025 AC'!$B$3:$B$250,"*"&amp;$D93&amp;"*",'2025 AC'!F$3:F$250)</f>
        <v>1860</v>
      </c>
      <c r="I93" s="53">
        <f>SUMIF('2025 AC'!$B$3:$B$250,"*"&amp;$D93&amp;"*",'2025 AC'!G$3:G$250)</f>
        <v>1612</v>
      </c>
      <c r="J93" s="53">
        <f>SUMIF('2025 AC'!$B$3:$B$250,"*"&amp;$D93&amp;"*",'2025 AC'!H$3:H$250)</f>
        <v>-180</v>
      </c>
      <c r="K93" s="53">
        <f>SUMIF('2025 AC'!$B$3:$B$250,"*"&amp;$D93&amp;"*",'2025 AC'!I$3:I$250)</f>
        <v>1710</v>
      </c>
      <c r="L93" s="53">
        <f>SUMIF('2025 AC'!$B$3:$B$250,"*"&amp;$D93&amp;"*",'2025 AC'!J$3:J$250)</f>
        <v>1720</v>
      </c>
      <c r="M93" s="53">
        <f>SUMIF('2025 AC'!$B$3:$B$250,"*"&amp;$D93&amp;"*",'2025 AC'!K$3:K$250)</f>
        <v>1760</v>
      </c>
      <c r="N93" s="53">
        <f>SUMIF('2025 AC'!$B$3:$B$250,"*"&amp;$D93&amp;"*",'2025 AC'!L$3:L$250)</f>
        <v>1690</v>
      </c>
      <c r="O93" s="53">
        <f>SUMIF('2025 AC'!$B$3:$B$250,"*"&amp;$D93&amp;"*",'2025 AC'!M$3:M$250)</f>
        <v>1800</v>
      </c>
      <c r="P93" s="53">
        <f>SUMIF('2025 AC'!$B$3:$B$250,"*"&amp;$D93&amp;"*",'2025 AC'!N$3:N$250)</f>
        <v>196</v>
      </c>
      <c r="Q93" s="94">
        <f t="shared" si="324"/>
        <v>19748</v>
      </c>
      <c r="R93" s="93">
        <f t="shared" si="319"/>
        <v>7580</v>
      </c>
      <c r="S93" s="93">
        <f t="shared" si="320"/>
        <v>3292</v>
      </c>
      <c r="T93" s="93">
        <f t="shared" si="321"/>
        <v>5190</v>
      </c>
      <c r="U93" s="93">
        <f t="shared" si="322"/>
        <v>3686</v>
      </c>
      <c r="V93" s="92">
        <f t="shared" si="323"/>
        <v>19748</v>
      </c>
    </row>
    <row r="94" s="137" customFormat="1" ht="15" customHeight="1">
      <c r="A94" s="137" t="s">
        <v>203</v>
      </c>
      <c r="B94" s="137" t="s">
        <v>204</v>
      </c>
      <c r="C94" s="187" t="s">
        <v>205</v>
      </c>
      <c r="D94" s="139" t="s">
        <v>204</v>
      </c>
      <c r="E94" s="145">
        <f>SUMIF('2025 AC'!$B$3:$B$250,"*"&amp;$D94&amp;"*",'2025 AC'!C$3:C$250)</f>
        <v>0</v>
      </c>
      <c r="F94" s="146">
        <f>SUMIF('2025 AC'!$B$3:$B$250,"*"&amp;$D94&amp;"*",'2025 AC'!D$3:D$250)</f>
        <v>0</v>
      </c>
      <c r="G94" s="146">
        <f>SUMIF('2025 AC'!$B$3:$B$250,"*"&amp;$D94&amp;"*",'2025 AC'!E$3:E$250)</f>
        <v>0</v>
      </c>
      <c r="H94" s="146">
        <f>SUMIF('2025 AC'!$B$3:$B$250,"*"&amp;$D94&amp;"*",'2025 AC'!F$3:F$250)</f>
        <v>0</v>
      </c>
      <c r="I94" s="146">
        <f>SUMIF('2025 AC'!$B$3:$B$250,"*"&amp;$D94&amp;"*",'2025 AC'!G$3:G$250)</f>
        <v>0</v>
      </c>
      <c r="J94" s="146">
        <f>SUMIF('2025 AC'!$B$3:$B$250,"*"&amp;$D94&amp;"*",'2025 AC'!H$3:H$250)</f>
        <v>0</v>
      </c>
      <c r="K94" s="146">
        <f>SUMIF('2025 AC'!$B$3:$B$250,"*"&amp;$D94&amp;"*",'2025 AC'!I$3:I$250)</f>
        <v>0</v>
      </c>
      <c r="L94" s="146">
        <f>SUMIF('2025 AC'!$B$3:$B$250,"*"&amp;$D94&amp;"*",'2025 AC'!J$3:J$250)</f>
        <v>0</v>
      </c>
      <c r="M94" s="146">
        <f>SUMIF('2025 AC'!$B$3:$B$250,"*"&amp;$D94&amp;"*",'2025 AC'!K$3:K$250)</f>
        <v>0</v>
      </c>
      <c r="N94" s="146">
        <f>SUMIF('2025 AC'!$B$3:$B$250,"*"&amp;$D94&amp;"*",'2025 AC'!L$3:L$250)</f>
        <v>0</v>
      </c>
      <c r="O94" s="146">
        <f>SUMIF('2025 AC'!$B$3:$B$250,"*"&amp;$D94&amp;"*",'2025 AC'!M$3:M$250)</f>
        <v>0</v>
      </c>
      <c r="P94" s="146">
        <f>SUMIF('2025 AC'!$B$3:$B$250,"*"&amp;$D94&amp;"*",'2025 AC'!N$3:N$250)</f>
        <v>0</v>
      </c>
      <c r="Q94" s="149">
        <f t="shared" si="324"/>
        <v>0</v>
      </c>
      <c r="R94" s="147">
        <f t="shared" si="319"/>
        <v>0</v>
      </c>
      <c r="S94" s="147">
        <f t="shared" si="320"/>
        <v>0</v>
      </c>
      <c r="T94" s="147">
        <f t="shared" si="321"/>
        <v>0</v>
      </c>
      <c r="U94" s="147">
        <f t="shared" si="322"/>
        <v>0</v>
      </c>
      <c r="V94" s="148">
        <f t="shared" si="323"/>
        <v>0</v>
      </c>
    </row>
    <row r="95" s="137" customFormat="1" ht="15" customHeight="1">
      <c r="A95" s="137" t="s">
        <v>206</v>
      </c>
      <c r="B95" s="137" t="s">
        <v>207</v>
      </c>
      <c r="C95" s="187" t="s">
        <v>208</v>
      </c>
      <c r="D95" s="139" t="s">
        <v>207</v>
      </c>
      <c r="E95" s="145">
        <f>SUMIF('2025 AC'!$B$3:$B$250,"*"&amp;$D95&amp;"*",'2025 AC'!C$3:C$250)</f>
        <v>0</v>
      </c>
      <c r="F95" s="146">
        <f>SUMIF('2025 AC'!$B$3:$B$250,"*"&amp;$D95&amp;"*",'2025 AC'!D$3:D$250)</f>
        <v>0</v>
      </c>
      <c r="G95" s="146">
        <f>SUMIF('2025 AC'!$B$3:$B$250,"*"&amp;$D95&amp;"*",'2025 AC'!E$3:E$250)</f>
        <v>0</v>
      </c>
      <c r="H95" s="146">
        <f>SUMIF('2025 AC'!$B$3:$B$250,"*"&amp;$D95&amp;"*",'2025 AC'!F$3:F$250)</f>
        <v>0</v>
      </c>
      <c r="I95" s="146">
        <f>SUMIF('2025 AC'!$B$3:$B$250,"*"&amp;$D95&amp;"*",'2025 AC'!G$3:G$250)</f>
        <v>0</v>
      </c>
      <c r="J95" s="146">
        <f>SUMIF('2025 AC'!$B$3:$B$250,"*"&amp;$D95&amp;"*",'2025 AC'!H$3:H$250)</f>
        <v>0</v>
      </c>
      <c r="K95" s="146">
        <f>SUMIF('2025 AC'!$B$3:$B$250,"*"&amp;$D95&amp;"*",'2025 AC'!I$3:I$250)</f>
        <v>0</v>
      </c>
      <c r="L95" s="146">
        <f>SUMIF('2025 AC'!$B$3:$B$250,"*"&amp;$D95&amp;"*",'2025 AC'!J$3:J$250)</f>
        <v>0</v>
      </c>
      <c r="M95" s="146">
        <f>SUMIF('2025 AC'!$B$3:$B$250,"*"&amp;$D95&amp;"*",'2025 AC'!K$3:K$250)</f>
        <v>0</v>
      </c>
      <c r="N95" s="146">
        <f>SUMIF('2025 AC'!$B$3:$B$250,"*"&amp;$D95&amp;"*",'2025 AC'!L$3:L$250)</f>
        <v>0</v>
      </c>
      <c r="O95" s="146">
        <f>SUMIF('2025 AC'!$B$3:$B$250,"*"&amp;$D95&amp;"*",'2025 AC'!M$3:M$250)</f>
        <v>0</v>
      </c>
      <c r="P95" s="146">
        <f>SUMIF('2025 AC'!$B$3:$B$250,"*"&amp;$D95&amp;"*",'2025 AC'!N$3:N$250)</f>
        <v>0</v>
      </c>
      <c r="Q95" s="149">
        <f t="shared" si="324"/>
        <v>0</v>
      </c>
      <c r="R95" s="147">
        <f t="shared" si="319"/>
        <v>0</v>
      </c>
      <c r="S95" s="147">
        <f t="shared" si="320"/>
        <v>0</v>
      </c>
      <c r="T95" s="147">
        <f t="shared" si="321"/>
        <v>0</v>
      </c>
      <c r="U95" s="147">
        <f t="shared" si="322"/>
        <v>0</v>
      </c>
      <c r="V95" s="148">
        <f t="shared" si="323"/>
        <v>0</v>
      </c>
    </row>
    <row r="96" s="137" customFormat="1" ht="15" customHeight="1">
      <c r="A96" s="137" t="s">
        <v>209</v>
      </c>
      <c r="B96" s="137" t="s">
        <v>210</v>
      </c>
      <c r="C96" s="187" t="s">
        <v>211</v>
      </c>
      <c r="D96" s="139" t="s">
        <v>210</v>
      </c>
      <c r="E96" s="145">
        <f>SUMIF('2025 AC'!$B$3:$B$250,"*"&amp;$D96&amp;"*",'2025 AC'!C$3:C$250)</f>
        <v>0</v>
      </c>
      <c r="F96" s="146">
        <f>SUMIF('2025 AC'!$B$3:$B$250,"*"&amp;$D96&amp;"*",'2025 AC'!D$3:D$250)</f>
        <v>0</v>
      </c>
      <c r="G96" s="146">
        <f>SUMIF('2025 AC'!$B$3:$B$250,"*"&amp;$D96&amp;"*",'2025 AC'!E$3:E$250)</f>
        <v>0</v>
      </c>
      <c r="H96" s="146">
        <f>SUMIF('2025 AC'!$B$3:$B$250,"*"&amp;$D96&amp;"*",'2025 AC'!F$3:F$250)</f>
        <v>0</v>
      </c>
      <c r="I96" s="146">
        <f>SUMIF('2025 AC'!$B$3:$B$250,"*"&amp;$D96&amp;"*",'2025 AC'!G$3:G$250)</f>
        <v>0</v>
      </c>
      <c r="J96" s="146">
        <f>SUMIF('2025 AC'!$B$3:$B$250,"*"&amp;$D96&amp;"*",'2025 AC'!H$3:H$250)</f>
        <v>0</v>
      </c>
      <c r="K96" s="146">
        <f>SUMIF('2025 AC'!$B$3:$B$250,"*"&amp;$D96&amp;"*",'2025 AC'!I$3:I$250)</f>
        <v>0</v>
      </c>
      <c r="L96" s="146">
        <f>SUMIF('2025 AC'!$B$3:$B$250,"*"&amp;$D96&amp;"*",'2025 AC'!J$3:J$250)</f>
        <v>0</v>
      </c>
      <c r="M96" s="146">
        <f>SUMIF('2025 AC'!$B$3:$B$250,"*"&amp;$D96&amp;"*",'2025 AC'!K$3:K$250)</f>
        <v>0</v>
      </c>
      <c r="N96" s="146">
        <f>SUMIF('2025 AC'!$B$3:$B$250,"*"&amp;$D96&amp;"*",'2025 AC'!L$3:L$250)</f>
        <v>0</v>
      </c>
      <c r="O96" s="146">
        <f>SUMIF('2025 AC'!$B$3:$B$250,"*"&amp;$D96&amp;"*",'2025 AC'!M$3:M$250)</f>
        <v>0</v>
      </c>
      <c r="P96" s="146">
        <f>SUMIF('2025 AC'!$B$3:$B$250,"*"&amp;$D96&amp;"*",'2025 AC'!N$3:N$250)</f>
        <v>-41167.699999999997</v>
      </c>
      <c r="Q96" s="149">
        <f t="shared" si="324"/>
        <v>-41167.699999999997</v>
      </c>
      <c r="R96" s="147">
        <f t="shared" si="319"/>
        <v>0</v>
      </c>
      <c r="S96" s="147">
        <f t="shared" si="320"/>
        <v>0</v>
      </c>
      <c r="T96" s="147">
        <f t="shared" si="321"/>
        <v>0</v>
      </c>
      <c r="U96" s="147">
        <f t="shared" si="322"/>
        <v>-41167.699999999997</v>
      </c>
      <c r="V96" s="148">
        <f t="shared" si="323"/>
        <v>-41167.699999999997</v>
      </c>
    </row>
    <row r="97" s="137" customFormat="1" ht="15" customHeight="1">
      <c r="A97" s="137" t="s">
        <v>212</v>
      </c>
      <c r="B97" s="137" t="s">
        <v>213</v>
      </c>
      <c r="C97" s="187" t="s">
        <v>214</v>
      </c>
      <c r="D97" s="139" t="s">
        <v>213</v>
      </c>
      <c r="E97" s="145">
        <f>SUMIF('2025 AC'!$B$3:$B$250,"*"&amp;$D97&amp;"*",'2025 AC'!C$3:C$250)</f>
        <v>4225.9499999999998</v>
      </c>
      <c r="F97" s="146">
        <f>SUMIF('2025 AC'!$B$3:$B$250,"*"&amp;$D97&amp;"*",'2025 AC'!D$3:D$250)</f>
        <v>4395.8599999999997</v>
      </c>
      <c r="G97" s="146">
        <f>SUMIF('2025 AC'!$B$3:$B$250,"*"&amp;$D97&amp;"*",'2025 AC'!E$3:E$250)</f>
        <v>2672.7600000000002</v>
      </c>
      <c r="H97" s="146">
        <f>SUMIF('2025 AC'!$B$3:$B$250,"*"&amp;$D97&amp;"*",'2025 AC'!F$3:F$250)</f>
        <v>3932.6700000000001</v>
      </c>
      <c r="I97" s="146">
        <f>SUMIF('2025 AC'!$B$3:$B$250,"*"&amp;$D97&amp;"*",'2025 AC'!G$3:G$250)</f>
        <v>3287.3099999999999</v>
      </c>
      <c r="J97" s="146">
        <f>SUMIF('2025 AC'!$B$3:$B$250,"*"&amp;$D97&amp;"*",'2025 AC'!H$3:H$250)</f>
        <v>4244.1300000000001</v>
      </c>
      <c r="K97" s="146">
        <f>SUMIF('2025 AC'!$B$3:$B$250,"*"&amp;$D97&amp;"*",'2025 AC'!I$3:I$250)</f>
        <v>3947.27</v>
      </c>
      <c r="L97" s="146">
        <f>SUMIF('2025 AC'!$B$3:$B$250,"*"&amp;$D97&amp;"*",'2025 AC'!J$3:J$250)</f>
        <v>3718.8099999999999</v>
      </c>
      <c r="M97" s="146">
        <f>SUMIF('2025 AC'!$B$3:$B$250,"*"&amp;$D97&amp;"*",'2025 AC'!K$3:K$250)</f>
        <v>4408.5500000000002</v>
      </c>
      <c r="N97" s="146">
        <f>SUMIF('2025 AC'!$B$3:$B$250,"*"&amp;$D97&amp;"*",'2025 AC'!L$3:L$250)</f>
        <v>2704.0999999999999</v>
      </c>
      <c r="O97" s="146">
        <f>SUMIF('2025 AC'!$B$3:$B$250,"*"&amp;$D97&amp;"*",'2025 AC'!M$3:M$250)</f>
        <v>3001.02</v>
      </c>
      <c r="P97" s="146">
        <f>SUMIF('2025 AC'!$B$3:$B$250,"*"&amp;$D97&amp;"*",'2025 AC'!N$3:N$250)</f>
        <v>5871.2600000000002</v>
      </c>
      <c r="Q97" s="149">
        <f t="shared" si="324"/>
        <v>46409.690000000002</v>
      </c>
      <c r="R97" s="147">
        <f t="shared" si="319"/>
        <v>11294.57</v>
      </c>
      <c r="S97" s="147">
        <f t="shared" si="320"/>
        <v>11464.110000000001</v>
      </c>
      <c r="T97" s="147">
        <f t="shared" si="321"/>
        <v>12074.630000000001</v>
      </c>
      <c r="U97" s="147">
        <f t="shared" si="322"/>
        <v>11576.380000000001</v>
      </c>
      <c r="V97" s="148">
        <f t="shared" si="323"/>
        <v>46409.690000000002</v>
      </c>
    </row>
    <row r="98" ht="15" customHeight="1" outlineLevel="1">
      <c r="A98" t="s">
        <v>215</v>
      </c>
      <c r="B98" t="s">
        <v>216</v>
      </c>
      <c r="C98" s="34" t="s">
        <v>217</v>
      </c>
      <c r="D98" s="35" t="s">
        <v>216</v>
      </c>
      <c r="E98" s="63">
        <f>SUMIF('2025 AC'!$B$3:$B$250,"*"&amp;$D98&amp;"*",'2025 AC'!C$3:C$250)</f>
        <v>3995.1300000000001</v>
      </c>
      <c r="F98" s="53">
        <f>SUMIF('2025 AC'!$B$3:$B$250,"*"&amp;$D98&amp;"*",'2025 AC'!D$3:D$250)</f>
        <v>4316.3400000000001</v>
      </c>
      <c r="G98" s="53">
        <f>SUMIF('2025 AC'!$B$3:$B$250,"*"&amp;$D98&amp;"*",'2025 AC'!E$3:E$250)</f>
        <v>2529.73</v>
      </c>
      <c r="H98" s="53">
        <f>SUMIF('2025 AC'!$B$3:$B$250,"*"&amp;$D98&amp;"*",'2025 AC'!F$3:F$250)</f>
        <v>3889.4699999999998</v>
      </c>
      <c r="I98" s="53">
        <f>SUMIF('2025 AC'!$B$3:$B$250,"*"&amp;$D98&amp;"*",'2025 AC'!G$3:G$250)</f>
        <v>3227.5999999999999</v>
      </c>
      <c r="J98" s="53">
        <f>SUMIF('2025 AC'!$B$3:$B$250,"*"&amp;$D98&amp;"*",'2025 AC'!H$3:H$250)</f>
        <v>3927.23</v>
      </c>
      <c r="K98" s="53">
        <f>SUMIF('2025 AC'!$B$3:$B$250,"*"&amp;$D98&amp;"*",'2025 AC'!I$3:I$250)</f>
        <v>3428.73</v>
      </c>
      <c r="L98" s="53">
        <f>SUMIF('2025 AC'!$B$3:$B$250,"*"&amp;$D98&amp;"*",'2025 AC'!J$3:J$250)</f>
        <v>3693.71</v>
      </c>
      <c r="M98" s="53">
        <f>SUMIF('2025 AC'!$B$3:$B$250,"*"&amp;$D98&amp;"*",'2025 AC'!K$3:K$250)</f>
        <v>4229.1999999999998</v>
      </c>
      <c r="N98" s="53">
        <f>SUMIF('2025 AC'!$B$3:$B$250,"*"&amp;$D98&amp;"*",'2025 AC'!L$3:L$250)</f>
        <v>2687.9200000000001</v>
      </c>
      <c r="O98" s="53">
        <f>SUMIF('2025 AC'!$B$3:$B$250,"*"&amp;$D98&amp;"*",'2025 AC'!M$3:M$250)</f>
        <v>2451.5300000000002</v>
      </c>
      <c r="P98" s="53">
        <f>SUMIF('2025 AC'!$B$3:$B$250,"*"&amp;$D98&amp;"*",'2025 AC'!N$3:N$250)</f>
        <v>5722.1899999999996</v>
      </c>
      <c r="Q98" s="94">
        <f t="shared" si="324"/>
        <v>44098.779999999999</v>
      </c>
      <c r="R98" s="93">
        <f t="shared" si="319"/>
        <v>10841.200000000001</v>
      </c>
      <c r="S98" s="93">
        <f t="shared" si="320"/>
        <v>11044.299999999999</v>
      </c>
      <c r="T98" s="93">
        <f t="shared" si="321"/>
        <v>11351.639999999999</v>
      </c>
      <c r="U98" s="93">
        <f t="shared" si="322"/>
        <v>10861.639999999999</v>
      </c>
      <c r="V98" s="92">
        <f t="shared" si="323"/>
        <v>44098.779999999999</v>
      </c>
    </row>
    <row r="99" ht="15" customHeight="1" outlineLevel="1">
      <c r="A99" t="s">
        <v>218</v>
      </c>
      <c r="B99" t="s">
        <v>219</v>
      </c>
      <c r="C99" s="34" t="s">
        <v>220</v>
      </c>
      <c r="D99" s="35" t="s">
        <v>219</v>
      </c>
      <c r="E99" s="63">
        <f>SUMIF('2025 AC'!$B$3:$B$250,"*"&amp;$D99&amp;"*",'2025 AC'!C$3:C$250)</f>
        <v>203.66999999999999</v>
      </c>
      <c r="F99" s="53">
        <f>SUMIF('2025 AC'!$B$3:$B$250,"*"&amp;$D99&amp;"*",'2025 AC'!D$3:D$250)</f>
        <v>60.25</v>
      </c>
      <c r="G99" s="53">
        <f>SUMIF('2025 AC'!$B$3:$B$250,"*"&amp;$D99&amp;"*",'2025 AC'!E$3:E$250)</f>
        <v>0</v>
      </c>
      <c r="H99" s="53">
        <f>SUMIF('2025 AC'!$B$3:$B$250,"*"&amp;$D99&amp;"*",'2025 AC'!F$3:F$250)</f>
        <v>26.870000000000001</v>
      </c>
      <c r="I99" s="53">
        <f>SUMIF('2025 AC'!$B$3:$B$250,"*"&amp;$D99&amp;"*",'2025 AC'!G$3:G$250)</f>
        <v>43.399999999999999</v>
      </c>
      <c r="J99" s="53">
        <f>SUMIF('2025 AC'!$B$3:$B$250,"*"&amp;$D99&amp;"*",'2025 AC'!H$3:H$250)</f>
        <v>46.079999999999998</v>
      </c>
      <c r="K99" s="53">
        <f>SUMIF('2025 AC'!$B$3:$B$250,"*"&amp;$D99&amp;"*",'2025 AC'!I$3:I$250)</f>
        <v>0</v>
      </c>
      <c r="L99" s="53">
        <f>SUMIF('2025 AC'!$B$3:$B$250,"*"&amp;$D99&amp;"*",'2025 AC'!J$3:J$250)</f>
        <v>7.5199999999999996</v>
      </c>
      <c r="M99" s="53">
        <f>SUMIF('2025 AC'!$B$3:$B$250,"*"&amp;$D99&amp;"*",'2025 AC'!K$3:K$250)</f>
        <v>22.620000000000001</v>
      </c>
      <c r="N99" s="53">
        <f>SUMIF('2025 AC'!$B$3:$B$250,"*"&amp;$D99&amp;"*",'2025 AC'!L$3:L$250)</f>
        <v>6.7699999999999996</v>
      </c>
      <c r="O99" s="53">
        <f>SUMIF('2025 AC'!$B$3:$B$250,"*"&amp;$D99&amp;"*",'2025 AC'!M$3:M$250)</f>
        <v>67.549999999999997</v>
      </c>
      <c r="P99" s="53">
        <f>SUMIF('2025 AC'!$B$3:$B$250,"*"&amp;$D99&amp;"*",'2025 AC'!N$3:N$250)</f>
        <v>128.55000000000001</v>
      </c>
      <c r="Q99" s="94">
        <f t="shared" si="324"/>
        <v>613.27999999999997</v>
      </c>
      <c r="R99" s="93">
        <f t="shared" si="319"/>
        <v>263.91999999999996</v>
      </c>
      <c r="S99" s="93">
        <f t="shared" si="320"/>
        <v>116.34999999999999</v>
      </c>
      <c r="T99" s="93">
        <f t="shared" si="321"/>
        <v>30.140000000000001</v>
      </c>
      <c r="U99" s="93">
        <f t="shared" si="322"/>
        <v>202.87</v>
      </c>
      <c r="V99" s="92">
        <f t="shared" si="323"/>
        <v>613.27999999999997</v>
      </c>
    </row>
    <row r="100" ht="15" customHeight="1" outlineLevel="1">
      <c r="A100" t="s">
        <v>221</v>
      </c>
      <c r="B100" t="s">
        <v>222</v>
      </c>
      <c r="C100" s="34" t="s">
        <v>223</v>
      </c>
      <c r="D100" s="35" t="s">
        <v>222</v>
      </c>
      <c r="E100" s="63">
        <f>SUMIF('2025 AC'!$B$3:$B$250,"*"&amp;$D100&amp;"*",'2025 AC'!C$3:C$250)</f>
        <v>27.149999999999999</v>
      </c>
      <c r="F100" s="53">
        <f>SUMIF('2025 AC'!$B$3:$B$250,"*"&amp;$D100&amp;"*",'2025 AC'!D$3:D$250)</f>
        <v>19.27</v>
      </c>
      <c r="G100" s="53">
        <f>SUMIF('2025 AC'!$B$3:$B$250,"*"&amp;$D100&amp;"*",'2025 AC'!E$3:E$250)</f>
        <v>23.030000000000001</v>
      </c>
      <c r="H100" s="53">
        <f>SUMIF('2025 AC'!$B$3:$B$250,"*"&amp;$D100&amp;"*",'2025 AC'!F$3:F$250)</f>
        <v>16.329999999999998</v>
      </c>
      <c r="I100" s="53">
        <f>SUMIF('2025 AC'!$B$3:$B$250,"*"&amp;$D100&amp;"*",'2025 AC'!G$3:G$250)</f>
        <v>16.309999999999999</v>
      </c>
      <c r="J100" s="53">
        <f>SUMIF('2025 AC'!$B$3:$B$250,"*"&amp;$D100&amp;"*",'2025 AC'!H$3:H$250)</f>
        <v>15.75</v>
      </c>
      <c r="K100" s="53">
        <f>SUMIF('2025 AC'!$B$3:$B$250,"*"&amp;$D100&amp;"*",'2025 AC'!I$3:I$250)</f>
        <v>14.460000000000001</v>
      </c>
      <c r="L100" s="53">
        <f>SUMIF('2025 AC'!$B$3:$B$250,"*"&amp;$D100&amp;"*",'2025 AC'!J$3:J$250)</f>
        <v>17.579999999999998</v>
      </c>
      <c r="M100" s="53">
        <f>SUMIF('2025 AC'!$B$3:$B$250,"*"&amp;$D100&amp;"*",'2025 AC'!K$3:K$250)</f>
        <v>15.93</v>
      </c>
      <c r="N100" s="53">
        <f>SUMIF('2025 AC'!$B$3:$B$250,"*"&amp;$D100&amp;"*",'2025 AC'!L$3:L$250)</f>
        <v>9.4100000000000001</v>
      </c>
      <c r="O100" s="53">
        <f>SUMIF('2025 AC'!$B$3:$B$250,"*"&amp;$D100&amp;"*",'2025 AC'!M$3:M$250)</f>
        <v>19.120000000000001</v>
      </c>
      <c r="P100" s="53">
        <f>SUMIF('2025 AC'!$B$3:$B$250,"*"&amp;$D100&amp;"*",'2025 AC'!N$3:N$250)</f>
        <v>20.52</v>
      </c>
      <c r="Q100" s="94">
        <f t="shared" si="324"/>
        <v>214.86000000000001</v>
      </c>
      <c r="R100" s="93">
        <f t="shared" si="319"/>
        <v>69.450000000000003</v>
      </c>
      <c r="S100" s="93">
        <f t="shared" si="320"/>
        <v>48.390000000000001</v>
      </c>
      <c r="T100" s="93">
        <f t="shared" si="321"/>
        <v>47.969999999999999</v>
      </c>
      <c r="U100" s="93">
        <f t="shared" si="322"/>
        <v>49.049999999999997</v>
      </c>
      <c r="V100" s="92">
        <f t="shared" si="323"/>
        <v>214.86000000000001</v>
      </c>
    </row>
    <row r="101" ht="15" customHeight="1" outlineLevel="1">
      <c r="A101" t="s">
        <v>224</v>
      </c>
      <c r="B101" t="s">
        <v>225</v>
      </c>
      <c r="C101" s="34" t="s">
        <v>226</v>
      </c>
      <c r="D101" s="35" t="s">
        <v>225</v>
      </c>
      <c r="E101" s="63">
        <f>SUMIF('2025 AC'!$B$3:$B$250,"*"&amp;$D101&amp;"*",'2025 AC'!C$3:C$250)</f>
        <v>0</v>
      </c>
      <c r="F101" s="53">
        <f>SUMIF('2025 AC'!$B$3:$B$250,"*"&amp;$D101&amp;"*",'2025 AC'!D$3:D$250)</f>
        <v>0</v>
      </c>
      <c r="G101" s="53">
        <f>SUMIF('2025 AC'!$B$3:$B$250,"*"&amp;$D101&amp;"*",'2025 AC'!E$3:E$250)</f>
        <v>0</v>
      </c>
      <c r="H101" s="53">
        <f>SUMIF('2025 AC'!$B$3:$B$250,"*"&amp;$D101&amp;"*",'2025 AC'!F$3:F$250)</f>
        <v>0</v>
      </c>
      <c r="I101" s="53">
        <f>SUMIF('2025 AC'!$B$3:$B$250,"*"&amp;$D101&amp;"*",'2025 AC'!G$3:G$250)</f>
        <v>0</v>
      </c>
      <c r="J101" s="53">
        <f>SUMIF('2025 AC'!$B$3:$B$250,"*"&amp;$D101&amp;"*",'2025 AC'!H$3:H$250)</f>
        <v>0</v>
      </c>
      <c r="K101" s="53">
        <f>SUMIF('2025 AC'!$B$3:$B$250,"*"&amp;$D101&amp;"*",'2025 AC'!I$3:I$250)</f>
        <v>0</v>
      </c>
      <c r="L101" s="53">
        <f>SUMIF('2025 AC'!$B$3:$B$250,"*"&amp;$D101&amp;"*",'2025 AC'!J$3:J$250)</f>
        <v>0</v>
      </c>
      <c r="M101" s="53">
        <f>SUMIF('2025 AC'!$B$3:$B$250,"*"&amp;$D101&amp;"*",'2025 AC'!K$3:K$250)</f>
        <v>0</v>
      </c>
      <c r="N101" s="53">
        <f>SUMIF('2025 AC'!$B$3:$B$250,"*"&amp;$D101&amp;"*",'2025 AC'!L$3:L$250)</f>
        <v>0</v>
      </c>
      <c r="O101" s="53">
        <f>SUMIF('2025 AC'!$B$3:$B$250,"*"&amp;$D101&amp;"*",'2025 AC'!M$3:M$250)</f>
        <v>0</v>
      </c>
      <c r="P101" s="53">
        <f>SUMIF('2025 AC'!$B$3:$B$250,"*"&amp;$D101&amp;"*",'2025 AC'!N$3:N$250)</f>
        <v>0</v>
      </c>
      <c r="Q101" s="94">
        <f t="shared" si="324"/>
        <v>0</v>
      </c>
      <c r="R101" s="93">
        <f t="shared" si="319"/>
        <v>0</v>
      </c>
      <c r="S101" s="93">
        <f t="shared" si="320"/>
        <v>0</v>
      </c>
      <c r="T101" s="93">
        <f t="shared" si="321"/>
        <v>0</v>
      </c>
      <c r="U101" s="93">
        <f t="shared" si="322"/>
        <v>0</v>
      </c>
      <c r="V101" s="92">
        <f t="shared" si="323"/>
        <v>0</v>
      </c>
    </row>
    <row r="102" ht="15" customHeight="1" outlineLevel="1">
      <c r="A102" t="s">
        <v>227</v>
      </c>
      <c r="B102" t="s">
        <v>228</v>
      </c>
      <c r="C102" s="34" t="s">
        <v>229</v>
      </c>
      <c r="D102" s="35" t="s">
        <v>228</v>
      </c>
      <c r="E102" s="63">
        <f>SUMIF('2025 AC'!$B$3:$B$250,"*"&amp;$D102&amp;"*",'2025 AC'!C$3:C$250)</f>
        <v>0</v>
      </c>
      <c r="F102" s="53">
        <f>SUMIF('2025 AC'!$B$3:$B$250,"*"&amp;$D102&amp;"*",'2025 AC'!D$3:D$250)</f>
        <v>0</v>
      </c>
      <c r="G102" s="53">
        <f>SUMIF('2025 AC'!$B$3:$B$250,"*"&amp;$D102&amp;"*",'2025 AC'!E$3:E$250)</f>
        <v>120</v>
      </c>
      <c r="H102" s="53">
        <f>SUMIF('2025 AC'!$B$3:$B$250,"*"&amp;$D102&amp;"*",'2025 AC'!F$3:F$250)</f>
        <v>0</v>
      </c>
      <c r="I102" s="53">
        <f>SUMIF('2025 AC'!$B$3:$B$250,"*"&amp;$D102&amp;"*",'2025 AC'!G$3:G$250)</f>
        <v>0</v>
      </c>
      <c r="J102" s="53">
        <f>SUMIF('2025 AC'!$B$3:$B$250,"*"&amp;$D102&amp;"*",'2025 AC'!H$3:H$250)</f>
        <v>255.06999999999999</v>
      </c>
      <c r="K102" s="53">
        <f>SUMIF('2025 AC'!$B$3:$B$250,"*"&amp;$D102&amp;"*",'2025 AC'!I$3:I$250)</f>
        <v>504.07999999999998</v>
      </c>
      <c r="L102" s="53">
        <f>SUMIF('2025 AC'!$B$3:$B$250,"*"&amp;$D102&amp;"*",'2025 AC'!J$3:J$250)</f>
        <v>0</v>
      </c>
      <c r="M102" s="53">
        <f>SUMIF('2025 AC'!$B$3:$B$250,"*"&amp;$D102&amp;"*",'2025 AC'!K$3:K$250)</f>
        <v>140.80000000000001</v>
      </c>
      <c r="N102" s="53">
        <f>SUMIF('2025 AC'!$B$3:$B$250,"*"&amp;$D102&amp;"*",'2025 AC'!L$3:L$250)</f>
        <v>0</v>
      </c>
      <c r="O102" s="53">
        <f>SUMIF('2025 AC'!$B$3:$B$250,"*"&amp;$D102&amp;"*",'2025 AC'!M$3:M$250)</f>
        <v>462.81999999999999</v>
      </c>
      <c r="P102" s="53">
        <f>SUMIF('2025 AC'!$B$3:$B$250,"*"&amp;$D102&amp;"*",'2025 AC'!N$3:N$250)</f>
        <v>0</v>
      </c>
      <c r="Q102" s="94">
        <f t="shared" si="324"/>
        <v>1482.77</v>
      </c>
      <c r="R102" s="93">
        <f t="shared" si="319"/>
        <v>120</v>
      </c>
      <c r="S102" s="93">
        <f t="shared" si="320"/>
        <v>255.06999999999999</v>
      </c>
      <c r="T102" s="93">
        <f t="shared" si="321"/>
        <v>644.88</v>
      </c>
      <c r="U102" s="93">
        <f t="shared" si="322"/>
        <v>462.81999999999999</v>
      </c>
      <c r="V102" s="92">
        <f t="shared" si="323"/>
        <v>1482.77</v>
      </c>
    </row>
    <row r="103" s="137" customFormat="1" ht="15" customHeight="1">
      <c r="A103" s="137" t="s">
        <v>230</v>
      </c>
      <c r="B103" s="137" t="s">
        <v>231</v>
      </c>
      <c r="C103" s="187" t="s">
        <v>232</v>
      </c>
      <c r="D103" s="139" t="s">
        <v>231</v>
      </c>
      <c r="E103" s="145">
        <f>SUMIF('2025 AC'!$B$3:$B$250,"*"&amp;$D103&amp;"*",'2025 AC'!C$3:C$250)</f>
        <v>30006.709999999999</v>
      </c>
      <c r="F103" s="146">
        <f>SUMIF('2025 AC'!$B$3:$B$250,"*"&amp;$D103&amp;"*",'2025 AC'!D$3:D$250)</f>
        <v>21454.970000000001</v>
      </c>
      <c r="G103" s="146">
        <f>SUMIF('2025 AC'!$B$3:$B$250,"*"&amp;$D103&amp;"*",'2025 AC'!E$3:E$250)</f>
        <v>18016.5</v>
      </c>
      <c r="H103" s="146">
        <f>SUMIF('2025 AC'!$B$3:$B$250,"*"&amp;$D103&amp;"*",'2025 AC'!F$3:F$250)</f>
        <v>8424.1000000000004</v>
      </c>
      <c r="I103" s="146">
        <f>SUMIF('2025 AC'!$B$3:$B$250,"*"&amp;$D103&amp;"*",'2025 AC'!G$3:G$250)</f>
        <v>14173.23</v>
      </c>
      <c r="J103" s="146">
        <f>SUMIF('2025 AC'!$B$3:$B$250,"*"&amp;$D103&amp;"*",'2025 AC'!H$3:H$250)</f>
        <v>15477.59</v>
      </c>
      <c r="K103" s="146">
        <f>SUMIF('2025 AC'!$B$3:$B$250,"*"&amp;$D103&amp;"*",'2025 AC'!I$3:I$250)</f>
        <v>16081.68</v>
      </c>
      <c r="L103" s="146">
        <f>SUMIF('2025 AC'!$B$3:$B$250,"*"&amp;$D103&amp;"*",'2025 AC'!J$3:J$250)</f>
        <v>12885.85</v>
      </c>
      <c r="M103" s="146">
        <f>SUMIF('2025 AC'!$B$3:$B$250,"*"&amp;$D103&amp;"*",'2025 AC'!K$3:K$250)</f>
        <v>15236.43</v>
      </c>
      <c r="N103" s="146">
        <f>SUMIF('2025 AC'!$B$3:$B$250,"*"&amp;$D103&amp;"*",'2025 AC'!L$3:L$250)</f>
        <v>15674.41</v>
      </c>
      <c r="O103" s="146">
        <f>SUMIF('2025 AC'!$B$3:$B$250,"*"&amp;$D103&amp;"*",'2025 AC'!M$3:M$250)</f>
        <v>13765.67</v>
      </c>
      <c r="P103" s="146">
        <f>SUMIF('2025 AC'!$B$3:$B$250,"*"&amp;$D103&amp;"*",'2025 AC'!N$3:N$250)</f>
        <v>9352</v>
      </c>
      <c r="Q103" s="149">
        <f t="shared" si="324"/>
        <v>190549.14000000001</v>
      </c>
      <c r="R103" s="147">
        <f t="shared" si="319"/>
        <v>69478.179999999993</v>
      </c>
      <c r="S103" s="147">
        <f t="shared" si="320"/>
        <v>38074.919999999998</v>
      </c>
      <c r="T103" s="147">
        <f t="shared" si="321"/>
        <v>44203.959999999999</v>
      </c>
      <c r="U103" s="147">
        <f t="shared" si="322"/>
        <v>38792.080000000002</v>
      </c>
      <c r="V103" s="148">
        <f t="shared" si="323"/>
        <v>190549.14000000001</v>
      </c>
    </row>
    <row r="104" ht="14.65" customHeight="1" outlineLevel="1">
      <c r="A104" t="s">
        <v>233</v>
      </c>
      <c r="B104" t="s">
        <v>234</v>
      </c>
      <c r="C104" s="34" t="s">
        <v>235</v>
      </c>
      <c r="D104" s="35" t="s">
        <v>234</v>
      </c>
      <c r="E104" s="63">
        <f>SUMIF('2025 AC'!$B$3:$B$250,"*"&amp;$D104&amp;"*",'2025 AC'!C$3:C$250)</f>
        <v>29497.09</v>
      </c>
      <c r="F104" s="53">
        <f>SUMIF('2025 AC'!$B$3:$B$250,"*"&amp;$D104&amp;"*",'2025 AC'!D$3:D$250)</f>
        <v>21219.73</v>
      </c>
      <c r="G104" s="53">
        <f>SUMIF('2025 AC'!$B$3:$B$250,"*"&amp;$D104&amp;"*",'2025 AC'!E$3:E$250)</f>
        <v>16826.099999999999</v>
      </c>
      <c r="H104" s="53">
        <f>SUMIF('2025 AC'!$B$3:$B$250,"*"&amp;$D104&amp;"*",'2025 AC'!F$3:F$250)</f>
        <v>8396.7199999999993</v>
      </c>
      <c r="I104" s="53">
        <f>SUMIF('2025 AC'!$B$3:$B$250,"*"&amp;$D104&amp;"*",'2025 AC'!G$3:G$250)</f>
        <v>13983.190000000001</v>
      </c>
      <c r="J104" s="53">
        <f>SUMIF('2025 AC'!$B$3:$B$250,"*"&amp;$D104&amp;"*",'2025 AC'!H$3:H$250)</f>
        <v>15345.549999999999</v>
      </c>
      <c r="K104" s="53">
        <f>SUMIF('2025 AC'!$B$3:$B$250,"*"&amp;$D104&amp;"*",'2025 AC'!I$3:I$250)</f>
        <v>14624.91</v>
      </c>
      <c r="L104" s="53">
        <f>SUMIF('2025 AC'!$B$3:$B$250,"*"&amp;$D104&amp;"*",'2025 AC'!J$3:J$250)</f>
        <v>12716.870000000001</v>
      </c>
      <c r="M104" s="53">
        <f>SUMIF('2025 AC'!$B$3:$B$250,"*"&amp;$D104&amp;"*",'2025 AC'!K$3:K$250)</f>
        <v>15236.43</v>
      </c>
      <c r="N104" s="53">
        <f>SUMIF('2025 AC'!$B$3:$B$250,"*"&amp;$D104&amp;"*",'2025 AC'!L$3:L$250)</f>
        <v>15674.41</v>
      </c>
      <c r="O104" s="53">
        <f>SUMIF('2025 AC'!$B$3:$B$250,"*"&amp;$D104&amp;"*",'2025 AC'!M$3:M$250)</f>
        <v>12424.49</v>
      </c>
      <c r="P104" s="53">
        <f>SUMIF('2025 AC'!$B$3:$B$250,"*"&amp;$D104&amp;"*",'2025 AC'!N$3:N$250)</f>
        <v>9352</v>
      </c>
      <c r="Q104" s="94">
        <f t="shared" si="324"/>
        <v>185297.48999999999</v>
      </c>
      <c r="R104" s="93">
        <f t="shared" si="319"/>
        <v>67542.919999999998</v>
      </c>
      <c r="S104" s="93">
        <f t="shared" si="320"/>
        <v>37725.459999999999</v>
      </c>
      <c r="T104" s="93">
        <f t="shared" si="321"/>
        <v>42578.209999999999</v>
      </c>
      <c r="U104" s="93">
        <f t="shared" si="322"/>
        <v>37450.900000000001</v>
      </c>
      <c r="V104" s="92">
        <f t="shared" si="323"/>
        <v>185297.48999999999</v>
      </c>
    </row>
    <row r="105" ht="15" customHeight="1" outlineLevel="1">
      <c r="A105" t="s">
        <v>236</v>
      </c>
      <c r="B105" t="s">
        <v>237</v>
      </c>
      <c r="C105" s="34" t="s">
        <v>238</v>
      </c>
      <c r="D105" s="35" t="s">
        <v>237</v>
      </c>
      <c r="E105" s="63">
        <f>SUMIF('2025 AC'!$B$3:$B$250,"*"&amp;$D105&amp;"*",'2025 AC'!C$3:C$250)</f>
        <v>509.62</v>
      </c>
      <c r="F105" s="53">
        <f>SUMIF('2025 AC'!$B$3:$B$250,"*"&amp;$D105&amp;"*",'2025 AC'!D$3:D$250)</f>
        <v>235.24000000000001</v>
      </c>
      <c r="G105" s="53">
        <f>SUMIF('2025 AC'!$B$3:$B$250,"*"&amp;$D105&amp;"*",'2025 AC'!E$3:E$250)</f>
        <v>0</v>
      </c>
      <c r="H105" s="53">
        <f>SUMIF('2025 AC'!$B$3:$B$250,"*"&amp;$D105&amp;"*",'2025 AC'!F$3:F$250)</f>
        <v>27.379999999999999</v>
      </c>
      <c r="I105" s="53">
        <f>SUMIF('2025 AC'!$B$3:$B$250,"*"&amp;$D105&amp;"*",'2025 AC'!G$3:G$250)</f>
        <v>190.03999999999999</v>
      </c>
      <c r="J105" s="53">
        <f>SUMIF('2025 AC'!$B$3:$B$250,"*"&amp;$D105&amp;"*",'2025 AC'!H$3:H$250)</f>
        <v>132.03999999999999</v>
      </c>
      <c r="K105" s="53">
        <f>SUMIF('2025 AC'!$B$3:$B$250,"*"&amp;$D105&amp;"*",'2025 AC'!I$3:I$250)</f>
        <v>0</v>
      </c>
      <c r="L105" s="53">
        <f>SUMIF('2025 AC'!$B$3:$B$250,"*"&amp;$D105&amp;"*",'2025 AC'!J$3:J$250)</f>
        <v>168.97999999999999</v>
      </c>
      <c r="M105" s="53">
        <f>SUMIF('2025 AC'!$B$3:$B$250,"*"&amp;$D105&amp;"*",'2025 AC'!K$3:K$250)</f>
        <v>0</v>
      </c>
      <c r="N105" s="53">
        <f>SUMIF('2025 AC'!$B$3:$B$250,"*"&amp;$D105&amp;"*",'2025 AC'!L$3:L$250)</f>
        <v>0</v>
      </c>
      <c r="O105" s="53">
        <f>SUMIF('2025 AC'!$B$3:$B$250,"*"&amp;$D105&amp;"*",'2025 AC'!M$3:M$250)</f>
        <v>0</v>
      </c>
      <c r="P105" s="53">
        <f>SUMIF('2025 AC'!$B$3:$B$250,"*"&amp;$D105&amp;"*",'2025 AC'!N$3:N$250)</f>
        <v>0</v>
      </c>
      <c r="Q105" s="94">
        <f t="shared" si="324"/>
        <v>1263.3</v>
      </c>
      <c r="R105" s="93">
        <f t="shared" si="319"/>
        <v>744.86000000000001</v>
      </c>
      <c r="S105" s="93">
        <f t="shared" si="320"/>
        <v>349.45999999999998</v>
      </c>
      <c r="T105" s="93">
        <f t="shared" si="321"/>
        <v>168.97999999999999</v>
      </c>
      <c r="U105" s="93">
        <f t="shared" si="322"/>
        <v>0</v>
      </c>
      <c r="V105" s="92">
        <f t="shared" si="323"/>
        <v>1263.3</v>
      </c>
    </row>
    <row r="106" ht="15" customHeight="1" outlineLevel="1">
      <c r="A106" t="s">
        <v>239</v>
      </c>
      <c r="B106" t="s">
        <v>240</v>
      </c>
      <c r="C106" s="34" t="s">
        <v>241</v>
      </c>
      <c r="D106" s="35" t="s">
        <v>240</v>
      </c>
      <c r="E106" s="63">
        <f>SUMIF('2025 AC'!$B$3:$B$250,"*"&amp;$D106&amp;"*",'2025 AC'!C$3:C$250)</f>
        <v>0</v>
      </c>
      <c r="F106" s="53">
        <f>SUMIF('2025 AC'!$B$3:$B$250,"*"&amp;$D106&amp;"*",'2025 AC'!D$3:D$250)</f>
        <v>0</v>
      </c>
      <c r="G106" s="53">
        <f>SUMIF('2025 AC'!$B$3:$B$250,"*"&amp;$D106&amp;"*",'2025 AC'!E$3:E$250)</f>
        <v>1190.4000000000001</v>
      </c>
      <c r="H106" s="53">
        <f>SUMIF('2025 AC'!$B$3:$B$250,"*"&amp;$D106&amp;"*",'2025 AC'!F$3:F$250)</f>
        <v>0</v>
      </c>
      <c r="I106" s="53">
        <f>SUMIF('2025 AC'!$B$3:$B$250,"*"&amp;$D106&amp;"*",'2025 AC'!G$3:G$250)</f>
        <v>0</v>
      </c>
      <c r="J106" s="53">
        <f>SUMIF('2025 AC'!$B$3:$B$250,"*"&amp;$D106&amp;"*",'2025 AC'!H$3:H$250)</f>
        <v>0</v>
      </c>
      <c r="K106" s="53">
        <f>SUMIF('2025 AC'!$B$3:$B$250,"*"&amp;$D106&amp;"*",'2025 AC'!I$3:I$250)</f>
        <v>1456.77</v>
      </c>
      <c r="L106" s="53">
        <f>SUMIF('2025 AC'!$B$3:$B$250,"*"&amp;$D106&amp;"*",'2025 AC'!J$3:J$250)</f>
        <v>0</v>
      </c>
      <c r="M106" s="53">
        <f>SUMIF('2025 AC'!$B$3:$B$250,"*"&amp;$D106&amp;"*",'2025 AC'!K$3:K$250)</f>
        <v>0</v>
      </c>
      <c r="N106" s="53">
        <f>SUMIF('2025 AC'!$B$3:$B$250,"*"&amp;$D106&amp;"*",'2025 AC'!L$3:L$250)</f>
        <v>0</v>
      </c>
      <c r="O106" s="53">
        <f>SUMIF('2025 AC'!$B$3:$B$250,"*"&amp;$D106&amp;"*",'2025 AC'!M$3:M$250)</f>
        <v>1341.1800000000001</v>
      </c>
      <c r="P106" s="53">
        <f>SUMIF('2025 AC'!$B$3:$B$250,"*"&amp;$D106&amp;"*",'2025 AC'!N$3:N$250)</f>
        <v>0</v>
      </c>
      <c r="Q106" s="94">
        <f t="shared" si="324"/>
        <v>3988.3500000000004</v>
      </c>
      <c r="R106" s="93">
        <f t="shared" si="319"/>
        <v>1190.4000000000001</v>
      </c>
      <c r="S106" s="93">
        <f t="shared" si="320"/>
        <v>0</v>
      </c>
      <c r="T106" s="93">
        <f t="shared" si="321"/>
        <v>1456.77</v>
      </c>
      <c r="U106" s="93">
        <f t="shared" si="322"/>
        <v>1341.1800000000001</v>
      </c>
      <c r="V106" s="92">
        <f t="shared" si="323"/>
        <v>3988.3500000000004</v>
      </c>
    </row>
    <row r="107" ht="15" customHeight="1">
      <c r="C107" s="34"/>
      <c r="D107" s="35"/>
      <c r="E107" s="6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94"/>
      <c r="R107" s="93">
        <f t="shared" si="319"/>
        <v>0</v>
      </c>
      <c r="S107" s="93">
        <f t="shared" si="320"/>
        <v>0</v>
      </c>
      <c r="T107" s="93">
        <f t="shared" si="321"/>
        <v>0</v>
      </c>
      <c r="U107" s="93">
        <f t="shared" si="322"/>
        <v>0</v>
      </c>
      <c r="V107" s="92">
        <f t="shared" si="323"/>
        <v>0</v>
      </c>
    </row>
    <row r="108" s="125" customFormat="1" ht="15" customHeight="1">
      <c r="A108" s="174"/>
      <c r="C108" s="126" t="s">
        <v>242</v>
      </c>
      <c r="D108" s="127"/>
      <c r="E108" s="180">
        <f>E74+E75+E82+E92+E94+E95+E96+E97+E103</f>
        <v>167384.80000000002</v>
      </c>
      <c r="F108" s="181">
        <f t="shared" ref="F108:P108" si="325">F74+F75+F82+F92+F94+F95+F96+F97+F103</f>
        <v>105537.00999999999</v>
      </c>
      <c r="G108" s="181">
        <f t="shared" si="325"/>
        <v>129236.14</v>
      </c>
      <c r="H108" s="181">
        <f t="shared" si="325"/>
        <v>80591.010000000009</v>
      </c>
      <c r="I108" s="181">
        <f t="shared" si="325"/>
        <v>108275.92</v>
      </c>
      <c r="J108" s="181">
        <f t="shared" si="325"/>
        <v>81446.169999999998</v>
      </c>
      <c r="K108" s="181">
        <f t="shared" si="325"/>
        <v>63089.110000000001</v>
      </c>
      <c r="L108" s="181">
        <f t="shared" si="325"/>
        <v>100526.22</v>
      </c>
      <c r="M108" s="181">
        <f t="shared" si="325"/>
        <v>100175.88</v>
      </c>
      <c r="N108" s="181">
        <f t="shared" si="325"/>
        <v>99858.73000000001</v>
      </c>
      <c r="O108" s="181">
        <f t="shared" si="325"/>
        <v>91557.110000000001</v>
      </c>
      <c r="P108" s="181">
        <f t="shared" si="325"/>
        <v>83224.760000000009</v>
      </c>
      <c r="Q108" s="184">
        <f t="shared" si="324"/>
        <v>1210902.8600000001</v>
      </c>
      <c r="R108" s="182">
        <f t="shared" si="319"/>
        <v>402157.95000000001</v>
      </c>
      <c r="S108" s="182">
        <f t="shared" si="320"/>
        <v>270313.09999999998</v>
      </c>
      <c r="T108" s="182">
        <f t="shared" si="321"/>
        <v>263791.21000000002</v>
      </c>
      <c r="U108" s="182">
        <f t="shared" si="322"/>
        <v>274640.60000000003</v>
      </c>
      <c r="V108" s="183">
        <f t="shared" si="323"/>
        <v>1210902.8600000001</v>
      </c>
    </row>
    <row r="109" ht="15" customHeight="1">
      <c r="A109" s="185"/>
      <c r="C109" s="136"/>
      <c r="D109" s="35"/>
      <c r="E109" s="168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72"/>
      <c r="R109" s="170">
        <f t="shared" si="319"/>
        <v>0</v>
      </c>
      <c r="S109" s="170">
        <f t="shared" si="320"/>
        <v>0</v>
      </c>
      <c r="T109" s="170">
        <f t="shared" si="321"/>
        <v>0</v>
      </c>
      <c r="U109" s="170">
        <f t="shared" si="322"/>
        <v>0</v>
      </c>
      <c r="V109" s="171">
        <f t="shared" si="323"/>
        <v>0</v>
      </c>
    </row>
    <row r="110" s="190" customFormat="1" ht="15" customHeight="1">
      <c r="A110" s="174" t="s">
        <v>243</v>
      </c>
      <c r="C110" s="175" t="s">
        <v>244</v>
      </c>
      <c r="D110" s="191"/>
      <c r="E110" s="180">
        <f>E70-E108</f>
        <v>303055.14000000001</v>
      </c>
      <c r="F110" s="181">
        <f t="shared" ref="F110:P110" si="326">F70-F108</f>
        <v>327458.44999999995</v>
      </c>
      <c r="G110" s="181">
        <f t="shared" si="326"/>
        <v>312325.83999999997</v>
      </c>
      <c r="H110" s="181">
        <f t="shared" si="326"/>
        <v>325363.76000000001</v>
      </c>
      <c r="I110" s="181">
        <f t="shared" si="326"/>
        <v>387115.40000000002</v>
      </c>
      <c r="J110" s="181">
        <f t="shared" si="326"/>
        <v>345942.34000000003</v>
      </c>
      <c r="K110" s="181">
        <f t="shared" si="326"/>
        <v>370221.06</v>
      </c>
      <c r="L110" s="181">
        <f t="shared" si="326"/>
        <v>379066.19999999995</v>
      </c>
      <c r="M110" s="181">
        <f t="shared" si="326"/>
        <v>396247.35999999993</v>
      </c>
      <c r="N110" s="181">
        <f t="shared" si="326"/>
        <v>218237.80000000002</v>
      </c>
      <c r="O110" s="181">
        <f t="shared" si="326"/>
        <v>324014.31</v>
      </c>
      <c r="P110" s="181">
        <f t="shared" si="326"/>
        <v>546842.14000000001</v>
      </c>
      <c r="Q110" s="184">
        <f t="shared" si="324"/>
        <v>4235889.7999999989</v>
      </c>
      <c r="R110" s="182">
        <f t="shared" si="319"/>
        <v>942839.42999999993</v>
      </c>
      <c r="S110" s="182">
        <f t="shared" si="320"/>
        <v>1058421.5</v>
      </c>
      <c r="T110" s="182">
        <f t="shared" si="321"/>
        <v>1145534.6199999999</v>
      </c>
      <c r="U110" s="182">
        <f t="shared" si="322"/>
        <v>1089094.25</v>
      </c>
      <c r="V110" s="183">
        <f t="shared" si="323"/>
        <v>4235889.7999999998</v>
      </c>
    </row>
    <row r="111" ht="15" customHeight="1">
      <c r="A111" s="185" t="s">
        <v>245</v>
      </c>
      <c r="C111" s="160"/>
      <c r="D111" s="35"/>
      <c r="E111" s="168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72"/>
      <c r="R111" s="170">
        <f t="shared" si="319"/>
        <v>0</v>
      </c>
      <c r="S111" s="170">
        <f t="shared" si="320"/>
        <v>0</v>
      </c>
      <c r="T111" s="170">
        <f t="shared" si="321"/>
        <v>0</v>
      </c>
      <c r="U111" s="170">
        <f t="shared" si="322"/>
        <v>0</v>
      </c>
      <c r="V111" s="171">
        <f t="shared" si="323"/>
        <v>0</v>
      </c>
    </row>
    <row r="112" ht="15" customHeight="1">
      <c r="A112" s="185"/>
      <c r="C112" s="194" t="s">
        <v>245</v>
      </c>
      <c r="D112" s="35"/>
      <c r="E112" s="168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72"/>
      <c r="R112" s="170">
        <f t="shared" si="319"/>
        <v>0</v>
      </c>
      <c r="S112" s="170">
        <f t="shared" si="320"/>
        <v>0</v>
      </c>
      <c r="T112" s="170">
        <f t="shared" si="321"/>
        <v>0</v>
      </c>
      <c r="U112" s="170">
        <f t="shared" si="322"/>
        <v>0</v>
      </c>
      <c r="V112" s="171">
        <f t="shared" si="323"/>
        <v>0</v>
      </c>
    </row>
    <row r="113" ht="15" customHeight="1">
      <c r="A113" s="185"/>
      <c r="C113" s="194"/>
      <c r="D113" s="35"/>
      <c r="E113" s="168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72"/>
      <c r="R113" s="170">
        <f t="shared" si="319"/>
        <v>0</v>
      </c>
      <c r="S113" s="170">
        <f t="shared" si="320"/>
        <v>0</v>
      </c>
      <c r="T113" s="170">
        <f t="shared" si="321"/>
        <v>0</v>
      </c>
      <c r="U113" s="170">
        <f t="shared" si="322"/>
        <v>0</v>
      </c>
      <c r="V113" s="171">
        <f t="shared" si="323"/>
        <v>0</v>
      </c>
    </row>
    <row r="114" s="137" customFormat="1">
      <c r="A114" s="137" t="s">
        <v>246</v>
      </c>
      <c r="B114" s="137" t="s">
        <v>247</v>
      </c>
      <c r="C114" s="187" t="s">
        <v>248</v>
      </c>
      <c r="D114" s="139" t="s">
        <v>247</v>
      </c>
      <c r="E114" s="145">
        <f>SUMIF('2025 AC'!$B$3:$B$250,"*"&amp;$D114&amp;"*",'2025 AC'!C$3:C$250)</f>
        <v>0</v>
      </c>
      <c r="F114" s="146">
        <f>SUMIF('2025 AC'!$B$3:$B$250,"*"&amp;$D114&amp;"*",'2025 AC'!D$3:D$250)</f>
        <v>0</v>
      </c>
      <c r="G114" s="146">
        <f>SUMIF('2025 AC'!$B$3:$B$250,"*"&amp;$D114&amp;"*",'2025 AC'!E$3:E$250)</f>
        <v>0</v>
      </c>
      <c r="H114" s="146">
        <f>SUMIF('2025 AC'!$B$3:$B$250,"*"&amp;$D114&amp;"*",'2025 AC'!F$3:F$250)</f>
        <v>0</v>
      </c>
      <c r="I114" s="146">
        <f>SUMIF('2025 AC'!$B$3:$B$250,"*"&amp;$D114&amp;"*",'2025 AC'!G$3:G$250)</f>
        <v>0</v>
      </c>
      <c r="J114" s="146">
        <f>SUMIF('2025 AC'!$B$3:$B$250,"*"&amp;$D114&amp;"*",'2025 AC'!H$3:H$250)</f>
        <v>0</v>
      </c>
      <c r="K114" s="146">
        <f>SUMIF('2025 AC'!$B$3:$B$250,"*"&amp;$D114&amp;"*",'2025 AC'!I$3:I$250)</f>
        <v>0</v>
      </c>
      <c r="L114" s="146">
        <f>SUMIF('2025 AC'!$B$3:$B$250,"*"&amp;$D114&amp;"*",'2025 AC'!J$3:J$250)</f>
        <v>0</v>
      </c>
      <c r="M114" s="146">
        <f>SUMIF('2025 AC'!$B$3:$B$250,"*"&amp;$D114&amp;"*",'2025 AC'!K$3:K$250)</f>
        <v>0</v>
      </c>
      <c r="N114" s="146">
        <f>SUMIF('2025 AC'!$B$3:$B$250,"*"&amp;$D114&amp;"*",'2025 AC'!L$3:L$250)</f>
        <v>0</v>
      </c>
      <c r="O114" s="146">
        <f>SUMIF('2025 AC'!$B$3:$B$250,"*"&amp;$D114&amp;"*",'2025 AC'!M$3:M$250)</f>
        <v>0</v>
      </c>
      <c r="P114" s="146">
        <f>SUMIF('2025 AC'!$B$3:$B$250,"*"&amp;$D114&amp;"*",'2025 AC'!N$3:N$250)</f>
        <v>0</v>
      </c>
      <c r="Q114" s="149">
        <f t="shared" ref="Q114:Q177" si="327">SUM(E114:P114)</f>
        <v>0</v>
      </c>
      <c r="R114" s="147">
        <f t="shared" si="319"/>
        <v>0</v>
      </c>
      <c r="S114" s="147">
        <f t="shared" si="320"/>
        <v>0</v>
      </c>
      <c r="T114" s="147">
        <f t="shared" si="321"/>
        <v>0</v>
      </c>
      <c r="U114" s="147">
        <f t="shared" si="322"/>
        <v>0</v>
      </c>
      <c r="V114" s="148">
        <f t="shared" si="323"/>
        <v>0</v>
      </c>
    </row>
    <row r="115" s="137" customFormat="1" ht="15" customHeight="1">
      <c r="A115" s="137" t="s">
        <v>249</v>
      </c>
      <c r="B115" s="137" t="s">
        <v>250</v>
      </c>
      <c r="C115" s="187" t="s">
        <v>251</v>
      </c>
      <c r="D115" s="139" t="s">
        <v>250</v>
      </c>
      <c r="E115" s="145">
        <f>SUMIF('2025 AC'!$B$3:$B$250,"*"&amp;$D115&amp;"*",'2025 AC'!C$3:C$250)</f>
        <v>800</v>
      </c>
      <c r="F115" s="146">
        <f>SUMIF('2025 AC'!$B$3:$B$250,"*"&amp;$D115&amp;"*",'2025 AC'!D$3:D$250)</f>
        <v>300</v>
      </c>
      <c r="G115" s="146">
        <f>SUMIF('2025 AC'!$B$3:$B$250,"*"&amp;$D115&amp;"*",'2025 AC'!E$3:E$250)</f>
        <v>170</v>
      </c>
      <c r="H115" s="146">
        <f>SUMIF('2025 AC'!$B$3:$B$250,"*"&amp;$D115&amp;"*",'2025 AC'!F$3:F$250)</f>
        <v>635</v>
      </c>
      <c r="I115" s="146">
        <f>SUMIF('2025 AC'!$B$3:$B$250,"*"&amp;$D115&amp;"*",'2025 AC'!G$3:G$250)</f>
        <v>425</v>
      </c>
      <c r="J115" s="146">
        <f>SUMIF('2025 AC'!$B$3:$B$250,"*"&amp;$D115&amp;"*",'2025 AC'!H$3:H$250)</f>
        <v>938.88999999999999</v>
      </c>
      <c r="K115" s="146">
        <f>SUMIF('2025 AC'!$B$3:$B$250,"*"&amp;$D115&amp;"*",'2025 AC'!I$3:I$250)</f>
        <v>111.12</v>
      </c>
      <c r="L115" s="146">
        <f>SUMIF('2025 AC'!$B$3:$B$250,"*"&amp;$D115&amp;"*",'2025 AC'!J$3:J$250)</f>
        <v>378.72000000000003</v>
      </c>
      <c r="M115" s="146">
        <f>SUMIF('2025 AC'!$B$3:$B$250,"*"&amp;$D115&amp;"*",'2025 AC'!K$3:K$250)</f>
        <v>263.88</v>
      </c>
      <c r="N115" s="146">
        <f>SUMIF('2025 AC'!$B$3:$B$250,"*"&amp;$D115&amp;"*",'2025 AC'!L$3:L$250)</f>
        <v>50</v>
      </c>
      <c r="O115" s="146">
        <f>SUMIF('2025 AC'!$B$3:$B$250,"*"&amp;$D115&amp;"*",'2025 AC'!M$3:M$250)</f>
        <v>125</v>
      </c>
      <c r="P115" s="146">
        <f>SUMIF('2025 AC'!$B$3:$B$250,"*"&amp;$D115&amp;"*",'2025 AC'!N$3:N$250)</f>
        <v>248</v>
      </c>
      <c r="Q115" s="149">
        <f t="shared" si="327"/>
        <v>4445.6099999999997</v>
      </c>
      <c r="R115" s="147">
        <f t="shared" si="319"/>
        <v>1270</v>
      </c>
      <c r="S115" s="147">
        <f t="shared" si="320"/>
        <v>1998.8899999999999</v>
      </c>
      <c r="T115" s="147">
        <f t="shared" si="321"/>
        <v>753.72000000000003</v>
      </c>
      <c r="U115" s="147">
        <f t="shared" si="322"/>
        <v>423</v>
      </c>
      <c r="V115" s="148">
        <f t="shared" si="323"/>
        <v>4445.6099999999997</v>
      </c>
    </row>
    <row r="116" ht="15" customHeight="1" outlineLevel="1">
      <c r="A116" t="s">
        <v>252</v>
      </c>
      <c r="B116" t="s">
        <v>253</v>
      </c>
      <c r="C116" s="52" t="s">
        <v>254</v>
      </c>
      <c r="D116" s="35" t="s">
        <v>253</v>
      </c>
      <c r="E116" s="63">
        <f>SUMIF('2025 AC'!$B$3:$B$250,"*"&amp;$D116&amp;"*",'2025 AC'!C$3:C$250)</f>
        <v>800</v>
      </c>
      <c r="F116" s="53">
        <f>SUMIF('2025 AC'!$B$3:$B$250,"*"&amp;$D116&amp;"*",'2025 AC'!D$3:D$250)</f>
        <v>300</v>
      </c>
      <c r="G116" s="53">
        <f>SUMIF('2025 AC'!$B$3:$B$250,"*"&amp;$D116&amp;"*",'2025 AC'!E$3:E$250)</f>
        <v>170</v>
      </c>
      <c r="H116" s="53">
        <f>SUMIF('2025 AC'!$B$3:$B$250,"*"&amp;$D116&amp;"*",'2025 AC'!F$3:F$250)</f>
        <v>635</v>
      </c>
      <c r="I116" s="53">
        <f>SUMIF('2025 AC'!$B$3:$B$250,"*"&amp;$D116&amp;"*",'2025 AC'!G$3:G$250)</f>
        <v>425</v>
      </c>
      <c r="J116" s="53">
        <f>SUMIF('2025 AC'!$B$3:$B$250,"*"&amp;$D116&amp;"*",'2025 AC'!H$3:H$250)</f>
        <v>938.88999999999999</v>
      </c>
      <c r="K116" s="53">
        <f>SUMIF('2025 AC'!$B$3:$B$250,"*"&amp;$D116&amp;"*",'2025 AC'!I$3:I$250)</f>
        <v>111.12</v>
      </c>
      <c r="L116" s="53">
        <f>SUMIF('2025 AC'!$B$3:$B$250,"*"&amp;$D116&amp;"*",'2025 AC'!J$3:J$250)</f>
        <v>378.72000000000003</v>
      </c>
      <c r="M116" s="53">
        <f>SUMIF('2025 AC'!$B$3:$B$250,"*"&amp;$D116&amp;"*",'2025 AC'!K$3:K$250)</f>
        <v>263.88</v>
      </c>
      <c r="N116" s="53">
        <f>SUMIF('2025 AC'!$B$3:$B$250,"*"&amp;$D116&amp;"*",'2025 AC'!L$3:L$250)</f>
        <v>50</v>
      </c>
      <c r="O116" s="53">
        <f>SUMIF('2025 AC'!$B$3:$B$250,"*"&amp;$D116&amp;"*",'2025 AC'!M$3:M$250)</f>
        <v>125</v>
      </c>
      <c r="P116" s="53">
        <f>SUMIF('2025 AC'!$B$3:$B$250,"*"&amp;$D116&amp;"*",'2025 AC'!N$3:N$250)</f>
        <v>248</v>
      </c>
      <c r="Q116" s="94">
        <f t="shared" si="327"/>
        <v>4445.6099999999997</v>
      </c>
      <c r="R116" s="93">
        <f t="shared" si="319"/>
        <v>1270</v>
      </c>
      <c r="S116" s="93">
        <f t="shared" si="320"/>
        <v>1998.8899999999999</v>
      </c>
      <c r="T116" s="93">
        <f t="shared" si="321"/>
        <v>753.72000000000003</v>
      </c>
      <c r="U116" s="93">
        <f t="shared" si="322"/>
        <v>423</v>
      </c>
      <c r="V116" s="92">
        <f t="shared" si="323"/>
        <v>4445.6099999999997</v>
      </c>
    </row>
    <row r="117" ht="15" customHeight="1" outlineLevel="1">
      <c r="A117" t="s">
        <v>255</v>
      </c>
      <c r="B117" t="s">
        <v>256</v>
      </c>
      <c r="C117" s="52" t="s">
        <v>257</v>
      </c>
      <c r="D117" s="35" t="s">
        <v>256</v>
      </c>
      <c r="E117" s="63">
        <f>SUMIF('2025 AC'!$B$3:$B$250,"*"&amp;$D117&amp;"*",'2025 AC'!C$3:C$250)</f>
        <v>0</v>
      </c>
      <c r="F117" s="53">
        <f>SUMIF('2025 AC'!$B$3:$B$250,"*"&amp;$D117&amp;"*",'2025 AC'!D$3:D$250)</f>
        <v>0</v>
      </c>
      <c r="G117" s="53">
        <f>SUMIF('2025 AC'!$B$3:$B$250,"*"&amp;$D117&amp;"*",'2025 AC'!E$3:E$250)</f>
        <v>0</v>
      </c>
      <c r="H117" s="53">
        <f>SUMIF('2025 AC'!$B$3:$B$250,"*"&amp;$D117&amp;"*",'2025 AC'!F$3:F$250)</f>
        <v>0</v>
      </c>
      <c r="I117" s="53">
        <f>SUMIF('2025 AC'!$B$3:$B$250,"*"&amp;$D117&amp;"*",'2025 AC'!G$3:G$250)</f>
        <v>0</v>
      </c>
      <c r="J117" s="53">
        <f>SUMIF('2025 AC'!$B$3:$B$250,"*"&amp;$D117&amp;"*",'2025 AC'!H$3:H$250)</f>
        <v>0</v>
      </c>
      <c r="K117" s="53">
        <f>SUMIF('2025 AC'!$B$3:$B$250,"*"&amp;$D117&amp;"*",'2025 AC'!I$3:I$250)</f>
        <v>0</v>
      </c>
      <c r="L117" s="53">
        <f>SUMIF('2025 AC'!$B$3:$B$250,"*"&amp;$D117&amp;"*",'2025 AC'!J$3:J$250)</f>
        <v>0</v>
      </c>
      <c r="M117" s="53">
        <f>SUMIF('2025 AC'!$B$3:$B$250,"*"&amp;$D117&amp;"*",'2025 AC'!K$3:K$250)</f>
        <v>0</v>
      </c>
      <c r="N117" s="53">
        <f>SUMIF('2025 AC'!$B$3:$B$250,"*"&amp;$D117&amp;"*",'2025 AC'!L$3:L$250)</f>
        <v>0</v>
      </c>
      <c r="O117" s="53">
        <f>SUMIF('2025 AC'!$B$3:$B$250,"*"&amp;$D117&amp;"*",'2025 AC'!M$3:M$250)</f>
        <v>0</v>
      </c>
      <c r="P117" s="53">
        <f>SUMIF('2025 AC'!$B$3:$B$250,"*"&amp;$D117&amp;"*",'2025 AC'!N$3:N$250)</f>
        <v>0</v>
      </c>
      <c r="Q117" s="94">
        <f t="shared" si="327"/>
        <v>0</v>
      </c>
      <c r="R117" s="93">
        <f t="shared" si="319"/>
        <v>0</v>
      </c>
      <c r="S117" s="93">
        <f t="shared" si="320"/>
        <v>0</v>
      </c>
      <c r="T117" s="93">
        <f t="shared" si="321"/>
        <v>0</v>
      </c>
      <c r="U117" s="93">
        <f t="shared" si="322"/>
        <v>0</v>
      </c>
      <c r="V117" s="92">
        <f t="shared" si="323"/>
        <v>0</v>
      </c>
    </row>
    <row r="118" ht="15" customHeight="1" outlineLevel="1">
      <c r="A118" t="s">
        <v>258</v>
      </c>
      <c r="B118" t="s">
        <v>259</v>
      </c>
      <c r="C118" s="34" t="s">
        <v>260</v>
      </c>
      <c r="D118" s="35" t="s">
        <v>259</v>
      </c>
      <c r="E118" s="63">
        <f>SUMIF('2025 AC'!$B$3:$B$250,"*"&amp;$D118&amp;"*",'2025 AC'!C$3:C$250)</f>
        <v>0</v>
      </c>
      <c r="F118" s="53">
        <f>SUMIF('2025 AC'!$B$3:$B$250,"*"&amp;$D118&amp;"*",'2025 AC'!D$3:D$250)</f>
        <v>0</v>
      </c>
      <c r="G118" s="53">
        <f>SUMIF('2025 AC'!$B$3:$B$250,"*"&amp;$D118&amp;"*",'2025 AC'!E$3:E$250)</f>
        <v>0</v>
      </c>
      <c r="H118" s="53">
        <f>SUMIF('2025 AC'!$B$3:$B$250,"*"&amp;$D118&amp;"*",'2025 AC'!F$3:F$250)</f>
        <v>0</v>
      </c>
      <c r="I118" s="53">
        <f>SUMIF('2025 AC'!$B$3:$B$250,"*"&amp;$D118&amp;"*",'2025 AC'!G$3:G$250)</f>
        <v>0</v>
      </c>
      <c r="J118" s="53">
        <f>SUMIF('2025 AC'!$B$3:$B$250,"*"&amp;$D118&amp;"*",'2025 AC'!H$3:H$250)</f>
        <v>0</v>
      </c>
      <c r="K118" s="53">
        <f>SUMIF('2025 AC'!$B$3:$B$250,"*"&amp;$D118&amp;"*",'2025 AC'!I$3:I$250)</f>
        <v>0</v>
      </c>
      <c r="L118" s="53">
        <f>SUMIF('2025 AC'!$B$3:$B$250,"*"&amp;$D118&amp;"*",'2025 AC'!J$3:J$250)</f>
        <v>0</v>
      </c>
      <c r="M118" s="53">
        <f>SUMIF('2025 AC'!$B$3:$B$250,"*"&amp;$D118&amp;"*",'2025 AC'!K$3:K$250)</f>
        <v>0</v>
      </c>
      <c r="N118" s="53">
        <f>SUMIF('2025 AC'!$B$3:$B$250,"*"&amp;$D118&amp;"*",'2025 AC'!L$3:L$250)</f>
        <v>0</v>
      </c>
      <c r="O118" s="53">
        <f>SUMIF('2025 AC'!$B$3:$B$250,"*"&amp;$D118&amp;"*",'2025 AC'!M$3:M$250)</f>
        <v>0</v>
      </c>
      <c r="P118" s="53">
        <f>SUMIF('2025 AC'!$B$3:$B$250,"*"&amp;$D118&amp;"*",'2025 AC'!N$3:N$250)</f>
        <v>0</v>
      </c>
      <c r="Q118" s="94">
        <f t="shared" si="327"/>
        <v>0</v>
      </c>
      <c r="R118" s="93">
        <f t="shared" si="319"/>
        <v>0</v>
      </c>
      <c r="S118" s="93">
        <f t="shared" si="320"/>
        <v>0</v>
      </c>
      <c r="T118" s="93">
        <f t="shared" si="321"/>
        <v>0</v>
      </c>
      <c r="U118" s="93">
        <f t="shared" si="322"/>
        <v>0</v>
      </c>
      <c r="V118" s="92">
        <f t="shared" si="323"/>
        <v>0</v>
      </c>
    </row>
    <row r="119" ht="15" customHeight="1" outlineLevel="1">
      <c r="A119" t="s">
        <v>261</v>
      </c>
      <c r="B119" t="s">
        <v>262</v>
      </c>
      <c r="C119" s="52" t="s">
        <v>263</v>
      </c>
      <c r="D119" s="35" t="s">
        <v>262</v>
      </c>
      <c r="E119" s="63">
        <f>SUMIF('2025 AC'!$B$3:$B$250,"*"&amp;$D119&amp;"*",'2025 AC'!C$3:C$250)</f>
        <v>0</v>
      </c>
      <c r="F119" s="53">
        <f>SUMIF('2025 AC'!$B$3:$B$250,"*"&amp;$D119&amp;"*",'2025 AC'!D$3:D$250)</f>
        <v>0</v>
      </c>
      <c r="G119" s="53">
        <f>SUMIF('2025 AC'!$B$3:$B$250,"*"&amp;$D119&amp;"*",'2025 AC'!E$3:E$250)</f>
        <v>0</v>
      </c>
      <c r="H119" s="53">
        <f>SUMIF('2025 AC'!$B$3:$B$250,"*"&amp;$D119&amp;"*",'2025 AC'!F$3:F$250)</f>
        <v>0</v>
      </c>
      <c r="I119" s="53">
        <f>SUMIF('2025 AC'!$B$3:$B$250,"*"&amp;$D119&amp;"*",'2025 AC'!G$3:G$250)</f>
        <v>0</v>
      </c>
      <c r="J119" s="53">
        <f>SUMIF('2025 AC'!$B$3:$B$250,"*"&amp;$D119&amp;"*",'2025 AC'!H$3:H$250)</f>
        <v>0</v>
      </c>
      <c r="K119" s="53">
        <f>SUMIF('2025 AC'!$B$3:$B$250,"*"&amp;$D119&amp;"*",'2025 AC'!I$3:I$250)</f>
        <v>0</v>
      </c>
      <c r="L119" s="53">
        <f>SUMIF('2025 AC'!$B$3:$B$250,"*"&amp;$D119&amp;"*",'2025 AC'!J$3:J$250)</f>
        <v>0</v>
      </c>
      <c r="M119" s="53">
        <f>SUMIF('2025 AC'!$B$3:$B$250,"*"&amp;$D119&amp;"*",'2025 AC'!K$3:K$250)</f>
        <v>0</v>
      </c>
      <c r="N119" s="53">
        <f>SUMIF('2025 AC'!$B$3:$B$250,"*"&amp;$D119&amp;"*",'2025 AC'!L$3:L$250)</f>
        <v>0</v>
      </c>
      <c r="O119" s="53">
        <f>SUMIF('2025 AC'!$B$3:$B$250,"*"&amp;$D119&amp;"*",'2025 AC'!M$3:M$250)</f>
        <v>0</v>
      </c>
      <c r="P119" s="53">
        <f>SUMIF('2025 AC'!$B$3:$B$250,"*"&amp;$D119&amp;"*",'2025 AC'!N$3:N$250)</f>
        <v>0</v>
      </c>
      <c r="Q119" s="94">
        <f t="shared" si="327"/>
        <v>0</v>
      </c>
      <c r="R119" s="93">
        <f t="shared" si="319"/>
        <v>0</v>
      </c>
      <c r="S119" s="93">
        <f t="shared" si="320"/>
        <v>0</v>
      </c>
      <c r="T119" s="93">
        <f t="shared" si="321"/>
        <v>0</v>
      </c>
      <c r="U119" s="93">
        <f t="shared" si="322"/>
        <v>0</v>
      </c>
      <c r="V119" s="92">
        <f t="shared" si="323"/>
        <v>0</v>
      </c>
    </row>
    <row r="120" ht="15" customHeight="1">
      <c r="A120" s="185"/>
      <c r="C120" s="34"/>
      <c r="D120" s="35"/>
      <c r="E120" s="6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94"/>
      <c r="R120" s="93">
        <f t="shared" si="319"/>
        <v>0</v>
      </c>
      <c r="S120" s="93">
        <f t="shared" si="320"/>
        <v>0</v>
      </c>
      <c r="T120" s="93">
        <f t="shared" si="321"/>
        <v>0</v>
      </c>
      <c r="U120" s="93">
        <f t="shared" si="322"/>
        <v>0</v>
      </c>
      <c r="V120" s="92">
        <f t="shared" si="323"/>
        <v>0</v>
      </c>
    </row>
    <row r="121" s="125" customFormat="1" ht="15" customHeight="1">
      <c r="A121" s="174"/>
      <c r="C121" s="126" t="s">
        <v>264</v>
      </c>
      <c r="D121" s="127"/>
      <c r="E121" s="180">
        <f>E114+E115</f>
        <v>800</v>
      </c>
      <c r="F121" s="181">
        <f t="shared" ref="F121:P121" si="328">F114+F115</f>
        <v>300</v>
      </c>
      <c r="G121" s="181">
        <f t="shared" si="328"/>
        <v>170</v>
      </c>
      <c r="H121" s="181">
        <f t="shared" si="328"/>
        <v>635</v>
      </c>
      <c r="I121" s="181">
        <f t="shared" si="328"/>
        <v>425</v>
      </c>
      <c r="J121" s="181">
        <f t="shared" si="328"/>
        <v>938.88999999999999</v>
      </c>
      <c r="K121" s="181">
        <f t="shared" si="328"/>
        <v>111.12</v>
      </c>
      <c r="L121" s="181">
        <f t="shared" si="328"/>
        <v>378.72000000000003</v>
      </c>
      <c r="M121" s="181">
        <f t="shared" si="328"/>
        <v>263.88</v>
      </c>
      <c r="N121" s="181">
        <f t="shared" si="328"/>
        <v>50</v>
      </c>
      <c r="O121" s="181">
        <f t="shared" si="328"/>
        <v>125</v>
      </c>
      <c r="P121" s="181">
        <f t="shared" si="328"/>
        <v>248</v>
      </c>
      <c r="Q121" s="184">
        <f t="shared" si="327"/>
        <v>4445.6099999999997</v>
      </c>
      <c r="R121" s="182">
        <f t="shared" si="319"/>
        <v>1270</v>
      </c>
      <c r="S121" s="182">
        <f t="shared" si="320"/>
        <v>1998.8899999999999</v>
      </c>
      <c r="T121" s="182">
        <f t="shared" si="321"/>
        <v>753.72000000000003</v>
      </c>
      <c r="U121" s="182">
        <f t="shared" si="322"/>
        <v>423</v>
      </c>
      <c r="V121" s="183">
        <f t="shared" si="323"/>
        <v>4445.6099999999997</v>
      </c>
    </row>
    <row r="122" ht="15" customHeight="1">
      <c r="A122" s="185" t="s">
        <v>265</v>
      </c>
      <c r="C122" s="34"/>
      <c r="D122" s="35"/>
      <c r="E122" s="6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94"/>
      <c r="R122" s="93">
        <f t="shared" si="319"/>
        <v>0</v>
      </c>
      <c r="S122" s="93">
        <f t="shared" si="320"/>
        <v>0</v>
      </c>
      <c r="T122" s="93">
        <f t="shared" si="321"/>
        <v>0</v>
      </c>
      <c r="U122" s="93">
        <f t="shared" si="322"/>
        <v>0</v>
      </c>
      <c r="V122" s="92">
        <f t="shared" si="323"/>
        <v>0</v>
      </c>
    </row>
    <row r="123">
      <c r="A123" t="s">
        <v>266</v>
      </c>
      <c r="B123" t="s">
        <v>267</v>
      </c>
      <c r="C123" s="165" t="s">
        <v>268</v>
      </c>
      <c r="D123" s="35"/>
      <c r="E123" s="6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94"/>
      <c r="R123" s="93">
        <f t="shared" si="319"/>
        <v>0</v>
      </c>
      <c r="S123" s="93">
        <f t="shared" si="320"/>
        <v>0</v>
      </c>
      <c r="T123" s="93">
        <f t="shared" si="321"/>
        <v>0</v>
      </c>
      <c r="U123" s="93">
        <f t="shared" si="322"/>
        <v>0</v>
      </c>
      <c r="V123" s="92">
        <f t="shared" si="323"/>
        <v>0</v>
      </c>
    </row>
    <row r="124">
      <c r="C124" s="165"/>
      <c r="D124" s="35"/>
      <c r="E124" s="6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94"/>
      <c r="R124" s="93">
        <f t="shared" si="319"/>
        <v>0</v>
      </c>
      <c r="S124" s="93">
        <f t="shared" si="320"/>
        <v>0</v>
      </c>
      <c r="T124" s="93">
        <f t="shared" si="321"/>
        <v>0</v>
      </c>
      <c r="U124" s="93">
        <f t="shared" si="322"/>
        <v>0</v>
      </c>
      <c r="V124" s="92">
        <f t="shared" si="323"/>
        <v>0</v>
      </c>
    </row>
    <row r="125" s="137" customFormat="1" ht="15" customHeight="1">
      <c r="A125" s="137" t="s">
        <v>269</v>
      </c>
      <c r="B125" s="137" t="s">
        <v>270</v>
      </c>
      <c r="C125" s="187" t="s">
        <v>271</v>
      </c>
      <c r="D125" s="139" t="s">
        <v>267</v>
      </c>
      <c r="E125" s="145">
        <f>SUMIF('2025 AC'!$B$3:$B$250,"*"&amp;$D125&amp;"*",'2025 AC'!C$3:C$250)</f>
        <v>360984.01000000001</v>
      </c>
      <c r="F125" s="146">
        <f>SUMIF('2025 AC'!$B$3:$B$250,"*"&amp;$D125&amp;"*",'2025 AC'!D$3:D$250)</f>
        <v>245694.92000000001</v>
      </c>
      <c r="G125" s="146">
        <f>SUMIF('2025 AC'!$B$3:$B$250,"*"&amp;$D125&amp;"*",'2025 AC'!E$3:E$250)</f>
        <v>225352.98000000001</v>
      </c>
      <c r="H125" s="146">
        <f>SUMIF('2025 AC'!$B$3:$B$250,"*"&amp;$D125&amp;"*",'2025 AC'!F$3:F$250)</f>
        <v>222529.31</v>
      </c>
      <c r="I125" s="146">
        <f>SUMIF('2025 AC'!$B$3:$B$250,"*"&amp;$D125&amp;"*",'2025 AC'!G$3:G$250)</f>
        <v>229442.06</v>
      </c>
      <c r="J125" s="146">
        <f>SUMIF('2025 AC'!$B$3:$B$250,"*"&amp;$D125&amp;"*",'2025 AC'!H$3:H$250)</f>
        <v>223287.92000000001</v>
      </c>
      <c r="K125" s="146">
        <f>SUMIF('2025 AC'!$B$3:$B$250,"*"&amp;$D125&amp;"*",'2025 AC'!I$3:I$250)</f>
        <v>213672.66</v>
      </c>
      <c r="L125" s="146">
        <f>SUMIF('2025 AC'!$B$3:$B$250,"*"&amp;$D125&amp;"*",'2025 AC'!J$3:J$250)</f>
        <v>309065.53999999998</v>
      </c>
      <c r="M125" s="146">
        <f>SUMIF('2025 AC'!$B$3:$B$250,"*"&amp;$D125&amp;"*",'2025 AC'!K$3:K$250)</f>
        <v>211538.41</v>
      </c>
      <c r="N125" s="146">
        <f>SUMIF('2025 AC'!$B$3:$B$250,"*"&amp;$D125&amp;"*",'2025 AC'!L$3:L$250)</f>
        <v>220924.78</v>
      </c>
      <c r="O125" s="146">
        <f>SUMIF('2025 AC'!$B$3:$B$250,"*"&amp;$D125&amp;"*",'2025 AC'!M$3:M$250)</f>
        <v>224464.39999999999</v>
      </c>
      <c r="P125" s="146">
        <f>SUMIF('2025 AC'!$B$3:$B$250,"*"&amp;$D125&amp;"*",'2025 AC'!N$3:N$250)</f>
        <v>238751.31</v>
      </c>
      <c r="Q125" s="149">
        <f t="shared" si="327"/>
        <v>2925708.2999999998</v>
      </c>
      <c r="R125" s="147">
        <f t="shared" si="319"/>
        <v>832031.91000000003</v>
      </c>
      <c r="S125" s="147">
        <f t="shared" si="320"/>
        <v>675259.29000000004</v>
      </c>
      <c r="T125" s="147">
        <f t="shared" si="321"/>
        <v>734276.60999999999</v>
      </c>
      <c r="U125" s="147">
        <f t="shared" si="322"/>
        <v>684140.48999999999</v>
      </c>
      <c r="V125" s="148">
        <f t="shared" si="323"/>
        <v>2925708.2999999998</v>
      </c>
    </row>
    <row r="126" ht="15" customHeight="1" outlineLevel="1">
      <c r="A126" t="s">
        <v>272</v>
      </c>
      <c r="B126" t="s">
        <v>273</v>
      </c>
      <c r="C126" s="34" t="s">
        <v>274</v>
      </c>
      <c r="D126" s="35" t="s">
        <v>270</v>
      </c>
      <c r="E126" s="63">
        <f>SUMIF('2025 AC'!$B$3:$B$250,"*"&amp;$D126&amp;"*",'2025 AC'!C$3:C$250)</f>
        <v>238891.20000000001</v>
      </c>
      <c r="F126" s="53">
        <f>SUMIF('2025 AC'!$B$3:$B$250,"*"&amp;$D126&amp;"*",'2025 AC'!D$3:D$250)</f>
        <v>140944.38</v>
      </c>
      <c r="G126" s="53">
        <f>SUMIF('2025 AC'!$B$3:$B$250,"*"&amp;$D126&amp;"*",'2025 AC'!E$3:E$250)</f>
        <v>135657.45000000001</v>
      </c>
      <c r="H126" s="53">
        <f>SUMIF('2025 AC'!$B$3:$B$250,"*"&amp;$D126&amp;"*",'2025 AC'!F$3:F$250)</f>
        <v>142917.64000000001</v>
      </c>
      <c r="I126" s="53">
        <f>SUMIF('2025 AC'!$B$3:$B$250,"*"&amp;$D126&amp;"*",'2025 AC'!G$3:G$250)</f>
        <v>134297.23000000001</v>
      </c>
      <c r="J126" s="53">
        <f>SUMIF('2025 AC'!$B$3:$B$250,"*"&amp;$D126&amp;"*",'2025 AC'!H$3:H$250)</f>
        <v>137742.88</v>
      </c>
      <c r="K126" s="53">
        <f>SUMIF('2025 AC'!$B$3:$B$250,"*"&amp;$D126&amp;"*",'2025 AC'!I$3:I$250)</f>
        <v>138233.14000000001</v>
      </c>
      <c r="L126" s="53">
        <f>SUMIF('2025 AC'!$B$3:$B$250,"*"&amp;$D126&amp;"*",'2025 AC'!J$3:J$250)</f>
        <v>130417.34</v>
      </c>
      <c r="M126" s="53">
        <f>SUMIF('2025 AC'!$B$3:$B$250,"*"&amp;$D126&amp;"*",'2025 AC'!K$3:K$250)</f>
        <v>133322.48999999999</v>
      </c>
      <c r="N126" s="53">
        <f>SUMIF('2025 AC'!$B$3:$B$250,"*"&amp;$D126&amp;"*",'2025 AC'!L$3:L$250)</f>
        <v>138155.76999999999</v>
      </c>
      <c r="O126" s="53">
        <f>SUMIF('2025 AC'!$B$3:$B$250,"*"&amp;$D126&amp;"*",'2025 AC'!M$3:M$250)</f>
        <v>135955.79999999999</v>
      </c>
      <c r="P126" s="53">
        <f>SUMIF('2025 AC'!$B$3:$B$250,"*"&amp;$D126&amp;"*",'2025 AC'!N$3:N$250)</f>
        <v>143482.76999999999</v>
      </c>
      <c r="Q126" s="94">
        <f t="shared" si="327"/>
        <v>1750018.0900000001</v>
      </c>
      <c r="R126" s="93">
        <f t="shared" si="319"/>
        <v>515493.03000000003</v>
      </c>
      <c r="S126" s="93">
        <f t="shared" si="320"/>
        <v>414957.75</v>
      </c>
      <c r="T126" s="93">
        <f t="shared" si="321"/>
        <v>401972.96999999997</v>
      </c>
      <c r="U126" s="93">
        <f t="shared" si="322"/>
        <v>417594.33999999997</v>
      </c>
      <c r="V126" s="92">
        <f t="shared" si="323"/>
        <v>1750018.0899999999</v>
      </c>
    </row>
    <row r="127" ht="15" customHeight="1" outlineLevel="1">
      <c r="A127" t="s">
        <v>272</v>
      </c>
      <c r="B127" t="s">
        <v>273</v>
      </c>
      <c r="C127" s="34" t="s">
        <v>275</v>
      </c>
      <c r="D127" s="35" t="s">
        <v>273</v>
      </c>
      <c r="E127" s="63">
        <f>SUMIF('2025 AC'!$B$3:$B$250,"*"&amp;$D127&amp;"*",'2025 AC'!C$3:C$250)</f>
        <v>59158</v>
      </c>
      <c r="F127" s="53">
        <f>SUMIF('2025 AC'!$B$3:$B$250,"*"&amp;$D127&amp;"*",'2025 AC'!D$3:D$250)</f>
        <v>33245</v>
      </c>
      <c r="G127" s="53">
        <f>SUMIF('2025 AC'!$B$3:$B$250,"*"&amp;$D127&amp;"*",'2025 AC'!E$3:E$250)</f>
        <v>31415</v>
      </c>
      <c r="H127" s="53">
        <f>SUMIF('2025 AC'!$B$3:$B$250,"*"&amp;$D127&amp;"*",'2025 AC'!F$3:F$250)</f>
        <v>31782</v>
      </c>
      <c r="I127" s="53">
        <f>SUMIF('2025 AC'!$B$3:$B$250,"*"&amp;$D127&amp;"*",'2025 AC'!G$3:G$250)</f>
        <v>32069</v>
      </c>
      <c r="J127" s="53">
        <f>SUMIF('2025 AC'!$B$3:$B$250,"*"&amp;$D127&amp;"*",'2025 AC'!H$3:H$250)</f>
        <v>31792</v>
      </c>
      <c r="K127" s="53">
        <f>SUMIF('2025 AC'!$B$3:$B$250,"*"&amp;$D127&amp;"*",'2025 AC'!I$3:I$250)</f>
        <v>32565</v>
      </c>
      <c r="L127" s="53">
        <f>SUMIF('2025 AC'!$B$3:$B$250,"*"&amp;$D127&amp;"*",'2025 AC'!J$3:J$250)</f>
        <v>31565</v>
      </c>
      <c r="M127" s="53">
        <f>SUMIF('2025 AC'!$B$3:$B$250,"*"&amp;$D127&amp;"*",'2025 AC'!K$3:K$250)</f>
        <v>31558</v>
      </c>
      <c r="N127" s="53">
        <f>SUMIF('2025 AC'!$B$3:$B$250,"*"&amp;$D127&amp;"*",'2025 AC'!L$3:L$250)</f>
        <v>31720</v>
      </c>
      <c r="O127" s="53">
        <f>SUMIF('2025 AC'!$B$3:$B$250,"*"&amp;$D127&amp;"*",'2025 AC'!M$3:M$250)</f>
        <v>33620</v>
      </c>
      <c r="P127" s="53">
        <f>SUMIF('2025 AC'!$B$3:$B$250,"*"&amp;$D127&amp;"*",'2025 AC'!N$3:N$250)</f>
        <v>35437</v>
      </c>
      <c r="Q127" s="94">
        <f t="shared" si="327"/>
        <v>415926</v>
      </c>
      <c r="R127" s="93">
        <f t="shared" si="319"/>
        <v>123818</v>
      </c>
      <c r="S127" s="93">
        <f t="shared" si="320"/>
        <v>95643</v>
      </c>
      <c r="T127" s="93">
        <f t="shared" si="321"/>
        <v>95688</v>
      </c>
      <c r="U127" s="93">
        <f t="shared" si="322"/>
        <v>100777</v>
      </c>
      <c r="V127" s="92">
        <f t="shared" si="323"/>
        <v>415926</v>
      </c>
    </row>
    <row r="128" ht="15" customHeight="1" outlineLevel="1">
      <c r="A128" t="s">
        <v>276</v>
      </c>
      <c r="B128" t="s">
        <v>277</v>
      </c>
      <c r="C128" s="34" t="s">
        <v>278</v>
      </c>
      <c r="D128" s="35" t="s">
        <v>277</v>
      </c>
      <c r="E128" s="63">
        <f>SUMIF('2025 AC'!$B$3:$B$250,"*"&amp;$D128&amp;"*",'2025 AC'!C$3:C$250)</f>
        <v>3336.8000000000002</v>
      </c>
      <c r="F128" s="53">
        <f>SUMIF('2025 AC'!$B$3:$B$250,"*"&amp;$D128&amp;"*",'2025 AC'!D$3:D$250)</f>
        <v>3398.5999999999999</v>
      </c>
      <c r="G128" s="53">
        <f>SUMIF('2025 AC'!$B$3:$B$250,"*"&amp;$D128&amp;"*",'2025 AC'!E$3:E$250)</f>
        <v>3251.5999999999999</v>
      </c>
      <c r="H128" s="53">
        <f>SUMIF('2025 AC'!$B$3:$B$250,"*"&amp;$D128&amp;"*",'2025 AC'!F$3:F$250)</f>
        <v>3371.3000000000002</v>
      </c>
      <c r="I128" s="53">
        <f>SUMIF('2025 AC'!$B$3:$B$250,"*"&amp;$D128&amp;"*",'2025 AC'!G$3:G$250)</f>
        <v>3226</v>
      </c>
      <c r="J128" s="53">
        <f>SUMIF('2025 AC'!$B$3:$B$250,"*"&amp;$D128&amp;"*",'2025 AC'!H$3:H$250)</f>
        <v>3311.4000000000001</v>
      </c>
      <c r="K128" s="53">
        <f>SUMIF('2025 AC'!$B$3:$B$250,"*"&amp;$D128&amp;"*",'2025 AC'!I$3:I$250)</f>
        <v>3330.9000000000001</v>
      </c>
      <c r="L128" s="53">
        <f>SUMIF('2025 AC'!$B$3:$B$250,"*"&amp;$D128&amp;"*",'2025 AC'!J$3:J$250)</f>
        <v>3131.5</v>
      </c>
      <c r="M128" s="53">
        <f>SUMIF('2025 AC'!$B$3:$B$250,"*"&amp;$D128&amp;"*",'2025 AC'!K$3:K$250)</f>
        <v>3199.9000000000001</v>
      </c>
      <c r="N128" s="53">
        <f>SUMIF('2025 AC'!$B$3:$B$250,"*"&amp;$D128&amp;"*",'2025 AC'!L$3:L$250)</f>
        <v>3332.1999999999998</v>
      </c>
      <c r="O128" s="53">
        <f>SUMIF('2025 AC'!$B$3:$B$250,"*"&amp;$D128&amp;"*",'2025 AC'!M$3:M$250)</f>
        <v>3218</v>
      </c>
      <c r="P128" s="53">
        <f>SUMIF('2025 AC'!$B$3:$B$250,"*"&amp;$D128&amp;"*",'2025 AC'!N$3:N$250)</f>
        <v>3294.8000000000002</v>
      </c>
      <c r="Q128" s="94">
        <f t="shared" si="327"/>
        <v>39403.000000000007</v>
      </c>
      <c r="R128" s="93">
        <f t="shared" si="319"/>
        <v>9987</v>
      </c>
      <c r="S128" s="93">
        <f t="shared" si="320"/>
        <v>9908.7000000000007</v>
      </c>
      <c r="T128" s="93">
        <f t="shared" si="321"/>
        <v>9662.2999999999993</v>
      </c>
      <c r="U128" s="93">
        <f t="shared" si="322"/>
        <v>9845</v>
      </c>
      <c r="V128" s="92">
        <f t="shared" si="323"/>
        <v>39403</v>
      </c>
    </row>
    <row r="129" ht="15" customHeight="1" outlineLevel="1">
      <c r="A129" t="s">
        <v>279</v>
      </c>
      <c r="B129" t="s">
        <v>280</v>
      </c>
      <c r="C129" s="34" t="s">
        <v>281</v>
      </c>
      <c r="D129" s="35" t="s">
        <v>280</v>
      </c>
      <c r="E129" s="63">
        <f>SUMIF('2025 AC'!$B$3:$B$250,"*"&amp;$D129&amp;"*",'2025 AC'!C$3:C$250)</f>
        <v>570.79999999999995</v>
      </c>
      <c r="F129" s="53">
        <f>SUMIF('2025 AC'!$B$3:$B$250,"*"&amp;$D129&amp;"*",'2025 AC'!D$3:D$250)</f>
        <v>579.79999999999995</v>
      </c>
      <c r="G129" s="53">
        <f>SUMIF('2025 AC'!$B$3:$B$250,"*"&amp;$D129&amp;"*",'2025 AC'!E$3:E$250)</f>
        <v>553</v>
      </c>
      <c r="H129" s="53">
        <f>SUMIF('2025 AC'!$B$3:$B$250,"*"&amp;$D129&amp;"*",'2025 AC'!F$3:F$250)</f>
        <v>571.60000000000002</v>
      </c>
      <c r="I129" s="53">
        <f>SUMIF('2025 AC'!$B$3:$B$250,"*"&amp;$D129&amp;"*",'2025 AC'!G$3:G$250)</f>
        <v>549.60000000000002</v>
      </c>
      <c r="J129" s="53">
        <f>SUMIF('2025 AC'!$B$3:$B$250,"*"&amp;$D129&amp;"*",'2025 AC'!H$3:H$250)</f>
        <v>565.39999999999998</v>
      </c>
      <c r="K129" s="53">
        <f>SUMIF('2025 AC'!$B$3:$B$250,"*"&amp;$D129&amp;"*",'2025 AC'!I$3:I$250)</f>
        <v>568</v>
      </c>
      <c r="L129" s="53">
        <f>SUMIF('2025 AC'!$B$3:$B$250,"*"&amp;$D129&amp;"*",'2025 AC'!J$3:J$250)</f>
        <v>532.79999999999995</v>
      </c>
      <c r="M129" s="53">
        <f>SUMIF('2025 AC'!$B$3:$B$250,"*"&amp;$D129&amp;"*",'2025 AC'!K$3:K$250)</f>
        <v>543.20000000000005</v>
      </c>
      <c r="N129" s="53">
        <f>SUMIF('2025 AC'!$B$3:$B$250,"*"&amp;$D129&amp;"*",'2025 AC'!L$3:L$250)</f>
        <v>566.29999999999995</v>
      </c>
      <c r="O129" s="53">
        <f>SUMIF('2025 AC'!$B$3:$B$250,"*"&amp;$D129&amp;"*",'2025 AC'!M$3:M$250)</f>
        <v>548.39999999999998</v>
      </c>
      <c r="P129" s="53">
        <f>SUMIF('2025 AC'!$B$3:$B$250,"*"&amp;$D129&amp;"*",'2025 AC'!N$3:N$250)</f>
        <v>561.60000000000002</v>
      </c>
      <c r="Q129" s="94">
        <f t="shared" si="327"/>
        <v>6710.5</v>
      </c>
      <c r="R129" s="93">
        <f t="shared" si="319"/>
        <v>1703.5999999999999</v>
      </c>
      <c r="S129" s="93">
        <f t="shared" si="320"/>
        <v>1686.5999999999999</v>
      </c>
      <c r="T129" s="93">
        <f t="shared" si="321"/>
        <v>1644</v>
      </c>
      <c r="U129" s="93">
        <f t="shared" si="322"/>
        <v>1676.2999999999997</v>
      </c>
      <c r="V129" s="92">
        <f t="shared" si="323"/>
        <v>6710.5</v>
      </c>
    </row>
    <row r="130" ht="15" customHeight="1" outlineLevel="1">
      <c r="A130" t="s">
        <v>282</v>
      </c>
      <c r="B130" t="s">
        <v>283</v>
      </c>
      <c r="C130" s="34" t="s">
        <v>284</v>
      </c>
      <c r="D130" s="35" t="s">
        <v>283</v>
      </c>
      <c r="E130" s="63">
        <f>SUMIF('2025 AC'!$B$3:$B$250,"*"&amp;$D130&amp;"*",'2025 AC'!C$3:C$250)</f>
        <v>7237.1899999999996</v>
      </c>
      <c r="F130" s="53">
        <f>SUMIF('2025 AC'!$B$3:$B$250,"*"&amp;$D130&amp;"*",'2025 AC'!D$3:D$250)</f>
        <v>1258.4000000000001</v>
      </c>
      <c r="G130" s="53">
        <f>SUMIF('2025 AC'!$B$3:$B$250,"*"&amp;$D130&amp;"*",'2025 AC'!E$3:E$250)</f>
        <v>1102.5999999999999</v>
      </c>
      <c r="H130" s="53">
        <f>SUMIF('2025 AC'!$B$3:$B$250,"*"&amp;$D130&amp;"*",'2025 AC'!F$3:F$250)</f>
        <v>1509.7</v>
      </c>
      <c r="I130" s="53">
        <f>SUMIF('2025 AC'!$B$3:$B$250,"*"&amp;$D130&amp;"*",'2025 AC'!G$3:G$250)</f>
        <v>997.04999999999995</v>
      </c>
      <c r="J130" s="53">
        <f>SUMIF('2025 AC'!$B$3:$B$250,"*"&amp;$D130&amp;"*",'2025 AC'!H$3:H$250)</f>
        <v>1241</v>
      </c>
      <c r="K130" s="53">
        <f>SUMIF('2025 AC'!$B$3:$B$250,"*"&amp;$D130&amp;"*",'2025 AC'!I$3:I$250)</f>
        <v>1104.25</v>
      </c>
      <c r="L130" s="53">
        <f>SUMIF('2025 AC'!$B$3:$B$250,"*"&amp;$D130&amp;"*",'2025 AC'!J$3:J$250)</f>
        <v>1011.7</v>
      </c>
      <c r="M130" s="53">
        <f>SUMIF('2025 AC'!$B$3:$B$250,"*"&amp;$D130&amp;"*",'2025 AC'!K$3:K$250)</f>
        <v>1058.25</v>
      </c>
      <c r="N130" s="53">
        <f>SUMIF('2025 AC'!$B$3:$B$250,"*"&amp;$D130&amp;"*",'2025 AC'!L$3:L$250)</f>
        <v>1134.3</v>
      </c>
      <c r="O130" s="53">
        <f>SUMIF('2025 AC'!$B$3:$B$250,"*"&amp;$D130&amp;"*",'2025 AC'!M$3:M$250)</f>
        <v>2164.1500000000001</v>
      </c>
      <c r="P130" s="53">
        <f>SUMIF('2025 AC'!$B$3:$B$250,"*"&amp;$D130&amp;"*",'2025 AC'!N$3:N$250)</f>
        <v>2659.5500000000002</v>
      </c>
      <c r="Q130" s="94">
        <f t="shared" si="327"/>
        <v>22478.139999999999</v>
      </c>
      <c r="R130" s="93">
        <f t="shared" si="319"/>
        <v>9598.1900000000005</v>
      </c>
      <c r="S130" s="93">
        <f t="shared" si="320"/>
        <v>3747.75</v>
      </c>
      <c r="T130" s="93">
        <f t="shared" si="321"/>
        <v>3174.1999999999998</v>
      </c>
      <c r="U130" s="93">
        <f t="shared" si="322"/>
        <v>5958</v>
      </c>
      <c r="V130" s="92">
        <f t="shared" si="323"/>
        <v>22478.139999999999</v>
      </c>
    </row>
    <row r="131" ht="15" customHeight="1" outlineLevel="1">
      <c r="A131" t="s">
        <v>285</v>
      </c>
      <c r="B131" t="s">
        <v>286</v>
      </c>
      <c r="C131" s="34" t="s">
        <v>287</v>
      </c>
      <c r="D131" s="35" t="s">
        <v>286</v>
      </c>
      <c r="E131" s="63">
        <f>SUMIF('2025 AC'!$B$3:$B$250,"*"&amp;$D131&amp;"*",'2025 AC'!C$3:C$250)</f>
        <v>1432.4300000000001</v>
      </c>
      <c r="F131" s="53">
        <f>SUMIF('2025 AC'!$B$3:$B$250,"*"&amp;$D131&amp;"*",'2025 AC'!D$3:D$250)</f>
        <v>1450.6199999999999</v>
      </c>
      <c r="G131" s="53">
        <f>SUMIF('2025 AC'!$B$3:$B$250,"*"&amp;$D131&amp;"*",'2025 AC'!E$3:E$250)</f>
        <v>1381.24</v>
      </c>
      <c r="H131" s="53">
        <f>SUMIF('2025 AC'!$B$3:$B$250,"*"&amp;$D131&amp;"*",'2025 AC'!F$3:F$250)</f>
        <v>1396.9300000000001</v>
      </c>
      <c r="I131" s="53">
        <f>SUMIF('2025 AC'!$B$3:$B$250,"*"&amp;$D131&amp;"*",'2025 AC'!G$3:G$250)</f>
        <v>1408.77</v>
      </c>
      <c r="J131" s="53">
        <f>SUMIF('2025 AC'!$B$3:$B$250,"*"&amp;$D131&amp;"*",'2025 AC'!H$3:H$250)</f>
        <v>1383.8399999999999</v>
      </c>
      <c r="K131" s="53">
        <f>SUMIF('2025 AC'!$B$3:$B$250,"*"&amp;$D131&amp;"*",'2025 AC'!I$3:I$250)</f>
        <v>1423.3800000000001</v>
      </c>
      <c r="L131" s="53">
        <f>SUMIF('2025 AC'!$B$3:$B$250,"*"&amp;$D131&amp;"*",'2025 AC'!J$3:J$250)</f>
        <v>1387.78</v>
      </c>
      <c r="M131" s="53">
        <f>SUMIF('2025 AC'!$B$3:$B$250,"*"&amp;$D131&amp;"*",'2025 AC'!K$3:K$250)</f>
        <v>1394.51</v>
      </c>
      <c r="N131" s="53">
        <f>SUMIF('2025 AC'!$B$3:$B$250,"*"&amp;$D131&amp;"*",'2025 AC'!L$3:L$250)</f>
        <v>1393.8399999999999</v>
      </c>
      <c r="O131" s="53">
        <f>SUMIF('2025 AC'!$B$3:$B$250,"*"&amp;$D131&amp;"*",'2025 AC'!M$3:M$250)</f>
        <v>1409.5999999999999</v>
      </c>
      <c r="P131" s="53">
        <f>SUMIF('2025 AC'!$B$3:$B$250,"*"&amp;$D131&amp;"*",'2025 AC'!N$3:N$250)</f>
        <v>1393.5699999999999</v>
      </c>
      <c r="Q131" s="94">
        <f t="shared" si="327"/>
        <v>16856.510000000002</v>
      </c>
      <c r="R131" s="93">
        <f t="shared" si="319"/>
        <v>4264.29</v>
      </c>
      <c r="S131" s="93">
        <f t="shared" si="320"/>
        <v>4189.54</v>
      </c>
      <c r="T131" s="93">
        <f t="shared" si="321"/>
        <v>4205.6700000000001</v>
      </c>
      <c r="U131" s="93">
        <f t="shared" si="322"/>
        <v>4197.0099999999993</v>
      </c>
      <c r="V131" s="92">
        <f t="shared" si="323"/>
        <v>16856.509999999998</v>
      </c>
    </row>
    <row r="132" ht="15" customHeight="1" outlineLevel="1">
      <c r="A132" t="s">
        <v>288</v>
      </c>
      <c r="B132" t="s">
        <v>289</v>
      </c>
      <c r="C132" s="34" t="s">
        <v>290</v>
      </c>
      <c r="D132" s="35" t="s">
        <v>289</v>
      </c>
      <c r="E132" s="63">
        <f>SUMIF('2025 AC'!$B$3:$B$250,"*"&amp;$D132&amp;"*",'2025 AC'!C$3:C$250)</f>
        <v>0</v>
      </c>
      <c r="F132" s="53">
        <f>SUMIF('2025 AC'!$B$3:$B$250,"*"&amp;$D132&amp;"*",'2025 AC'!D$3:D$250)</f>
        <v>0</v>
      </c>
      <c r="G132" s="53">
        <f>SUMIF('2025 AC'!$B$3:$B$250,"*"&amp;$D132&amp;"*",'2025 AC'!E$3:E$250)</f>
        <v>0</v>
      </c>
      <c r="H132" s="53">
        <f>SUMIF('2025 AC'!$B$3:$B$250,"*"&amp;$D132&amp;"*",'2025 AC'!F$3:F$250)</f>
        <v>0</v>
      </c>
      <c r="I132" s="53">
        <f>SUMIF('2025 AC'!$B$3:$B$250,"*"&amp;$D132&amp;"*",'2025 AC'!G$3:G$250)</f>
        <v>0</v>
      </c>
      <c r="J132" s="53">
        <f>SUMIF('2025 AC'!$B$3:$B$250,"*"&amp;$D132&amp;"*",'2025 AC'!H$3:H$250)</f>
        <v>0</v>
      </c>
      <c r="K132" s="53">
        <f>SUMIF('2025 AC'!$B$3:$B$250,"*"&amp;$D132&amp;"*",'2025 AC'!I$3:I$250)</f>
        <v>0</v>
      </c>
      <c r="L132" s="53">
        <f>SUMIF('2025 AC'!$B$3:$B$250,"*"&amp;$D132&amp;"*",'2025 AC'!J$3:J$250)</f>
        <v>0</v>
      </c>
      <c r="M132" s="53">
        <f>SUMIF('2025 AC'!$B$3:$B$250,"*"&amp;$D132&amp;"*",'2025 AC'!K$3:K$250)</f>
        <v>0</v>
      </c>
      <c r="N132" s="53">
        <f>SUMIF('2025 AC'!$B$3:$B$250,"*"&amp;$D132&amp;"*",'2025 AC'!L$3:L$250)</f>
        <v>0</v>
      </c>
      <c r="O132" s="53">
        <f>SUMIF('2025 AC'!$B$3:$B$250,"*"&amp;$D132&amp;"*",'2025 AC'!M$3:M$250)</f>
        <v>0</v>
      </c>
      <c r="P132" s="53">
        <f>SUMIF('2025 AC'!$B$3:$B$250,"*"&amp;$D132&amp;"*",'2025 AC'!N$3:N$250)</f>
        <v>0</v>
      </c>
      <c r="Q132" s="94">
        <f t="shared" si="327"/>
        <v>0</v>
      </c>
      <c r="R132" s="93">
        <f t="shared" si="319"/>
        <v>0</v>
      </c>
      <c r="S132" s="93">
        <f t="shared" si="320"/>
        <v>0</v>
      </c>
      <c r="T132" s="93">
        <f t="shared" si="321"/>
        <v>0</v>
      </c>
      <c r="U132" s="93">
        <f t="shared" si="322"/>
        <v>0</v>
      </c>
      <c r="V132" s="92">
        <f t="shared" si="323"/>
        <v>0</v>
      </c>
    </row>
    <row r="133" ht="15" customHeight="1" outlineLevel="1">
      <c r="A133" t="s">
        <v>291</v>
      </c>
      <c r="B133" t="s">
        <v>292</v>
      </c>
      <c r="C133" s="34" t="s">
        <v>293</v>
      </c>
      <c r="D133" s="35" t="s">
        <v>292</v>
      </c>
      <c r="E133" s="63">
        <f>SUMIF('2025 AC'!$B$3:$B$250,"*"&amp;$D133&amp;"*",'2025 AC'!C$3:C$250)</f>
        <v>320</v>
      </c>
      <c r="F133" s="53">
        <f>SUMIF('2025 AC'!$B$3:$B$250,"*"&amp;$D133&amp;"*",'2025 AC'!D$3:D$250)</f>
        <v>320</v>
      </c>
      <c r="G133" s="53">
        <f>SUMIF('2025 AC'!$B$3:$B$250,"*"&amp;$D133&amp;"*",'2025 AC'!E$3:E$250)</f>
        <v>320</v>
      </c>
      <c r="H133" s="53">
        <f>SUMIF('2025 AC'!$B$3:$B$250,"*"&amp;$D133&amp;"*",'2025 AC'!F$3:F$250)</f>
        <v>320</v>
      </c>
      <c r="I133" s="53">
        <f>SUMIF('2025 AC'!$B$3:$B$250,"*"&amp;$D133&amp;"*",'2025 AC'!G$3:G$250)</f>
        <v>320</v>
      </c>
      <c r="J133" s="53">
        <f>SUMIF('2025 AC'!$B$3:$B$250,"*"&amp;$D133&amp;"*",'2025 AC'!H$3:H$250)</f>
        <v>320</v>
      </c>
      <c r="K133" s="53">
        <f>SUMIF('2025 AC'!$B$3:$B$250,"*"&amp;$D133&amp;"*",'2025 AC'!I$3:I$250)</f>
        <v>320</v>
      </c>
      <c r="L133" s="53">
        <f>SUMIF('2025 AC'!$B$3:$B$250,"*"&amp;$D133&amp;"*",'2025 AC'!J$3:J$250)</f>
        <v>320</v>
      </c>
      <c r="M133" s="53">
        <f>SUMIF('2025 AC'!$B$3:$B$250,"*"&amp;$D133&amp;"*",'2025 AC'!K$3:K$250)</f>
        <v>320</v>
      </c>
      <c r="N133" s="53">
        <f>SUMIF('2025 AC'!$B$3:$B$250,"*"&amp;$D133&amp;"*",'2025 AC'!L$3:L$250)</f>
        <v>320</v>
      </c>
      <c r="O133" s="53">
        <f>SUMIF('2025 AC'!$B$3:$B$250,"*"&amp;$D133&amp;"*",'2025 AC'!M$3:M$250)</f>
        <v>320</v>
      </c>
      <c r="P133" s="53">
        <f>SUMIF('2025 AC'!$B$3:$B$250,"*"&amp;$D133&amp;"*",'2025 AC'!N$3:N$250)</f>
        <v>320</v>
      </c>
      <c r="Q133" s="94">
        <f t="shared" si="327"/>
        <v>3840</v>
      </c>
      <c r="R133" s="93">
        <f t="shared" si="319"/>
        <v>960</v>
      </c>
      <c r="S133" s="93">
        <f t="shared" si="320"/>
        <v>960</v>
      </c>
      <c r="T133" s="93">
        <f t="shared" si="321"/>
        <v>960</v>
      </c>
      <c r="U133" s="93">
        <f t="shared" si="322"/>
        <v>960</v>
      </c>
      <c r="V133" s="92">
        <f t="shared" si="323"/>
        <v>3840</v>
      </c>
    </row>
    <row r="134" ht="15" customHeight="1" outlineLevel="1">
      <c r="A134" t="s">
        <v>294</v>
      </c>
      <c r="B134" t="s">
        <v>295</v>
      </c>
      <c r="C134" s="52" t="s">
        <v>296</v>
      </c>
      <c r="D134" s="35" t="s">
        <v>295</v>
      </c>
      <c r="E134" s="63">
        <f>SUMIF('2025 AC'!$B$3:$B$250,"*"&amp;$D134&amp;"*",'2025 AC'!C$3:C$250)</f>
        <v>0</v>
      </c>
      <c r="F134" s="53">
        <f>SUMIF('2025 AC'!$B$3:$B$250,"*"&amp;$D134&amp;"*",'2025 AC'!D$3:D$250)</f>
        <v>16238.120000000001</v>
      </c>
      <c r="G134" s="53">
        <f>SUMIF('2025 AC'!$B$3:$B$250,"*"&amp;$D134&amp;"*",'2025 AC'!E$3:E$250)</f>
        <v>0</v>
      </c>
      <c r="H134" s="53">
        <f>SUMIF('2025 AC'!$B$3:$B$250,"*"&amp;$D134&amp;"*",'2025 AC'!F$3:F$250)</f>
        <v>0</v>
      </c>
      <c r="I134" s="53">
        <f>SUMIF('2025 AC'!$B$3:$B$250,"*"&amp;$D134&amp;"*",'2025 AC'!G$3:G$250)</f>
        <v>9481.7700000000004</v>
      </c>
      <c r="J134" s="53">
        <f>SUMIF('2025 AC'!$B$3:$B$250,"*"&amp;$D134&amp;"*",'2025 AC'!H$3:H$250)</f>
        <v>0</v>
      </c>
      <c r="K134" s="53">
        <f>SUMIF('2025 AC'!$B$3:$B$250,"*"&amp;$D134&amp;"*",'2025 AC'!I$3:I$250)</f>
        <v>0</v>
      </c>
      <c r="L134" s="53">
        <f>SUMIF('2025 AC'!$B$3:$B$250,"*"&amp;$D134&amp;"*",'2025 AC'!J$3:J$250)</f>
        <v>18279.299999999999</v>
      </c>
      <c r="M134" s="53">
        <f>SUMIF('2025 AC'!$B$3:$B$250,"*"&amp;$D134&amp;"*",'2025 AC'!K$3:K$250)</f>
        <v>0</v>
      </c>
      <c r="N134" s="53">
        <f>SUMIF('2025 AC'!$B$3:$B$250,"*"&amp;$D134&amp;"*",'2025 AC'!L$3:L$250)</f>
        <v>0</v>
      </c>
      <c r="O134" s="53">
        <f>SUMIF('2025 AC'!$B$3:$B$250,"*"&amp;$D134&amp;"*",'2025 AC'!M$3:M$250)</f>
        <v>0</v>
      </c>
      <c r="P134" s="53">
        <f>SUMIF('2025 AC'!$B$3:$B$250,"*"&amp;$D134&amp;"*",'2025 AC'!N$3:N$250)</f>
        <v>0</v>
      </c>
      <c r="Q134" s="94">
        <f t="shared" si="327"/>
        <v>43999.190000000002</v>
      </c>
      <c r="R134" s="93">
        <f t="shared" si="319"/>
        <v>16238.120000000001</v>
      </c>
      <c r="S134" s="93">
        <f t="shared" si="320"/>
        <v>9481.7700000000004</v>
      </c>
      <c r="T134" s="93">
        <f t="shared" si="321"/>
        <v>18279.299999999999</v>
      </c>
      <c r="U134" s="93">
        <f t="shared" si="322"/>
        <v>0</v>
      </c>
      <c r="V134" s="92">
        <f t="shared" si="323"/>
        <v>43999.190000000002</v>
      </c>
    </row>
    <row r="135" ht="15" customHeight="1" outlineLevel="1">
      <c r="A135" t="s">
        <v>297</v>
      </c>
      <c r="B135" t="s">
        <v>298</v>
      </c>
      <c r="C135" s="52" t="s">
        <v>299</v>
      </c>
      <c r="D135" s="35" t="s">
        <v>298</v>
      </c>
      <c r="E135" s="63">
        <f>SUMIF('2025 AC'!$B$3:$B$250,"*"&amp;$D135&amp;"*",'2025 AC'!C$3:C$250)</f>
        <v>1352</v>
      </c>
      <c r="F135" s="53">
        <f>SUMIF('2025 AC'!$B$3:$B$250,"*"&amp;$D135&amp;"*",'2025 AC'!D$3:D$250)</f>
        <v>360</v>
      </c>
      <c r="G135" s="53">
        <f>SUMIF('2025 AC'!$B$3:$B$250,"*"&amp;$D135&amp;"*",'2025 AC'!E$3:E$250)</f>
        <v>2594</v>
      </c>
      <c r="H135" s="53">
        <f>SUMIF('2025 AC'!$B$3:$B$250,"*"&amp;$D135&amp;"*",'2025 AC'!F$3:F$250)</f>
        <v>0</v>
      </c>
      <c r="I135" s="53">
        <f>SUMIF('2025 AC'!$B$3:$B$250,"*"&amp;$D135&amp;"*",'2025 AC'!G$3:G$250)</f>
        <v>6702</v>
      </c>
      <c r="J135" s="53">
        <f>SUMIF('2025 AC'!$B$3:$B$250,"*"&amp;$D135&amp;"*",'2025 AC'!H$3:H$250)</f>
        <v>1004</v>
      </c>
      <c r="K135" s="53">
        <f>SUMIF('2025 AC'!$B$3:$B$250,"*"&amp;$D135&amp;"*",'2025 AC'!I$3:I$250)</f>
        <v>892</v>
      </c>
      <c r="L135" s="53">
        <f>SUMIF('2025 AC'!$B$3:$B$250,"*"&amp;$D135&amp;"*",'2025 AC'!J$3:J$250)</f>
        <v>262</v>
      </c>
      <c r="M135" s="53">
        <f>SUMIF('2025 AC'!$B$3:$B$250,"*"&amp;$D135&amp;"*",'2025 AC'!K$3:K$250)</f>
        <v>1558</v>
      </c>
      <c r="N135" s="53">
        <f>SUMIF('2025 AC'!$B$3:$B$250,"*"&amp;$D135&amp;"*",'2025 AC'!L$3:L$250)</f>
        <v>210</v>
      </c>
      <c r="O135" s="53">
        <f>SUMIF('2025 AC'!$B$3:$B$250,"*"&amp;$D135&amp;"*",'2025 AC'!M$3:M$250)</f>
        <v>1620</v>
      </c>
      <c r="P135" s="53">
        <f>SUMIF('2025 AC'!$B$3:$B$250,"*"&amp;$D135&amp;"*",'2025 AC'!N$3:N$250)</f>
        <v>3820</v>
      </c>
      <c r="Q135" s="94">
        <f t="shared" si="327"/>
        <v>20374</v>
      </c>
      <c r="R135" s="93">
        <f t="shared" si="319"/>
        <v>4306</v>
      </c>
      <c r="S135" s="93">
        <f t="shared" si="320"/>
        <v>7706</v>
      </c>
      <c r="T135" s="93">
        <f t="shared" si="321"/>
        <v>2712</v>
      </c>
      <c r="U135" s="93">
        <f t="shared" si="322"/>
        <v>5650</v>
      </c>
      <c r="V135" s="92">
        <f t="shared" si="323"/>
        <v>20374</v>
      </c>
    </row>
    <row r="136" outlineLevel="1">
      <c r="A136" t="s">
        <v>300</v>
      </c>
      <c r="B136" t="s">
        <v>301</v>
      </c>
      <c r="C136" s="52" t="s">
        <v>302</v>
      </c>
      <c r="D136" s="35" t="s">
        <v>301</v>
      </c>
      <c r="E136" s="63">
        <f>SUMIF('2025 AC'!$B$3:$B$250,"*"&amp;$D136&amp;"*",'2025 AC'!C$3:C$250)</f>
        <v>37126.949999999997</v>
      </c>
      <c r="F136" s="53">
        <f>SUMIF('2025 AC'!$B$3:$B$250,"*"&amp;$D136&amp;"*",'2025 AC'!D$3:D$250)</f>
        <v>36503.860000000001</v>
      </c>
      <c r="G136" s="53">
        <f>SUMIF('2025 AC'!$B$3:$B$250,"*"&amp;$D136&amp;"*",'2025 AC'!E$3:E$250)</f>
        <v>30796.169999999998</v>
      </c>
      <c r="H136" s="53">
        <f>SUMIF('2025 AC'!$B$3:$B$250,"*"&amp;$D136&amp;"*",'2025 AC'!F$3:F$250)</f>
        <v>34376.949999999997</v>
      </c>
      <c r="I136" s="53">
        <f>SUMIF('2025 AC'!$B$3:$B$250,"*"&amp;$D136&amp;"*",'2025 AC'!G$3:G$250)</f>
        <v>32873.059999999998</v>
      </c>
      <c r="J136" s="53">
        <f>SUMIF('2025 AC'!$B$3:$B$250,"*"&amp;$D136&amp;"*",'2025 AC'!H$3:H$250)</f>
        <v>32303.869999999999</v>
      </c>
      <c r="K136" s="53">
        <f>SUMIF('2025 AC'!$B$3:$B$250,"*"&amp;$D136&amp;"*",'2025 AC'!I$3:I$250)</f>
        <v>32362.490000000002</v>
      </c>
      <c r="L136" s="53">
        <f>SUMIF('2025 AC'!$B$3:$B$250,"*"&amp;$D136&amp;"*",'2025 AC'!J$3:J$250)</f>
        <v>33392.32</v>
      </c>
      <c r="M136" s="53">
        <f>SUMIF('2025 AC'!$B$3:$B$250,"*"&amp;$D136&amp;"*",'2025 AC'!K$3:K$250)</f>
        <v>28830.799999999999</v>
      </c>
      <c r="N136" s="53">
        <f>SUMIF('2025 AC'!$B$3:$B$250,"*"&amp;$D136&amp;"*",'2025 AC'!L$3:L$250)</f>
        <v>35049.980000000003</v>
      </c>
      <c r="O136" s="53">
        <f>SUMIF('2025 AC'!$B$3:$B$250,"*"&amp;$D136&amp;"*",'2025 AC'!M$3:M$250)</f>
        <v>34223.099999999999</v>
      </c>
      <c r="P136" s="53">
        <f>SUMIF('2025 AC'!$B$3:$B$250,"*"&amp;$D136&amp;"*",'2025 AC'!N$3:N$250)</f>
        <v>33296.150000000001</v>
      </c>
      <c r="Q136" s="94">
        <f t="shared" si="327"/>
        <v>401135.69999999995</v>
      </c>
      <c r="R136" s="93">
        <f t="shared" si="319"/>
        <v>104426.98</v>
      </c>
      <c r="S136" s="93">
        <f t="shared" si="320"/>
        <v>99553.87999999999</v>
      </c>
      <c r="T136" s="93">
        <f t="shared" si="321"/>
        <v>94585.610000000001</v>
      </c>
      <c r="U136" s="93">
        <f t="shared" si="322"/>
        <v>102569.23000000001</v>
      </c>
      <c r="V136" s="92">
        <f t="shared" si="323"/>
        <v>401135.69999999995</v>
      </c>
    </row>
    <row r="137" outlineLevel="1">
      <c r="A137" t="s">
        <v>303</v>
      </c>
      <c r="B137" t="s">
        <v>304</v>
      </c>
      <c r="C137" s="34" t="s">
        <v>305</v>
      </c>
      <c r="D137" s="35" t="s">
        <v>304</v>
      </c>
      <c r="E137" s="63">
        <f>SUMIF('2025 AC'!$B$3:$B$250,"*"&amp;$D137&amp;"*",'2025 AC'!C$3:C$250)</f>
        <v>354.89999999999998</v>
      </c>
      <c r="F137" s="53">
        <f>SUMIF('2025 AC'!$B$3:$B$250,"*"&amp;$D137&amp;"*",'2025 AC'!D$3:D$250)</f>
        <v>0</v>
      </c>
      <c r="G137" s="53">
        <f>SUMIF('2025 AC'!$B$3:$B$250,"*"&amp;$D137&amp;"*",'2025 AC'!E$3:E$250)</f>
        <v>0</v>
      </c>
      <c r="H137" s="53">
        <f>SUMIF('2025 AC'!$B$3:$B$250,"*"&amp;$D137&amp;"*",'2025 AC'!F$3:F$250)</f>
        <v>0</v>
      </c>
      <c r="I137" s="53">
        <f>SUMIF('2025 AC'!$B$3:$B$250,"*"&amp;$D137&amp;"*",'2025 AC'!G$3:G$250)</f>
        <v>0</v>
      </c>
      <c r="J137" s="53">
        <f>SUMIF('2025 AC'!$B$3:$B$250,"*"&amp;$D137&amp;"*",'2025 AC'!H$3:H$250)</f>
        <v>0</v>
      </c>
      <c r="K137" s="53">
        <f>SUMIF('2025 AC'!$B$3:$B$250,"*"&amp;$D137&amp;"*",'2025 AC'!I$3:I$250)</f>
        <v>0</v>
      </c>
      <c r="L137" s="53">
        <f>SUMIF('2025 AC'!$B$3:$B$250,"*"&amp;$D137&amp;"*",'2025 AC'!J$3:J$250)</f>
        <v>0</v>
      </c>
      <c r="M137" s="53">
        <f>SUMIF('2025 AC'!$B$3:$B$250,"*"&amp;$D137&amp;"*",'2025 AC'!K$3:K$250)</f>
        <v>0</v>
      </c>
      <c r="N137" s="53">
        <f>SUMIF('2025 AC'!$B$3:$B$250,"*"&amp;$D137&amp;"*",'2025 AC'!L$3:L$250)</f>
        <v>383.39999999999998</v>
      </c>
      <c r="O137" s="53">
        <f>SUMIF('2025 AC'!$B$3:$B$250,"*"&amp;$D137&amp;"*",'2025 AC'!M$3:M$250)</f>
        <v>500</v>
      </c>
      <c r="P137" s="53">
        <f>SUMIF('2025 AC'!$B$3:$B$250,"*"&amp;$D137&amp;"*",'2025 AC'!N$3:N$250)</f>
        <v>613</v>
      </c>
      <c r="Q137" s="94">
        <f t="shared" si="327"/>
        <v>1851.3</v>
      </c>
      <c r="R137" s="93">
        <f t="shared" si="319"/>
        <v>354.89999999999998</v>
      </c>
      <c r="S137" s="93">
        <f t="shared" si="320"/>
        <v>0</v>
      </c>
      <c r="T137" s="93">
        <f t="shared" si="321"/>
        <v>0</v>
      </c>
      <c r="U137" s="93">
        <f t="shared" si="322"/>
        <v>1496.4000000000001</v>
      </c>
      <c r="V137" s="92">
        <f t="shared" si="323"/>
        <v>1851.3000000000002</v>
      </c>
    </row>
    <row r="138" outlineLevel="1">
      <c r="A138" t="s">
        <v>306</v>
      </c>
      <c r="B138" t="s">
        <v>307</v>
      </c>
      <c r="C138" s="34" t="s">
        <v>308</v>
      </c>
      <c r="D138" s="35" t="s">
        <v>307</v>
      </c>
      <c r="E138" s="63">
        <f>SUMIF('2025 AC'!$B$3:$B$250,"*"&amp;$D138&amp;"*",'2025 AC'!C$3:C$250)</f>
        <v>0</v>
      </c>
      <c r="F138" s="53">
        <f>SUMIF('2025 AC'!$B$3:$B$250,"*"&amp;$D138&amp;"*",'2025 AC'!D$3:D$250)</f>
        <v>0</v>
      </c>
      <c r="G138" s="53">
        <f>SUMIF('2025 AC'!$B$3:$B$250,"*"&amp;$D138&amp;"*",'2025 AC'!E$3:E$250)</f>
        <v>0</v>
      </c>
      <c r="H138" s="53">
        <f>SUMIF('2025 AC'!$B$3:$B$250,"*"&amp;$D138&amp;"*",'2025 AC'!F$3:F$250)</f>
        <v>0</v>
      </c>
      <c r="I138" s="53">
        <f>SUMIF('2025 AC'!$B$3:$B$250,"*"&amp;$D138&amp;"*",'2025 AC'!G$3:G$250)</f>
        <v>0</v>
      </c>
      <c r="J138" s="53">
        <f>SUMIF('2025 AC'!$B$3:$B$250,"*"&amp;$D138&amp;"*",'2025 AC'!H$3:H$250)</f>
        <v>0</v>
      </c>
      <c r="K138" s="53">
        <f>SUMIF('2025 AC'!$B$3:$B$250,"*"&amp;$D138&amp;"*",'2025 AC'!I$3:I$250)</f>
        <v>0</v>
      </c>
      <c r="L138" s="53">
        <f>SUMIF('2025 AC'!$B$3:$B$250,"*"&amp;$D138&amp;"*",'2025 AC'!J$3:J$250)</f>
        <v>0</v>
      </c>
      <c r="M138" s="53">
        <f>SUMIF('2025 AC'!$B$3:$B$250,"*"&amp;$D138&amp;"*",'2025 AC'!K$3:K$250)</f>
        <v>0</v>
      </c>
      <c r="N138" s="53">
        <f>SUMIF('2025 AC'!$B$3:$B$250,"*"&amp;$D138&amp;"*",'2025 AC'!L$3:L$250)</f>
        <v>0</v>
      </c>
      <c r="O138" s="53">
        <f>SUMIF('2025 AC'!$B$3:$B$250,"*"&amp;$D138&amp;"*",'2025 AC'!M$3:M$250)</f>
        <v>4000</v>
      </c>
      <c r="P138" s="53">
        <f>SUMIF('2025 AC'!$B$3:$B$250,"*"&amp;$D138&amp;"*",'2025 AC'!N$3:N$250)</f>
        <v>0</v>
      </c>
      <c r="Q138" s="94">
        <f t="shared" si="327"/>
        <v>4000</v>
      </c>
      <c r="R138" s="93">
        <f t="shared" ref="R138:R201" si="329">SUM(E138:G138)</f>
        <v>0</v>
      </c>
      <c r="S138" s="93">
        <f t="shared" ref="S138:S201" si="330">SUM(H138:J138)</f>
        <v>0</v>
      </c>
      <c r="T138" s="93">
        <f t="shared" ref="T138:T201" si="331">SUM(K138:M138)</f>
        <v>0</v>
      </c>
      <c r="U138" s="93">
        <f t="shared" ref="U138:U201" si="332">SUM(N138:P138)</f>
        <v>4000</v>
      </c>
      <c r="V138" s="92">
        <f t="shared" ref="V138:V201" si="333">SUM(R138:U138)</f>
        <v>4000</v>
      </c>
    </row>
    <row r="139" outlineLevel="1">
      <c r="A139" t="s">
        <v>309</v>
      </c>
      <c r="B139" t="s">
        <v>310</v>
      </c>
      <c r="C139" s="52" t="s">
        <v>311</v>
      </c>
      <c r="D139" s="35" t="s">
        <v>310</v>
      </c>
      <c r="E139" s="63">
        <f>SUMIF('2025 AC'!$B$3:$B$250,"*"&amp;$D139&amp;"*",'2025 AC'!C$3:C$250)</f>
        <v>7218</v>
      </c>
      <c r="F139" s="53">
        <f>SUMIF('2025 AC'!$B$3:$B$250,"*"&amp;$D139&amp;"*",'2025 AC'!D$3:D$250)</f>
        <v>7203.6000000000004</v>
      </c>
      <c r="G139" s="53">
        <f>SUMIF('2025 AC'!$B$3:$B$250,"*"&amp;$D139&amp;"*",'2025 AC'!E$3:E$250)</f>
        <v>2077.3000000000002</v>
      </c>
      <c r="H139" s="53">
        <f>SUMIF('2025 AC'!$B$3:$B$250,"*"&amp;$D139&amp;"*",'2025 AC'!F$3:F$250)</f>
        <v>1180</v>
      </c>
      <c r="I139" s="53">
        <f>SUMIF('2025 AC'!$B$3:$B$250,"*"&amp;$D139&amp;"*",'2025 AC'!G$3:G$250)</f>
        <v>1893.1199999999999</v>
      </c>
      <c r="J139" s="53">
        <f>SUMIF('2025 AC'!$B$3:$B$250,"*"&amp;$D139&amp;"*",'2025 AC'!H$3:H$250)</f>
        <v>1508</v>
      </c>
      <c r="K139" s="53">
        <f>SUMIF('2025 AC'!$B$3:$B$250,"*"&amp;$D139&amp;"*",'2025 AC'!I$3:I$250)</f>
        <v>459.5</v>
      </c>
      <c r="L139" s="53">
        <f>SUMIF('2025 AC'!$B$3:$B$250,"*"&amp;$D139&amp;"*",'2025 AC'!J$3:J$250)</f>
        <v>2506.1999999999998</v>
      </c>
      <c r="M139" s="53">
        <f>SUMIF('2025 AC'!$B$3:$B$250,"*"&amp;$D139&amp;"*",'2025 AC'!K$3:K$250)</f>
        <v>913</v>
      </c>
      <c r="N139" s="53">
        <f>SUMIF('2025 AC'!$B$3:$B$250,"*"&amp;$D139&amp;"*",'2025 AC'!L$3:L$250)</f>
        <v>913</v>
      </c>
      <c r="O139" s="53">
        <f>SUMIF('2025 AC'!$B$3:$B$250,"*"&amp;$D139&amp;"*",'2025 AC'!M$3:M$250)</f>
        <v>1095.0999999999999</v>
      </c>
      <c r="P139" s="53">
        <f>SUMIF('2025 AC'!$B$3:$B$250,"*"&amp;$D139&amp;"*",'2025 AC'!N$3:N$250)</f>
        <v>1594.4000000000001</v>
      </c>
      <c r="Q139" s="94">
        <f t="shared" si="327"/>
        <v>28561.220000000001</v>
      </c>
      <c r="R139" s="93">
        <f t="shared" si="329"/>
        <v>16498.900000000001</v>
      </c>
      <c r="S139" s="93">
        <f t="shared" si="330"/>
        <v>4581.1199999999999</v>
      </c>
      <c r="T139" s="93">
        <f t="shared" si="331"/>
        <v>3878.6999999999998</v>
      </c>
      <c r="U139" s="93">
        <f t="shared" si="332"/>
        <v>3602.5</v>
      </c>
      <c r="V139" s="92">
        <f t="shared" si="333"/>
        <v>28561.220000000001</v>
      </c>
    </row>
    <row r="140" outlineLevel="1">
      <c r="A140" t="s">
        <v>312</v>
      </c>
      <c r="B140" t="s">
        <v>313</v>
      </c>
      <c r="C140" s="34" t="s">
        <v>314</v>
      </c>
      <c r="D140" s="35" t="s">
        <v>313</v>
      </c>
      <c r="E140" s="63">
        <f>SUMIF('2025 AC'!$B$3:$B$250,"*"&amp;$D140&amp;"*",'2025 AC'!C$3:C$250)</f>
        <v>-544</v>
      </c>
      <c r="F140" s="53">
        <f>SUMIF('2025 AC'!$B$3:$B$250,"*"&amp;$D140&amp;"*",'2025 AC'!D$3:D$250)</f>
        <v>-268</v>
      </c>
      <c r="G140" s="53">
        <f>SUMIF('2025 AC'!$B$3:$B$250,"*"&amp;$D140&amp;"*",'2025 AC'!E$3:E$250)</f>
        <v>-100</v>
      </c>
      <c r="H140" s="53">
        <f>SUMIF('2025 AC'!$B$3:$B$250,"*"&amp;$D140&amp;"*",'2025 AC'!F$3:F$250)</f>
        <v>0</v>
      </c>
      <c r="I140" s="53">
        <f>SUMIF('2025 AC'!$B$3:$B$250,"*"&amp;$D140&amp;"*",'2025 AC'!G$3:G$250)</f>
        <v>0</v>
      </c>
      <c r="J140" s="53">
        <f>SUMIF('2025 AC'!$B$3:$B$250,"*"&amp;$D140&amp;"*",'2025 AC'!H$3:H$250)</f>
        <v>0</v>
      </c>
      <c r="K140" s="53">
        <f>SUMIF('2025 AC'!$B$3:$B$250,"*"&amp;$D140&amp;"*",'2025 AC'!I$3:I$250)</f>
        <v>0</v>
      </c>
      <c r="L140" s="53">
        <f>SUMIF('2025 AC'!$B$3:$B$250,"*"&amp;$D140&amp;"*",'2025 AC'!J$3:J$250)</f>
        <v>0</v>
      </c>
      <c r="M140" s="53">
        <f>SUMIF('2025 AC'!$B$3:$B$250,"*"&amp;$D140&amp;"*",'2025 AC'!K$3:K$250)</f>
        <v>0</v>
      </c>
      <c r="N140" s="53">
        <f>SUMIF('2025 AC'!$B$3:$B$250,"*"&amp;$D140&amp;"*",'2025 AC'!L$3:L$250)</f>
        <v>0</v>
      </c>
      <c r="O140" s="53">
        <f>SUMIF('2025 AC'!$B$3:$B$250,"*"&amp;$D140&amp;"*",'2025 AC'!M$3:M$250)</f>
        <v>0</v>
      </c>
      <c r="P140" s="53">
        <f>SUMIF('2025 AC'!$B$3:$B$250,"*"&amp;$D140&amp;"*",'2025 AC'!N$3:N$250)</f>
        <v>912</v>
      </c>
      <c r="Q140" s="94">
        <f t="shared" si="327"/>
        <v>0</v>
      </c>
      <c r="R140" s="93">
        <f t="shared" si="329"/>
        <v>-912</v>
      </c>
      <c r="S140" s="93">
        <f t="shared" si="330"/>
        <v>0</v>
      </c>
      <c r="T140" s="93">
        <f t="shared" si="331"/>
        <v>0</v>
      </c>
      <c r="U140" s="93">
        <f t="shared" si="332"/>
        <v>912</v>
      </c>
      <c r="V140" s="92">
        <f t="shared" si="333"/>
        <v>0</v>
      </c>
    </row>
    <row r="141" outlineLevel="1">
      <c r="A141" t="s">
        <v>315</v>
      </c>
      <c r="B141" t="s">
        <v>316</v>
      </c>
      <c r="C141" s="52" t="s">
        <v>317</v>
      </c>
      <c r="D141" s="35" t="s">
        <v>316</v>
      </c>
      <c r="E141" s="63">
        <f>SUMIF('2025 AC'!$B$3:$B$250,"*"&amp;$D141&amp;"*",'2025 AC'!C$3:C$250)</f>
        <v>0</v>
      </c>
      <c r="F141" s="53">
        <f>SUMIF('2025 AC'!$B$3:$B$250,"*"&amp;$D141&amp;"*",'2025 AC'!D$3:D$250)</f>
        <v>0</v>
      </c>
      <c r="G141" s="53">
        <f>SUMIF('2025 AC'!$B$3:$B$250,"*"&amp;$D141&amp;"*",'2025 AC'!E$3:E$250)</f>
        <v>0</v>
      </c>
      <c r="H141" s="53">
        <f>SUMIF('2025 AC'!$B$3:$B$250,"*"&amp;$D141&amp;"*",'2025 AC'!F$3:F$250)</f>
        <v>0</v>
      </c>
      <c r="I141" s="53">
        <f>SUMIF('2025 AC'!$B$3:$B$250,"*"&amp;$D141&amp;"*",'2025 AC'!G$3:G$250)</f>
        <v>0</v>
      </c>
      <c r="J141" s="53">
        <f>SUMIF('2025 AC'!$B$3:$B$250,"*"&amp;$D141&amp;"*",'2025 AC'!H$3:H$250)</f>
        <v>0</v>
      </c>
      <c r="K141" s="53">
        <f>SUMIF('2025 AC'!$B$3:$B$250,"*"&amp;$D141&amp;"*",'2025 AC'!I$3:I$250)</f>
        <v>0</v>
      </c>
      <c r="L141" s="53">
        <f>SUMIF('2025 AC'!$B$3:$B$250,"*"&amp;$D141&amp;"*",'2025 AC'!J$3:J$250)</f>
        <v>647.10000000000002</v>
      </c>
      <c r="M141" s="53">
        <f>SUMIF('2025 AC'!$B$3:$B$250,"*"&amp;$D141&amp;"*",'2025 AC'!K$3:K$250)</f>
        <v>0</v>
      </c>
      <c r="N141" s="53">
        <f>SUMIF('2025 AC'!$B$3:$B$250,"*"&amp;$D141&amp;"*",'2025 AC'!L$3:L$250)</f>
        <v>0</v>
      </c>
      <c r="O141" s="53">
        <f>SUMIF('2025 AC'!$B$3:$B$250,"*"&amp;$D141&amp;"*",'2025 AC'!M$3:M$250)</f>
        <v>129.80000000000001</v>
      </c>
      <c r="P141" s="53">
        <f>SUMIF('2025 AC'!$B$3:$B$250,"*"&amp;$D141&amp;"*",'2025 AC'!N$3:N$250)</f>
        <v>565.39999999999998</v>
      </c>
      <c r="Q141" s="94">
        <f t="shared" si="327"/>
        <v>1342.3000000000002</v>
      </c>
      <c r="R141" s="93">
        <f t="shared" si="329"/>
        <v>0</v>
      </c>
      <c r="S141" s="93">
        <f t="shared" si="330"/>
        <v>0</v>
      </c>
      <c r="T141" s="93">
        <f t="shared" si="331"/>
        <v>647.10000000000002</v>
      </c>
      <c r="U141" s="93">
        <f t="shared" si="332"/>
        <v>695.20000000000005</v>
      </c>
      <c r="V141" s="92">
        <f t="shared" si="333"/>
        <v>1342.3000000000002</v>
      </c>
    </row>
    <row r="142" outlineLevel="1">
      <c r="A142" t="s">
        <v>318</v>
      </c>
      <c r="B142" t="s">
        <v>319</v>
      </c>
      <c r="C142" s="34" t="s">
        <v>320</v>
      </c>
      <c r="D142" s="35" t="s">
        <v>319</v>
      </c>
      <c r="E142" s="63">
        <f>SUMIF('2025 AC'!$B$3:$B$250,"*"&amp;$D142&amp;"*",'2025 AC'!C$3:C$250)</f>
        <v>0</v>
      </c>
      <c r="F142" s="53">
        <f>SUMIF('2025 AC'!$B$3:$B$250,"*"&amp;$D142&amp;"*",'2025 AC'!D$3:D$250)</f>
        <v>0</v>
      </c>
      <c r="G142" s="53">
        <f>SUMIF('2025 AC'!$B$3:$B$250,"*"&amp;$D142&amp;"*",'2025 AC'!E$3:E$250)</f>
        <v>0</v>
      </c>
      <c r="H142" s="53">
        <f>SUMIF('2025 AC'!$B$3:$B$250,"*"&amp;$D142&amp;"*",'2025 AC'!F$3:F$250)</f>
        <v>0</v>
      </c>
      <c r="I142" s="53">
        <f>SUMIF('2025 AC'!$B$3:$B$250,"*"&amp;$D142&amp;"*",'2025 AC'!G$3:G$250)</f>
        <v>0</v>
      </c>
      <c r="J142" s="53">
        <f>SUMIF('2025 AC'!$B$3:$B$250,"*"&amp;$D142&amp;"*",'2025 AC'!H$3:H$250)</f>
        <v>0</v>
      </c>
      <c r="K142" s="53">
        <f>SUMIF('2025 AC'!$B$3:$B$250,"*"&amp;$D142&amp;"*",'2025 AC'!I$3:I$250)</f>
        <v>0</v>
      </c>
      <c r="L142" s="53">
        <f>SUMIF('2025 AC'!$B$3:$B$250,"*"&amp;$D142&amp;"*",'2025 AC'!J$3:J$250)</f>
        <v>0</v>
      </c>
      <c r="M142" s="53">
        <f>SUMIF('2025 AC'!$B$3:$B$250,"*"&amp;$D142&amp;"*",'2025 AC'!K$3:K$250)</f>
        <v>0</v>
      </c>
      <c r="N142" s="53">
        <f>SUMIF('2025 AC'!$B$3:$B$250,"*"&amp;$D142&amp;"*",'2025 AC'!L$3:L$250)</f>
        <v>0</v>
      </c>
      <c r="O142" s="53">
        <f>SUMIF('2025 AC'!$B$3:$B$250,"*"&amp;$D142&amp;"*",'2025 AC'!M$3:M$250)</f>
        <v>0</v>
      </c>
      <c r="P142" s="53">
        <f>SUMIF('2025 AC'!$B$3:$B$250,"*"&amp;$D142&amp;"*",'2025 AC'!N$3:N$250)</f>
        <v>0</v>
      </c>
      <c r="Q142" s="94">
        <f t="shared" si="327"/>
        <v>0</v>
      </c>
      <c r="R142" s="93">
        <f t="shared" si="329"/>
        <v>0</v>
      </c>
      <c r="S142" s="93">
        <f t="shared" si="330"/>
        <v>0</v>
      </c>
      <c r="T142" s="93">
        <f t="shared" si="331"/>
        <v>0</v>
      </c>
      <c r="U142" s="93">
        <f t="shared" si="332"/>
        <v>0</v>
      </c>
      <c r="V142" s="92">
        <f t="shared" si="333"/>
        <v>0</v>
      </c>
    </row>
    <row r="143" outlineLevel="1">
      <c r="A143" t="s">
        <v>321</v>
      </c>
      <c r="B143" t="s">
        <v>322</v>
      </c>
      <c r="C143" s="34" t="s">
        <v>323</v>
      </c>
      <c r="D143" s="35" t="s">
        <v>322</v>
      </c>
      <c r="E143" s="63">
        <f>SUMIF('2025 AC'!$B$3:$B$250,"*"&amp;$D143&amp;"*",'2025 AC'!C$3:C$250)</f>
        <v>0</v>
      </c>
      <c r="F143" s="53">
        <f>SUMIF('2025 AC'!$B$3:$B$250,"*"&amp;$D143&amp;"*",'2025 AC'!D$3:D$250)</f>
        <v>-534.25</v>
      </c>
      <c r="G143" s="53">
        <f>SUMIF('2025 AC'!$B$3:$B$250,"*"&amp;$D143&amp;"*",'2025 AC'!E$3:E$250)</f>
        <v>-679.01999999999998</v>
      </c>
      <c r="H143" s="53">
        <f>SUMIF('2025 AC'!$B$3:$B$250,"*"&amp;$D143&amp;"*",'2025 AC'!F$3:F$250)</f>
        <v>0</v>
      </c>
      <c r="I143" s="53">
        <f>SUMIF('2025 AC'!$B$3:$B$250,"*"&amp;$D143&amp;"*",'2025 AC'!G$3:G$250)</f>
        <v>0</v>
      </c>
      <c r="J143" s="53">
        <f>SUMIF('2025 AC'!$B$3:$B$250,"*"&amp;$D143&amp;"*",'2025 AC'!H$3:H$250)</f>
        <v>0</v>
      </c>
      <c r="K143" s="53">
        <f>SUMIF('2025 AC'!$B$3:$B$250,"*"&amp;$D143&amp;"*",'2025 AC'!I$3:I$250)</f>
        <v>0</v>
      </c>
      <c r="L143" s="53">
        <f>SUMIF('2025 AC'!$B$3:$B$250,"*"&amp;$D143&amp;"*",'2025 AC'!J$3:J$250)</f>
        <v>78859.100000000006</v>
      </c>
      <c r="M143" s="53">
        <f>SUMIF('2025 AC'!$B$3:$B$250,"*"&amp;$D143&amp;"*",'2025 AC'!K$3:K$250)</f>
        <v>169.75999999999999</v>
      </c>
      <c r="N143" s="53">
        <f>SUMIF('2025 AC'!$B$3:$B$250,"*"&amp;$D143&amp;"*",'2025 AC'!L$3:L$250)</f>
        <v>-50.439999999999998</v>
      </c>
      <c r="O143" s="53">
        <f>SUMIF('2025 AC'!$B$3:$B$250,"*"&amp;$D143&amp;"*",'2025 AC'!M$3:M$250)</f>
        <v>0</v>
      </c>
      <c r="P143" s="53">
        <f>SUMIF('2025 AC'!$B$3:$B$250,"*"&amp;$D143&amp;"*",'2025 AC'!N$3:N$250)</f>
        <v>1437.5799999999999</v>
      </c>
      <c r="Q143" s="94">
        <f t="shared" si="327"/>
        <v>79202.729999999996</v>
      </c>
      <c r="R143" s="93">
        <f t="shared" si="329"/>
        <v>-1213.27</v>
      </c>
      <c r="S143" s="93">
        <f t="shared" si="330"/>
        <v>0</v>
      </c>
      <c r="T143" s="93">
        <f t="shared" si="331"/>
        <v>79028.860000000001</v>
      </c>
      <c r="U143" s="93">
        <f t="shared" si="332"/>
        <v>1387.1399999999999</v>
      </c>
      <c r="V143" s="92">
        <f t="shared" si="333"/>
        <v>79202.729999999996</v>
      </c>
    </row>
    <row r="144" outlineLevel="1">
      <c r="A144" t="s">
        <v>324</v>
      </c>
      <c r="B144" t="s">
        <v>325</v>
      </c>
      <c r="C144" s="34" t="s">
        <v>326</v>
      </c>
      <c r="D144" s="35" t="s">
        <v>325</v>
      </c>
      <c r="E144" s="63">
        <f>SUMIF('2025 AC'!$B$3:$B$250,"*"&amp;$D144&amp;"*",'2025 AC'!C$3:C$250)</f>
        <v>600</v>
      </c>
      <c r="F144" s="53">
        <f>SUMIF('2025 AC'!$B$3:$B$250,"*"&amp;$D144&amp;"*",'2025 AC'!D$3:D$250)</f>
        <v>600</v>
      </c>
      <c r="G144" s="53">
        <f>SUMIF('2025 AC'!$B$3:$B$250,"*"&amp;$D144&amp;"*",'2025 AC'!E$3:E$250)</f>
        <v>540</v>
      </c>
      <c r="H144" s="53">
        <f>SUMIF('2025 AC'!$B$3:$B$250,"*"&amp;$D144&amp;"*",'2025 AC'!F$3:F$250)</f>
        <v>450</v>
      </c>
      <c r="I144" s="53">
        <f>SUMIF('2025 AC'!$B$3:$B$250,"*"&amp;$D144&amp;"*",'2025 AC'!G$3:G$250)</f>
        <v>720</v>
      </c>
      <c r="J144" s="53">
        <f>SUMIF('2025 AC'!$B$3:$B$250,"*"&amp;$D144&amp;"*",'2025 AC'!H$3:H$250)</f>
        <v>350</v>
      </c>
      <c r="K144" s="53">
        <f>SUMIF('2025 AC'!$B$3:$B$250,"*"&amp;$D144&amp;"*",'2025 AC'!I$3:I$250)</f>
        <v>670</v>
      </c>
      <c r="L144" s="53">
        <f>SUMIF('2025 AC'!$B$3:$B$250,"*"&amp;$D144&amp;"*",'2025 AC'!J$3:J$250)</f>
        <v>510</v>
      </c>
      <c r="M144" s="53">
        <f>SUMIF('2025 AC'!$B$3:$B$250,"*"&amp;$D144&amp;"*",'2025 AC'!K$3:K$250)</f>
        <v>442.39999999999998</v>
      </c>
      <c r="N144" s="53">
        <f>SUMIF('2025 AC'!$B$3:$B$250,"*"&amp;$D144&amp;"*",'2025 AC'!L$3:L$250)</f>
        <v>760</v>
      </c>
      <c r="O144" s="53">
        <f>SUMIF('2025 AC'!$B$3:$B$250,"*"&amp;$D144&amp;"*",'2025 AC'!M$3:M$250)</f>
        <v>510</v>
      </c>
      <c r="P144" s="53">
        <f>SUMIF('2025 AC'!$B$3:$B$250,"*"&amp;$D144&amp;"*",'2025 AC'!N$3:N$250)</f>
        <v>460</v>
      </c>
      <c r="Q144" s="94">
        <f t="shared" si="327"/>
        <v>6612.3999999999996</v>
      </c>
      <c r="R144" s="93">
        <f t="shared" si="329"/>
        <v>1740</v>
      </c>
      <c r="S144" s="93">
        <f t="shared" si="330"/>
        <v>1520</v>
      </c>
      <c r="T144" s="93">
        <f t="shared" si="331"/>
        <v>1622.4000000000001</v>
      </c>
      <c r="U144" s="93">
        <f t="shared" si="332"/>
        <v>1730</v>
      </c>
      <c r="V144" s="92">
        <f t="shared" si="333"/>
        <v>6612.3999999999996</v>
      </c>
    </row>
    <row r="145" outlineLevel="1">
      <c r="A145" t="s">
        <v>327</v>
      </c>
      <c r="B145" t="s">
        <v>328</v>
      </c>
      <c r="C145" s="34" t="s">
        <v>329</v>
      </c>
      <c r="D145" s="35" t="s">
        <v>328</v>
      </c>
      <c r="E145" s="63">
        <f>SUMIF('2025 AC'!$B$3:$B$250,"*"&amp;$D145&amp;"*",'2025 AC'!C$3:C$250)</f>
        <v>-1350</v>
      </c>
      <c r="F145" s="53">
        <f>SUMIF('2025 AC'!$B$3:$B$250,"*"&amp;$D145&amp;"*",'2025 AC'!D$3:D$250)</f>
        <v>-300</v>
      </c>
      <c r="G145" s="53">
        <f>SUMIF('2025 AC'!$B$3:$B$250,"*"&amp;$D145&amp;"*",'2025 AC'!E$3:E$250)</f>
        <v>-750</v>
      </c>
      <c r="H145" s="53">
        <f>SUMIF('2025 AC'!$B$3:$B$250,"*"&amp;$D145&amp;"*",'2025 AC'!F$3:F$250)</f>
        <v>0</v>
      </c>
      <c r="I145" s="53">
        <f>SUMIF('2025 AC'!$B$3:$B$250,"*"&amp;$D145&amp;"*",'2025 AC'!G$3:G$250)</f>
        <v>0</v>
      </c>
      <c r="J145" s="53">
        <f>SUMIF('2025 AC'!$B$3:$B$250,"*"&amp;$D145&amp;"*",'2025 AC'!H$3:H$250)</f>
        <v>0</v>
      </c>
      <c r="K145" s="53">
        <f>SUMIF('2025 AC'!$B$3:$B$250,"*"&amp;$D145&amp;"*",'2025 AC'!I$3:I$250)</f>
        <v>0</v>
      </c>
      <c r="L145" s="53">
        <f>SUMIF('2025 AC'!$B$3:$B$250,"*"&amp;$D145&amp;"*",'2025 AC'!J$3:J$250)</f>
        <v>0</v>
      </c>
      <c r="M145" s="53">
        <f>SUMIF('2025 AC'!$B$3:$B$250,"*"&amp;$D145&amp;"*",'2025 AC'!K$3:K$250)</f>
        <v>0</v>
      </c>
      <c r="N145" s="53">
        <f>SUMIF('2025 AC'!$B$3:$B$250,"*"&amp;$D145&amp;"*",'2025 AC'!L$3:L$250)</f>
        <v>0</v>
      </c>
      <c r="O145" s="53">
        <f>SUMIF('2025 AC'!$B$3:$B$250,"*"&amp;$D145&amp;"*",'2025 AC'!M$3:M$250)</f>
        <v>0</v>
      </c>
      <c r="P145" s="53">
        <f>SUMIF('2025 AC'!$B$3:$B$250,"*"&amp;$D145&amp;"*",'2025 AC'!N$3:N$250)</f>
        <v>2400</v>
      </c>
      <c r="Q145" s="94">
        <f t="shared" si="327"/>
        <v>0</v>
      </c>
      <c r="R145" s="93">
        <f t="shared" si="329"/>
        <v>-2400</v>
      </c>
      <c r="S145" s="93">
        <f t="shared" si="330"/>
        <v>0</v>
      </c>
      <c r="T145" s="93">
        <f t="shared" si="331"/>
        <v>0</v>
      </c>
      <c r="U145" s="93">
        <f t="shared" si="332"/>
        <v>2400</v>
      </c>
      <c r="V145" s="92">
        <f t="shared" si="333"/>
        <v>0</v>
      </c>
    </row>
    <row r="146" outlineLevel="1">
      <c r="A146" t="s">
        <v>330</v>
      </c>
      <c r="B146" t="s">
        <v>331</v>
      </c>
      <c r="C146" s="34" t="s">
        <v>332</v>
      </c>
      <c r="D146" s="35" t="s">
        <v>331</v>
      </c>
      <c r="E146" s="63">
        <f>SUMIF('2025 AC'!$B$3:$B$250,"*"&amp;$D146&amp;"*",'2025 AC'!C$3:C$250)</f>
        <v>0</v>
      </c>
      <c r="F146" s="53">
        <f>SUMIF('2025 AC'!$B$3:$B$250,"*"&amp;$D146&amp;"*",'2025 AC'!D$3:D$250)</f>
        <v>0</v>
      </c>
      <c r="G146" s="53">
        <f>SUMIF('2025 AC'!$B$3:$B$250,"*"&amp;$D146&amp;"*",'2025 AC'!E$3:E$250)</f>
        <v>128</v>
      </c>
      <c r="H146" s="53">
        <f>SUMIF('2025 AC'!$B$3:$B$250,"*"&amp;$D146&amp;"*",'2025 AC'!F$3:F$250)</f>
        <v>0</v>
      </c>
      <c r="I146" s="53">
        <f>SUMIF('2025 AC'!$B$3:$B$250,"*"&amp;$D146&amp;"*",'2025 AC'!G$3:G$250)</f>
        <v>0</v>
      </c>
      <c r="J146" s="53">
        <f>SUMIF('2025 AC'!$B$3:$B$250,"*"&amp;$D146&amp;"*",'2025 AC'!H$3:H$250)</f>
        <v>0</v>
      </c>
      <c r="K146" s="53">
        <f>SUMIF('2025 AC'!$B$3:$B$250,"*"&amp;$D146&amp;"*",'2025 AC'!I$3:I$250)</f>
        <v>0</v>
      </c>
      <c r="L146" s="53">
        <f>SUMIF('2025 AC'!$B$3:$B$250,"*"&amp;$D146&amp;"*",'2025 AC'!J$3:J$250)</f>
        <v>0</v>
      </c>
      <c r="M146" s="53">
        <f>SUMIF('2025 AC'!$B$3:$B$250,"*"&amp;$D146&amp;"*",'2025 AC'!K$3:K$250)</f>
        <v>0</v>
      </c>
      <c r="N146" s="53">
        <f>SUMIF('2025 AC'!$B$3:$B$250,"*"&amp;$D146&amp;"*",'2025 AC'!L$3:L$250)</f>
        <v>0</v>
      </c>
      <c r="O146" s="53">
        <f>SUMIF('2025 AC'!$B$3:$B$250,"*"&amp;$D146&amp;"*",'2025 AC'!M$3:M$250)</f>
        <v>0</v>
      </c>
      <c r="P146" s="53">
        <f>SUMIF('2025 AC'!$B$3:$B$250,"*"&amp;$D146&amp;"*",'2025 AC'!N$3:N$250)</f>
        <v>0</v>
      </c>
      <c r="Q146" s="94">
        <f t="shared" si="327"/>
        <v>128</v>
      </c>
      <c r="R146" s="93">
        <f t="shared" si="329"/>
        <v>128</v>
      </c>
      <c r="S146" s="93">
        <f t="shared" si="330"/>
        <v>0</v>
      </c>
      <c r="T146" s="93">
        <f t="shared" si="331"/>
        <v>0</v>
      </c>
      <c r="U146" s="93">
        <f t="shared" si="332"/>
        <v>0</v>
      </c>
      <c r="V146" s="92">
        <f t="shared" si="333"/>
        <v>128</v>
      </c>
    </row>
    <row r="147" outlineLevel="1">
      <c r="A147" t="s">
        <v>333</v>
      </c>
      <c r="B147" t="s">
        <v>334</v>
      </c>
      <c r="C147" s="52" t="s">
        <v>335</v>
      </c>
      <c r="D147" s="35" t="s">
        <v>334</v>
      </c>
      <c r="E147" s="168">
        <f>SUMIF('2025 AC'!$B$3:$B$250,"*"&amp;$D147&amp;"*",'2025 AC'!C$3:C$250)</f>
        <v>0</v>
      </c>
      <c r="F147" s="169">
        <f>SUMIF('2025 AC'!$B$3:$B$250,"*"&amp;$D147&amp;"*",'2025 AC'!D$3:D$250)</f>
        <v>0</v>
      </c>
      <c r="G147" s="169">
        <f>SUMIF('2025 AC'!$B$3:$B$250,"*"&amp;$D147&amp;"*",'2025 AC'!E$3:E$250)</f>
        <v>0</v>
      </c>
      <c r="H147" s="169">
        <f>SUMIF('2025 AC'!$B$3:$B$250,"*"&amp;$D147&amp;"*",'2025 AC'!F$3:F$250)</f>
        <v>0</v>
      </c>
      <c r="I147" s="169">
        <f>SUMIF('2025 AC'!$B$3:$B$250,"*"&amp;$D147&amp;"*",'2025 AC'!G$3:G$250)</f>
        <v>0</v>
      </c>
      <c r="J147" s="169">
        <f>SUMIF('2025 AC'!$B$3:$B$250,"*"&amp;$D147&amp;"*",'2025 AC'!H$3:H$250)</f>
        <v>0</v>
      </c>
      <c r="K147" s="169">
        <f>SUMIF('2025 AC'!$B$3:$B$250,"*"&amp;$D147&amp;"*",'2025 AC'!I$3:I$250)</f>
        <v>0</v>
      </c>
      <c r="L147" s="169">
        <f>SUMIF('2025 AC'!$B$3:$B$250,"*"&amp;$D147&amp;"*",'2025 AC'!J$3:J$250)</f>
        <v>915</v>
      </c>
      <c r="M147" s="169">
        <f>SUMIF('2025 AC'!$B$3:$B$250,"*"&amp;$D147&amp;"*",'2025 AC'!K$3:K$250)</f>
        <v>0</v>
      </c>
      <c r="N147" s="169">
        <f>SUMIF('2025 AC'!$B$3:$B$250,"*"&amp;$D147&amp;"*",'2025 AC'!L$3:L$250)</f>
        <v>0</v>
      </c>
      <c r="O147" s="169">
        <f>SUMIF('2025 AC'!$B$3:$B$250,"*"&amp;$D147&amp;"*",'2025 AC'!M$3:M$250)</f>
        <v>0</v>
      </c>
      <c r="P147" s="169">
        <f>SUMIF('2025 AC'!$B$3:$B$250,"*"&amp;$D147&amp;"*",'2025 AC'!N$3:N$250)</f>
        <v>3148</v>
      </c>
      <c r="Q147" s="172">
        <f t="shared" si="327"/>
        <v>4063</v>
      </c>
      <c r="R147" s="170">
        <f t="shared" si="329"/>
        <v>0</v>
      </c>
      <c r="S147" s="170">
        <f t="shared" si="330"/>
        <v>0</v>
      </c>
      <c r="T147" s="170">
        <f t="shared" si="331"/>
        <v>915</v>
      </c>
      <c r="U147" s="170">
        <f t="shared" si="332"/>
        <v>3148</v>
      </c>
      <c r="V147" s="171">
        <f t="shared" si="333"/>
        <v>4063</v>
      </c>
    </row>
    <row r="148" outlineLevel="1">
      <c r="A148" t="s">
        <v>336</v>
      </c>
      <c r="B148" t="s">
        <v>337</v>
      </c>
      <c r="C148" s="34" t="s">
        <v>338</v>
      </c>
      <c r="D148" s="35" t="s">
        <v>337</v>
      </c>
      <c r="E148" s="63">
        <f>SUMIF('2025 AC'!$B$3:$B$250,"*"&amp;$D148&amp;"*",'2025 AC'!C$3:C$250)</f>
        <v>0</v>
      </c>
      <c r="F148" s="53">
        <f>SUMIF('2025 AC'!$B$3:$B$250,"*"&amp;$D148&amp;"*",'2025 AC'!D$3:D$250)</f>
        <v>0</v>
      </c>
      <c r="G148" s="53">
        <f>SUMIF('2025 AC'!$B$3:$B$250,"*"&amp;$D148&amp;"*",'2025 AC'!E$3:E$250)</f>
        <v>9613.7000000000007</v>
      </c>
      <c r="H148" s="53">
        <f>SUMIF('2025 AC'!$B$3:$B$250,"*"&amp;$D148&amp;"*",'2025 AC'!F$3:F$250)</f>
        <v>0</v>
      </c>
      <c r="I148" s="53">
        <f>SUMIF('2025 AC'!$B$3:$B$250,"*"&amp;$D148&amp;"*",'2025 AC'!G$3:G$250)</f>
        <v>0</v>
      </c>
      <c r="J148" s="53">
        <f>SUMIF('2025 AC'!$B$3:$B$250,"*"&amp;$D148&amp;"*",'2025 AC'!H$3:H$250)</f>
        <v>0</v>
      </c>
      <c r="K148" s="53">
        <f>SUMIF('2025 AC'!$B$3:$B$250,"*"&amp;$D148&amp;"*",'2025 AC'!I$3:I$250)</f>
        <v>22</v>
      </c>
      <c r="L148" s="53">
        <f>SUMIF('2025 AC'!$B$3:$B$250,"*"&amp;$D148&amp;"*",'2025 AC'!J$3:J$250)</f>
        <v>0</v>
      </c>
      <c r="M148" s="53">
        <f>SUMIF('2025 AC'!$B$3:$B$250,"*"&amp;$D148&amp;"*",'2025 AC'!K$3:K$250)</f>
        <v>3032.6999999999998</v>
      </c>
      <c r="N148" s="53">
        <f>SUMIF('2025 AC'!$B$3:$B$250,"*"&amp;$D148&amp;"*",'2025 AC'!L$3:L$250)</f>
        <v>0</v>
      </c>
      <c r="O148" s="53">
        <f>SUMIF('2025 AC'!$B$3:$B$250,"*"&amp;$D148&amp;"*",'2025 AC'!M$3:M$250)</f>
        <v>20.199999999999999</v>
      </c>
      <c r="P148" s="53">
        <f>SUMIF('2025 AC'!$B$3:$B$250,"*"&amp;$D148&amp;"*",'2025 AC'!N$3:N$250)</f>
        <v>-5400</v>
      </c>
      <c r="Q148" s="94">
        <f t="shared" si="327"/>
        <v>7288.6000000000022</v>
      </c>
      <c r="R148" s="93">
        <f t="shared" si="329"/>
        <v>9613.7000000000007</v>
      </c>
      <c r="S148" s="93">
        <f t="shared" si="330"/>
        <v>0</v>
      </c>
      <c r="T148" s="93">
        <f t="shared" si="331"/>
        <v>3054.6999999999998</v>
      </c>
      <c r="U148" s="93">
        <f t="shared" si="332"/>
        <v>-5379.8000000000002</v>
      </c>
      <c r="V148" s="92">
        <f t="shared" si="333"/>
        <v>7288.6000000000013</v>
      </c>
    </row>
    <row r="149" outlineLevel="1">
      <c r="A149" t="s">
        <v>339</v>
      </c>
      <c r="B149" t="s">
        <v>340</v>
      </c>
      <c r="C149" s="52" t="s">
        <v>341</v>
      </c>
      <c r="D149" s="35" t="s">
        <v>340</v>
      </c>
      <c r="E149" s="63">
        <f>SUMIF('2025 AC'!$B$3:$B$250,"*"&amp;$D149&amp;"*",'2025 AC'!C$3:C$250)</f>
        <v>0</v>
      </c>
      <c r="F149" s="53">
        <f>SUMIF('2025 AC'!$B$3:$B$250,"*"&amp;$D149&amp;"*",'2025 AC'!D$3:D$250)</f>
        <v>0</v>
      </c>
      <c r="G149" s="53">
        <f>SUMIF('2025 AC'!$B$3:$B$250,"*"&amp;$D149&amp;"*",'2025 AC'!E$3:E$250)</f>
        <v>0</v>
      </c>
      <c r="H149" s="53">
        <f>SUMIF('2025 AC'!$B$3:$B$250,"*"&amp;$D149&amp;"*",'2025 AC'!F$3:F$250)</f>
        <v>0</v>
      </c>
      <c r="I149" s="53">
        <f>SUMIF('2025 AC'!$B$3:$B$250,"*"&amp;$D149&amp;"*",'2025 AC'!G$3:G$250)</f>
        <v>0</v>
      </c>
      <c r="J149" s="53">
        <f>SUMIF('2025 AC'!$B$3:$B$250,"*"&amp;$D149&amp;"*",'2025 AC'!H$3:H$250)</f>
        <v>0</v>
      </c>
      <c r="K149" s="53">
        <f>SUMIF('2025 AC'!$B$3:$B$250,"*"&amp;$D149&amp;"*",'2025 AC'!I$3:I$250)</f>
        <v>0</v>
      </c>
      <c r="L149" s="53">
        <f>SUMIF('2025 AC'!$B$3:$B$250,"*"&amp;$D149&amp;"*",'2025 AC'!J$3:J$250)</f>
        <v>0</v>
      </c>
      <c r="M149" s="53">
        <f>SUMIF('2025 AC'!$B$3:$B$250,"*"&amp;$D149&amp;"*",'2025 AC'!K$3:K$250)</f>
        <v>0</v>
      </c>
      <c r="N149" s="53">
        <f>SUMIF('2025 AC'!$B$3:$B$250,"*"&amp;$D149&amp;"*",'2025 AC'!L$3:L$250)</f>
        <v>0</v>
      </c>
      <c r="O149" s="53">
        <f>SUMIF('2025 AC'!$B$3:$B$250,"*"&amp;$D149&amp;"*",'2025 AC'!M$3:M$250)</f>
        <v>0</v>
      </c>
      <c r="P149" s="53">
        <f>SUMIF('2025 AC'!$B$3:$B$250,"*"&amp;$D149&amp;"*",'2025 AC'!N$3:N$250)</f>
        <v>0</v>
      </c>
      <c r="Q149" s="94">
        <f t="shared" si="327"/>
        <v>0</v>
      </c>
      <c r="R149" s="93">
        <f t="shared" si="329"/>
        <v>0</v>
      </c>
      <c r="S149" s="93">
        <f t="shared" si="330"/>
        <v>0</v>
      </c>
      <c r="T149" s="93">
        <f t="shared" si="331"/>
        <v>0</v>
      </c>
      <c r="U149" s="93">
        <f t="shared" si="332"/>
        <v>0</v>
      </c>
      <c r="V149" s="92">
        <f t="shared" si="333"/>
        <v>0</v>
      </c>
    </row>
    <row r="150" outlineLevel="1">
      <c r="A150" t="s">
        <v>342</v>
      </c>
      <c r="B150" t="s">
        <v>343</v>
      </c>
      <c r="C150" s="52" t="s">
        <v>344</v>
      </c>
      <c r="D150" s="35" t="s">
        <v>343</v>
      </c>
      <c r="E150" s="63">
        <f>SUMIF('2025 AC'!$B$3:$B$250,"*"&amp;$D150&amp;"*",'2025 AC'!C$3:C$250)</f>
        <v>0</v>
      </c>
      <c r="F150" s="53">
        <f>SUMIF('2025 AC'!$B$3:$B$250,"*"&amp;$D150&amp;"*",'2025 AC'!D$3:D$250)</f>
        <v>0</v>
      </c>
      <c r="G150" s="53">
        <f>SUMIF('2025 AC'!$B$3:$B$250,"*"&amp;$D150&amp;"*",'2025 AC'!E$3:E$250)</f>
        <v>0</v>
      </c>
      <c r="H150" s="53">
        <f>SUMIF('2025 AC'!$B$3:$B$250,"*"&amp;$D150&amp;"*",'2025 AC'!F$3:F$250)</f>
        <v>0</v>
      </c>
      <c r="I150" s="53">
        <f>SUMIF('2025 AC'!$B$3:$B$250,"*"&amp;$D150&amp;"*",'2025 AC'!G$3:G$250)</f>
        <v>0</v>
      </c>
      <c r="J150" s="53">
        <f>SUMIF('2025 AC'!$B$3:$B$250,"*"&amp;$D150&amp;"*",'2025 AC'!H$3:H$250)</f>
        <v>0</v>
      </c>
      <c r="K150" s="53">
        <f>SUMIF('2025 AC'!$B$3:$B$250,"*"&amp;$D150&amp;"*",'2025 AC'!I$3:I$250)</f>
        <v>0</v>
      </c>
      <c r="L150" s="53">
        <f>SUMIF('2025 AC'!$B$3:$B$250,"*"&amp;$D150&amp;"*",'2025 AC'!J$3:J$250)</f>
        <v>230</v>
      </c>
      <c r="M150" s="53">
        <f>SUMIF('2025 AC'!$B$3:$B$250,"*"&amp;$D150&amp;"*",'2025 AC'!K$3:K$250)</f>
        <v>144.63</v>
      </c>
      <c r="N150" s="53">
        <f>SUMIF('2025 AC'!$B$3:$B$250,"*"&amp;$D150&amp;"*",'2025 AC'!L$3:L$250)</f>
        <v>0</v>
      </c>
      <c r="O150" s="53">
        <f>SUMIF('2025 AC'!$B$3:$B$250,"*"&amp;$D150&amp;"*",'2025 AC'!M$3:M$250)</f>
        <v>0</v>
      </c>
      <c r="P150" s="53">
        <f>SUMIF('2025 AC'!$B$3:$B$250,"*"&amp;$D150&amp;"*",'2025 AC'!N$3:N$250)</f>
        <v>0</v>
      </c>
      <c r="Q150" s="94">
        <f t="shared" si="327"/>
        <v>374.63</v>
      </c>
      <c r="R150" s="93">
        <f t="shared" si="329"/>
        <v>0</v>
      </c>
      <c r="S150" s="93">
        <f t="shared" si="330"/>
        <v>0</v>
      </c>
      <c r="T150" s="93">
        <f t="shared" si="331"/>
        <v>374.63</v>
      </c>
      <c r="U150" s="93">
        <f t="shared" si="332"/>
        <v>0</v>
      </c>
      <c r="V150" s="92">
        <f t="shared" si="333"/>
        <v>374.63</v>
      </c>
    </row>
    <row r="151" outlineLevel="1">
      <c r="A151" t="s">
        <v>345</v>
      </c>
      <c r="B151" t="s">
        <v>346</v>
      </c>
      <c r="C151" s="34" t="s">
        <v>347</v>
      </c>
      <c r="D151" s="35" t="s">
        <v>346</v>
      </c>
      <c r="E151" s="63">
        <f>SUMIF('2025 AC'!$B$3:$B$250,"*"&amp;$D151&amp;"*",'2025 AC'!C$3:C$250)</f>
        <v>0</v>
      </c>
      <c r="F151" s="53">
        <f>SUMIF('2025 AC'!$B$3:$B$250,"*"&amp;$D151&amp;"*",'2025 AC'!D$3:D$250)</f>
        <v>0</v>
      </c>
      <c r="G151" s="53">
        <f>SUMIF('2025 AC'!$B$3:$B$250,"*"&amp;$D151&amp;"*",'2025 AC'!E$3:E$250)</f>
        <v>0</v>
      </c>
      <c r="H151" s="53">
        <f>SUMIF('2025 AC'!$B$3:$B$250,"*"&amp;$D151&amp;"*",'2025 AC'!F$3:F$250)</f>
        <v>0</v>
      </c>
      <c r="I151" s="53">
        <f>SUMIF('2025 AC'!$B$3:$B$250,"*"&amp;$D151&amp;"*",'2025 AC'!G$3:G$250)</f>
        <v>0</v>
      </c>
      <c r="J151" s="53">
        <f>SUMIF('2025 AC'!$B$3:$B$250,"*"&amp;$D151&amp;"*",'2025 AC'!H$3:H$250)</f>
        <v>0</v>
      </c>
      <c r="K151" s="53">
        <f>SUMIF('2025 AC'!$B$3:$B$250,"*"&amp;$D151&amp;"*",'2025 AC'!I$3:I$250)</f>
        <v>0</v>
      </c>
      <c r="L151" s="53">
        <f>SUMIF('2025 AC'!$B$3:$B$250,"*"&amp;$D151&amp;"*",'2025 AC'!J$3:J$250)</f>
        <v>0</v>
      </c>
      <c r="M151" s="53">
        <f>SUMIF('2025 AC'!$B$3:$B$250,"*"&amp;$D151&amp;"*",'2025 AC'!K$3:K$250)</f>
        <v>0</v>
      </c>
      <c r="N151" s="53">
        <f>SUMIF('2025 AC'!$B$3:$B$250,"*"&amp;$D151&amp;"*",'2025 AC'!L$3:L$250)</f>
        <v>1976.3699999999999</v>
      </c>
      <c r="O151" s="53">
        <f>SUMIF('2025 AC'!$B$3:$B$250,"*"&amp;$D151&amp;"*",'2025 AC'!M$3:M$250)</f>
        <v>0</v>
      </c>
      <c r="P151" s="53">
        <f>SUMIF('2025 AC'!$B$3:$B$250,"*"&amp;$D151&amp;"*",'2025 AC'!N$3:N$250)</f>
        <v>0</v>
      </c>
      <c r="Q151" s="94">
        <f t="shared" si="327"/>
        <v>1976.3699999999999</v>
      </c>
      <c r="R151" s="93">
        <f t="shared" si="329"/>
        <v>0</v>
      </c>
      <c r="S151" s="93">
        <f t="shared" si="330"/>
        <v>0</v>
      </c>
      <c r="T151" s="93">
        <f t="shared" si="331"/>
        <v>0</v>
      </c>
      <c r="U151" s="93">
        <f t="shared" si="332"/>
        <v>1976.3699999999999</v>
      </c>
      <c r="V151" s="92">
        <f t="shared" si="333"/>
        <v>1976.3699999999999</v>
      </c>
    </row>
    <row r="152" outlineLevel="1">
      <c r="A152" t="s">
        <v>348</v>
      </c>
      <c r="B152" t="s">
        <v>349</v>
      </c>
      <c r="C152" s="34" t="s">
        <v>350</v>
      </c>
      <c r="D152" s="35" t="s">
        <v>349</v>
      </c>
      <c r="E152" s="63">
        <f>SUMIF('2025 AC'!$B$3:$B$250,"*"&amp;$D152&amp;"*",'2025 AC'!C$3:C$250)</f>
        <v>3225.7399999999998</v>
      </c>
      <c r="F152" s="53">
        <f>SUMIF('2025 AC'!$B$3:$B$250,"*"&amp;$D152&amp;"*",'2025 AC'!D$3:D$250)</f>
        <v>2624.79</v>
      </c>
      <c r="G152" s="53">
        <f>SUMIF('2025 AC'!$B$3:$B$250,"*"&amp;$D152&amp;"*",'2025 AC'!E$3:E$250)</f>
        <v>3409.9400000000001</v>
      </c>
      <c r="H152" s="53">
        <f>SUMIF('2025 AC'!$B$3:$B$250,"*"&amp;$D152&amp;"*",'2025 AC'!F$3:F$250)</f>
        <v>2753.1900000000001</v>
      </c>
      <c r="I152" s="53">
        <f>SUMIF('2025 AC'!$B$3:$B$250,"*"&amp;$D152&amp;"*",'2025 AC'!G$3:G$250)</f>
        <v>3004.46</v>
      </c>
      <c r="J152" s="53">
        <f>SUMIF('2025 AC'!$B$3:$B$250,"*"&amp;$D152&amp;"*",'2025 AC'!H$3:H$250)</f>
        <v>2785.5300000000002</v>
      </c>
      <c r="K152" s="53">
        <f>SUMIF('2025 AC'!$B$3:$B$250,"*"&amp;$D152&amp;"*",'2025 AC'!I$3:I$250)</f>
        <v>0</v>
      </c>
      <c r="L152" s="53">
        <f>SUMIF('2025 AC'!$B$3:$B$250,"*"&amp;$D152&amp;"*",'2025 AC'!J$3:J$250)</f>
        <v>3014.4000000000001</v>
      </c>
      <c r="M152" s="53">
        <f>SUMIF('2025 AC'!$B$3:$B$250,"*"&amp;$D152&amp;"*",'2025 AC'!K$3:K$250)</f>
        <v>2979.77</v>
      </c>
      <c r="N152" s="53">
        <f>SUMIF('2025 AC'!$B$3:$B$250,"*"&amp;$D152&amp;"*",'2025 AC'!L$3:L$250)</f>
        <v>2877.0599999999999</v>
      </c>
      <c r="O152" s="53">
        <f>SUMIF('2025 AC'!$B$3:$B$250,"*"&amp;$D152&amp;"*",'2025 AC'!M$3:M$250)</f>
        <v>3017.25</v>
      </c>
      <c r="P152" s="53">
        <f>SUMIF('2025 AC'!$B$3:$B$250,"*"&amp;$D152&amp;"*",'2025 AC'!N$3:N$250)</f>
        <v>6486.4899999999998</v>
      </c>
      <c r="Q152" s="94">
        <f t="shared" si="327"/>
        <v>36178.620000000003</v>
      </c>
      <c r="R152" s="93">
        <f t="shared" si="329"/>
        <v>9260.4699999999993</v>
      </c>
      <c r="S152" s="93">
        <f t="shared" si="330"/>
        <v>8543.1800000000003</v>
      </c>
      <c r="T152" s="93">
        <f t="shared" si="331"/>
        <v>5994.1700000000001</v>
      </c>
      <c r="U152" s="93">
        <f t="shared" si="332"/>
        <v>12380.799999999999</v>
      </c>
      <c r="V152" s="92">
        <f t="shared" si="333"/>
        <v>36178.619999999995</v>
      </c>
    </row>
    <row r="153" outlineLevel="1">
      <c r="A153" t="s">
        <v>351</v>
      </c>
      <c r="B153" t="s">
        <v>352</v>
      </c>
      <c r="C153" s="34" t="s">
        <v>353</v>
      </c>
      <c r="D153" s="35" t="s">
        <v>352</v>
      </c>
      <c r="E153" s="63">
        <f>SUMIF('2025 AC'!$B$3:$B$250,"*"&amp;$D153&amp;"*",'2025 AC'!C$3:C$250)</f>
        <v>154</v>
      </c>
      <c r="F153" s="53">
        <f>SUMIF('2025 AC'!$B$3:$B$250,"*"&amp;$D153&amp;"*",'2025 AC'!D$3:D$250)</f>
        <v>170</v>
      </c>
      <c r="G153" s="53">
        <f>SUMIF('2025 AC'!$B$3:$B$250,"*"&amp;$D153&amp;"*",'2025 AC'!E$3:E$250)</f>
        <v>2142</v>
      </c>
      <c r="H153" s="53">
        <f>SUMIF('2025 AC'!$B$3:$B$250,"*"&amp;$D153&amp;"*",'2025 AC'!F$3:F$250)</f>
        <v>0</v>
      </c>
      <c r="I153" s="53">
        <f>SUMIF('2025 AC'!$B$3:$B$250,"*"&amp;$D153&amp;"*",'2025 AC'!G$3:G$250)</f>
        <v>0</v>
      </c>
      <c r="J153" s="53">
        <f>SUMIF('2025 AC'!$B$3:$B$250,"*"&amp;$D153&amp;"*",'2025 AC'!H$3:H$250)</f>
        <v>7080</v>
      </c>
      <c r="K153" s="53">
        <f>SUMIF('2025 AC'!$B$3:$B$250,"*"&amp;$D153&amp;"*",'2025 AC'!I$3:I$250)</f>
        <v>-178</v>
      </c>
      <c r="L153" s="53">
        <f>SUMIF('2025 AC'!$B$3:$B$250,"*"&amp;$D153&amp;"*",'2025 AC'!J$3:J$250)</f>
        <v>184</v>
      </c>
      <c r="M153" s="53">
        <f>SUMIF('2025 AC'!$B$3:$B$250,"*"&amp;$D153&amp;"*",'2025 AC'!K$3:K$250)</f>
        <v>171</v>
      </c>
      <c r="N153" s="53">
        <f>SUMIF('2025 AC'!$B$3:$B$250,"*"&amp;$D153&amp;"*",'2025 AC'!L$3:L$250)</f>
        <v>283</v>
      </c>
      <c r="O153" s="53">
        <f>SUMIF('2025 AC'!$B$3:$B$250,"*"&amp;$D153&amp;"*",'2025 AC'!M$3:M$250)</f>
        <v>213</v>
      </c>
      <c r="P153" s="53">
        <f>SUMIF('2025 AC'!$B$3:$B$250,"*"&amp;$D153&amp;"*",'2025 AC'!N$3:N$250)</f>
        <v>369</v>
      </c>
      <c r="Q153" s="94">
        <f t="shared" si="327"/>
        <v>10588</v>
      </c>
      <c r="R153" s="93">
        <f t="shared" si="329"/>
        <v>2466</v>
      </c>
      <c r="S153" s="93">
        <f t="shared" si="330"/>
        <v>7080</v>
      </c>
      <c r="T153" s="93">
        <f t="shared" si="331"/>
        <v>177</v>
      </c>
      <c r="U153" s="93">
        <f t="shared" si="332"/>
        <v>865</v>
      </c>
      <c r="V153" s="92">
        <f t="shared" si="333"/>
        <v>10588</v>
      </c>
    </row>
    <row r="154" outlineLevel="1">
      <c r="A154" t="s">
        <v>354</v>
      </c>
      <c r="B154" t="s">
        <v>355</v>
      </c>
      <c r="C154" s="34" t="s">
        <v>356</v>
      </c>
      <c r="D154" s="35" t="s">
        <v>355</v>
      </c>
      <c r="E154" s="63">
        <f>SUMIF('2025 AC'!$B$3:$B$250,"*"&amp;$D154&amp;"*",'2025 AC'!C$3:C$250)</f>
        <v>1900</v>
      </c>
      <c r="F154" s="53">
        <f>SUMIF('2025 AC'!$B$3:$B$250,"*"&amp;$D154&amp;"*",'2025 AC'!D$3:D$250)</f>
        <v>1900</v>
      </c>
      <c r="G154" s="53">
        <f>SUMIF('2025 AC'!$B$3:$B$250,"*"&amp;$D154&amp;"*",'2025 AC'!E$3:E$250)</f>
        <v>1900</v>
      </c>
      <c r="H154" s="53">
        <f>SUMIF('2025 AC'!$B$3:$B$250,"*"&amp;$D154&amp;"*",'2025 AC'!F$3:F$250)</f>
        <v>1900</v>
      </c>
      <c r="I154" s="53">
        <f>SUMIF('2025 AC'!$B$3:$B$250,"*"&amp;$D154&amp;"*",'2025 AC'!G$3:G$250)</f>
        <v>1900</v>
      </c>
      <c r="J154" s="53">
        <f>SUMIF('2025 AC'!$B$3:$B$250,"*"&amp;$D154&amp;"*",'2025 AC'!H$3:H$250)</f>
        <v>1900</v>
      </c>
      <c r="K154" s="53">
        <f>SUMIF('2025 AC'!$B$3:$B$250,"*"&amp;$D154&amp;"*",'2025 AC'!I$3:I$250)</f>
        <v>1900</v>
      </c>
      <c r="L154" s="53">
        <f>SUMIF('2025 AC'!$B$3:$B$250,"*"&amp;$D154&amp;"*",'2025 AC'!J$3:J$250)</f>
        <v>1900</v>
      </c>
      <c r="M154" s="53">
        <f>SUMIF('2025 AC'!$B$3:$B$250,"*"&amp;$D154&amp;"*",'2025 AC'!K$3:K$250)</f>
        <v>1900</v>
      </c>
      <c r="N154" s="53">
        <f>SUMIF('2025 AC'!$B$3:$B$250,"*"&amp;$D154&amp;"*",'2025 AC'!L$3:L$250)</f>
        <v>1900</v>
      </c>
      <c r="O154" s="53">
        <f>SUMIF('2025 AC'!$B$3:$B$250,"*"&amp;$D154&amp;"*",'2025 AC'!M$3:M$250)</f>
        <v>1900</v>
      </c>
      <c r="P154" s="53">
        <f>SUMIF('2025 AC'!$B$3:$B$250,"*"&amp;$D154&amp;"*",'2025 AC'!N$3:N$250)</f>
        <v>1900</v>
      </c>
      <c r="Q154" s="94">
        <f t="shared" si="327"/>
        <v>22800</v>
      </c>
      <c r="R154" s="93">
        <f t="shared" si="329"/>
        <v>5700</v>
      </c>
      <c r="S154" s="93">
        <f t="shared" si="330"/>
        <v>5700</v>
      </c>
      <c r="T154" s="93">
        <f t="shared" si="331"/>
        <v>5700</v>
      </c>
      <c r="U154" s="93">
        <f t="shared" si="332"/>
        <v>5700</v>
      </c>
      <c r="V154" s="92">
        <f t="shared" si="333"/>
        <v>22800</v>
      </c>
    </row>
    <row r="155" s="137" customFormat="1">
      <c r="A155" s="137" t="s">
        <v>357</v>
      </c>
      <c r="B155" s="137" t="s">
        <v>358</v>
      </c>
      <c r="C155" s="187" t="s">
        <v>359</v>
      </c>
      <c r="D155" s="139" t="s">
        <v>360</v>
      </c>
      <c r="E155" s="145">
        <f>SUMIF('2025 AC'!$B$3:$B$250,"*"&amp;$D155&amp;"*",'2025 AC'!C$3:C$250)</f>
        <v>4.5</v>
      </c>
      <c r="F155" s="146">
        <f>SUMIF('2025 AC'!$B$3:$B$250,"*"&amp;$D155&amp;"*",'2025 AC'!D$3:D$250)</f>
        <v>1.5</v>
      </c>
      <c r="G155" s="146">
        <f>SUMIF('2025 AC'!$B$3:$B$250,"*"&amp;$D155&amp;"*",'2025 AC'!E$3:E$250)</f>
        <v>0</v>
      </c>
      <c r="H155" s="146">
        <f>SUMIF('2025 AC'!$B$3:$B$250,"*"&amp;$D155&amp;"*",'2025 AC'!F$3:F$250)</f>
        <v>7</v>
      </c>
      <c r="I155" s="146">
        <f>SUMIF('2025 AC'!$B$3:$B$250,"*"&amp;$D155&amp;"*",'2025 AC'!G$3:G$250)</f>
        <v>100</v>
      </c>
      <c r="J155" s="146">
        <f>SUMIF('2025 AC'!$B$3:$B$250,"*"&amp;$D155&amp;"*",'2025 AC'!H$3:H$250)</f>
        <v>3.7000000000000002</v>
      </c>
      <c r="K155" s="146">
        <f>SUMIF('2025 AC'!$B$3:$B$250,"*"&amp;$D155&amp;"*",'2025 AC'!I$3:I$250)</f>
        <v>4394.6999999999998</v>
      </c>
      <c r="L155" s="146">
        <f>SUMIF('2025 AC'!$B$3:$B$250,"*"&amp;$D155&amp;"*",'2025 AC'!J$3:J$250)</f>
        <v>7.2000000000000002</v>
      </c>
      <c r="M155" s="146">
        <f>SUMIF('2025 AC'!$B$3:$B$250,"*"&amp;$D155&amp;"*",'2025 AC'!K$3:K$250)</f>
        <v>3.5</v>
      </c>
      <c r="N155" s="146">
        <f>SUMIF('2025 AC'!$B$3:$B$250,"*"&amp;$D155&amp;"*",'2025 AC'!L$3:L$250)</f>
        <v>16.460000000000001</v>
      </c>
      <c r="O155" s="146">
        <f>SUMIF('2025 AC'!$B$3:$B$250,"*"&amp;$D155&amp;"*",'2025 AC'!M$3:M$250)</f>
        <v>7</v>
      </c>
      <c r="P155" s="146">
        <f>SUMIF('2025 AC'!$B$3:$B$250,"*"&amp;$D155&amp;"*",'2025 AC'!N$3:N$250)</f>
        <v>7</v>
      </c>
      <c r="Q155" s="149">
        <f t="shared" si="327"/>
        <v>4552.5599999999995</v>
      </c>
      <c r="R155" s="147">
        <f t="shared" si="329"/>
        <v>6</v>
      </c>
      <c r="S155" s="147">
        <f t="shared" si="330"/>
        <v>110.7</v>
      </c>
      <c r="T155" s="147">
        <f t="shared" si="331"/>
        <v>4405.3999999999996</v>
      </c>
      <c r="U155" s="147">
        <f t="shared" si="332"/>
        <v>30.460000000000001</v>
      </c>
      <c r="V155" s="148">
        <f t="shared" si="333"/>
        <v>4552.5599999999995</v>
      </c>
    </row>
    <row r="156" ht="15" customHeight="1" outlineLevel="1">
      <c r="A156" t="s">
        <v>361</v>
      </c>
      <c r="B156" t="s">
        <v>362</v>
      </c>
      <c r="C156" s="52" t="s">
        <v>363</v>
      </c>
      <c r="D156" s="35" t="s">
        <v>364</v>
      </c>
      <c r="E156" s="63">
        <f>SUMIF('2025 AC'!$B$3:$B$250,"*"&amp;$D156&amp;"*",'2025 AC'!C$3:C$250)</f>
        <v>4.5</v>
      </c>
      <c r="F156" s="53">
        <f>SUMIF('2025 AC'!$B$3:$B$250,"*"&amp;$D156&amp;"*",'2025 AC'!D$3:D$250)</f>
        <v>1.5</v>
      </c>
      <c r="G156" s="53">
        <f>SUMIF('2025 AC'!$B$3:$B$250,"*"&amp;$D156&amp;"*",'2025 AC'!E$3:E$250)</f>
        <v>0</v>
      </c>
      <c r="H156" s="53">
        <f>SUMIF('2025 AC'!$B$3:$B$250,"*"&amp;$D156&amp;"*",'2025 AC'!F$3:F$250)</f>
        <v>7</v>
      </c>
      <c r="I156" s="53">
        <f>SUMIF('2025 AC'!$B$3:$B$250,"*"&amp;$D156&amp;"*",'2025 AC'!G$3:G$250)</f>
        <v>100</v>
      </c>
      <c r="J156" s="53">
        <f>SUMIF('2025 AC'!$B$3:$B$250,"*"&amp;$D156&amp;"*",'2025 AC'!H$3:H$250)</f>
        <v>3.7000000000000002</v>
      </c>
      <c r="K156" s="53">
        <f>SUMIF('2025 AC'!$B$3:$B$250,"*"&amp;$D156&amp;"*",'2025 AC'!I$3:I$250)</f>
        <v>20.699999999999999</v>
      </c>
      <c r="L156" s="53">
        <f>SUMIF('2025 AC'!$B$3:$B$250,"*"&amp;$D156&amp;"*",'2025 AC'!J$3:J$250)</f>
        <v>7.2000000000000002</v>
      </c>
      <c r="M156" s="53">
        <f>SUMIF('2025 AC'!$B$3:$B$250,"*"&amp;$D156&amp;"*",'2025 AC'!K$3:K$250)</f>
        <v>3.5</v>
      </c>
      <c r="N156" s="53">
        <f>SUMIF('2025 AC'!$B$3:$B$250,"*"&amp;$D156&amp;"*",'2025 AC'!L$3:L$250)</f>
        <v>16.460000000000001</v>
      </c>
      <c r="O156" s="53">
        <f>SUMIF('2025 AC'!$B$3:$B$250,"*"&amp;$D156&amp;"*",'2025 AC'!M$3:M$250)</f>
        <v>7</v>
      </c>
      <c r="P156" s="53">
        <f>SUMIF('2025 AC'!$B$3:$B$250,"*"&amp;$D156&amp;"*",'2025 AC'!N$3:N$250)</f>
        <v>7</v>
      </c>
      <c r="Q156" s="94">
        <f t="shared" si="327"/>
        <v>178.56</v>
      </c>
      <c r="R156" s="93">
        <f t="shared" si="329"/>
        <v>6</v>
      </c>
      <c r="S156" s="93">
        <f t="shared" si="330"/>
        <v>110.7</v>
      </c>
      <c r="T156" s="93">
        <f t="shared" si="331"/>
        <v>31.399999999999999</v>
      </c>
      <c r="U156" s="93">
        <f t="shared" si="332"/>
        <v>30.460000000000001</v>
      </c>
      <c r="V156" s="92">
        <f t="shared" si="333"/>
        <v>178.56</v>
      </c>
    </row>
    <row r="157" ht="15" customHeight="1" outlineLevel="1">
      <c r="A157" t="s">
        <v>365</v>
      </c>
      <c r="B157" t="s">
        <v>366</v>
      </c>
      <c r="C157" s="52" t="s">
        <v>367</v>
      </c>
      <c r="D157" s="35" t="s">
        <v>368</v>
      </c>
      <c r="E157" s="63">
        <f>SUMIF('2025 AC'!$B$3:$B$250,"*"&amp;$D157&amp;"*",'2025 AC'!C$3:C$250)</f>
        <v>0</v>
      </c>
      <c r="F157" s="53">
        <f>SUMIF('2025 AC'!$B$3:$B$250,"*"&amp;$D157&amp;"*",'2025 AC'!D$3:D$250)</f>
        <v>0</v>
      </c>
      <c r="G157" s="53">
        <f>SUMIF('2025 AC'!$B$3:$B$250,"*"&amp;$D157&amp;"*",'2025 AC'!E$3:E$250)</f>
        <v>0</v>
      </c>
      <c r="H157" s="53">
        <f>SUMIF('2025 AC'!$B$3:$B$250,"*"&amp;$D157&amp;"*",'2025 AC'!F$3:F$250)</f>
        <v>0</v>
      </c>
      <c r="I157" s="53">
        <f>SUMIF('2025 AC'!$B$3:$B$250,"*"&amp;$D157&amp;"*",'2025 AC'!G$3:G$250)</f>
        <v>0</v>
      </c>
      <c r="J157" s="53">
        <f>SUMIF('2025 AC'!$B$3:$B$250,"*"&amp;$D157&amp;"*",'2025 AC'!H$3:H$250)</f>
        <v>0</v>
      </c>
      <c r="K157" s="53">
        <f>SUMIF('2025 AC'!$B$3:$B$250,"*"&amp;$D157&amp;"*",'2025 AC'!I$3:I$250)</f>
        <v>4374</v>
      </c>
      <c r="L157" s="53">
        <f>SUMIF('2025 AC'!$B$3:$B$250,"*"&amp;$D157&amp;"*",'2025 AC'!J$3:J$250)</f>
        <v>0</v>
      </c>
      <c r="M157" s="53">
        <f>SUMIF('2025 AC'!$B$3:$B$250,"*"&amp;$D157&amp;"*",'2025 AC'!K$3:K$250)</f>
        <v>0</v>
      </c>
      <c r="N157" s="53">
        <f>SUMIF('2025 AC'!$B$3:$B$250,"*"&amp;$D157&amp;"*",'2025 AC'!L$3:L$250)</f>
        <v>0</v>
      </c>
      <c r="O157" s="53">
        <f>SUMIF('2025 AC'!$B$3:$B$250,"*"&amp;$D157&amp;"*",'2025 AC'!M$3:M$250)</f>
        <v>0</v>
      </c>
      <c r="P157" s="53">
        <f>SUMIF('2025 AC'!$B$3:$B$250,"*"&amp;$D157&amp;"*",'2025 AC'!N$3:N$250)</f>
        <v>0</v>
      </c>
      <c r="Q157" s="94">
        <f t="shared" si="327"/>
        <v>4374</v>
      </c>
      <c r="R157" s="93">
        <f t="shared" si="329"/>
        <v>0</v>
      </c>
      <c r="S157" s="93">
        <f t="shared" si="330"/>
        <v>0</v>
      </c>
      <c r="T157" s="93">
        <f t="shared" si="331"/>
        <v>4374</v>
      </c>
      <c r="U157" s="93">
        <f t="shared" si="332"/>
        <v>0</v>
      </c>
      <c r="V157" s="92">
        <f t="shared" si="333"/>
        <v>4374</v>
      </c>
    </row>
    <row r="158" s="137" customFormat="1" ht="15" customHeight="1">
      <c r="A158" s="137" t="s">
        <v>369</v>
      </c>
      <c r="B158" s="137" t="s">
        <v>370</v>
      </c>
      <c r="C158" s="187" t="s">
        <v>371</v>
      </c>
      <c r="D158" s="139" t="s">
        <v>372</v>
      </c>
      <c r="E158" s="145">
        <f>SUMIF('2025 AC'!$B$3:$B$250,"*"&amp;$D158&amp;"*",'2025 AC'!C$3:C$250)</f>
        <v>0</v>
      </c>
      <c r="F158" s="146">
        <f>SUMIF('2025 AC'!$B$3:$B$250,"*"&amp;$D158&amp;"*",'2025 AC'!D$3:D$250)</f>
        <v>0</v>
      </c>
      <c r="G158" s="146">
        <f>SUMIF('2025 AC'!$B$3:$B$250,"*"&amp;$D158&amp;"*",'2025 AC'!E$3:E$250)</f>
        <v>0</v>
      </c>
      <c r="H158" s="146">
        <f>SUMIF('2025 AC'!$B$3:$B$250,"*"&amp;$D158&amp;"*",'2025 AC'!F$3:F$250)</f>
        <v>0</v>
      </c>
      <c r="I158" s="146">
        <f>SUMIF('2025 AC'!$B$3:$B$250,"*"&amp;$D158&amp;"*",'2025 AC'!G$3:G$250)</f>
        <v>0</v>
      </c>
      <c r="J158" s="146">
        <f>SUMIF('2025 AC'!$B$3:$B$250,"*"&amp;$D158&amp;"*",'2025 AC'!H$3:H$250)</f>
        <v>0</v>
      </c>
      <c r="K158" s="146">
        <f>SUMIF('2025 AC'!$B$3:$B$250,"*"&amp;$D158&amp;"*",'2025 AC'!I$3:I$250)</f>
        <v>0</v>
      </c>
      <c r="L158" s="146">
        <f>SUMIF('2025 AC'!$B$3:$B$250,"*"&amp;$D158&amp;"*",'2025 AC'!J$3:J$250)</f>
        <v>0</v>
      </c>
      <c r="M158" s="146">
        <f>SUMIF('2025 AC'!$B$3:$B$250,"*"&amp;$D158&amp;"*",'2025 AC'!K$3:K$250)</f>
        <v>0</v>
      </c>
      <c r="N158" s="146">
        <f>SUMIF('2025 AC'!$B$3:$B$250,"*"&amp;$D158&amp;"*",'2025 AC'!L$3:L$250)</f>
        <v>0</v>
      </c>
      <c r="O158" s="146">
        <f>SUMIF('2025 AC'!$B$3:$B$250,"*"&amp;$D158&amp;"*",'2025 AC'!M$3:M$250)</f>
        <v>0</v>
      </c>
      <c r="P158" s="146">
        <f>SUMIF('2025 AC'!$B$3:$B$250,"*"&amp;$D158&amp;"*",'2025 AC'!N$3:N$250)</f>
        <v>1128392.95</v>
      </c>
      <c r="Q158" s="149">
        <f t="shared" si="327"/>
        <v>1128392.95</v>
      </c>
      <c r="R158" s="147">
        <f t="shared" si="329"/>
        <v>0</v>
      </c>
      <c r="S158" s="147">
        <f t="shared" si="330"/>
        <v>0</v>
      </c>
      <c r="T158" s="147">
        <f t="shared" si="331"/>
        <v>0</v>
      </c>
      <c r="U158" s="147">
        <f t="shared" si="332"/>
        <v>1128392.95</v>
      </c>
      <c r="V158" s="148">
        <f t="shared" si="333"/>
        <v>1128392.95</v>
      </c>
    </row>
    <row r="159" s="137" customFormat="1" ht="15" customHeight="1">
      <c r="A159" s="137" t="s">
        <v>373</v>
      </c>
      <c r="B159" s="137" t="s">
        <v>374</v>
      </c>
      <c r="C159" s="187" t="s">
        <v>268</v>
      </c>
      <c r="D159" s="139" t="s">
        <v>375</v>
      </c>
      <c r="E159" s="145">
        <f>SUMIF('2025 AC'!$B$3:$B$250,"*"&amp;$D159&amp;"*",'2025 AC'!C$3:C$250)</f>
        <v>147799.57999999999</v>
      </c>
      <c r="F159" s="146">
        <f>SUMIF('2025 AC'!$B$3:$B$250,"*"&amp;$D159&amp;"*",'2025 AC'!D$3:D$250)</f>
        <v>159557.76999999999</v>
      </c>
      <c r="G159" s="146">
        <f>SUMIF('2025 AC'!$B$3:$B$250,"*"&amp;$D159&amp;"*",'2025 AC'!E$3:E$250)</f>
        <v>146591.38</v>
      </c>
      <c r="H159" s="146">
        <f>SUMIF('2025 AC'!$B$3:$B$250,"*"&amp;$D159&amp;"*",'2025 AC'!F$3:F$250)</f>
        <v>153932</v>
      </c>
      <c r="I159" s="146">
        <f>SUMIF('2025 AC'!$B$3:$B$250,"*"&amp;$D159&amp;"*",'2025 AC'!G$3:G$250)</f>
        <v>174357.29999999999</v>
      </c>
      <c r="J159" s="146">
        <f>SUMIF('2025 AC'!$B$3:$B$250,"*"&amp;$D159&amp;"*",'2025 AC'!H$3:H$250)</f>
        <v>150910.54000000001</v>
      </c>
      <c r="K159" s="146">
        <f>SUMIF('2025 AC'!$B$3:$B$250,"*"&amp;$D159&amp;"*",'2025 AC'!I$3:I$250)</f>
        <v>186400.29999999999</v>
      </c>
      <c r="L159" s="146">
        <f>SUMIF('2025 AC'!$B$3:$B$250,"*"&amp;$D159&amp;"*",'2025 AC'!J$3:J$250)</f>
        <v>144814.39000000001</v>
      </c>
      <c r="M159" s="146">
        <f>SUMIF('2025 AC'!$B$3:$B$250,"*"&amp;$D159&amp;"*",'2025 AC'!K$3:K$250)</f>
        <v>186733.63</v>
      </c>
      <c r="N159" s="146">
        <f>SUMIF('2025 AC'!$B$3:$B$250,"*"&amp;$D159&amp;"*",'2025 AC'!L$3:L$250)</f>
        <v>174755.81</v>
      </c>
      <c r="O159" s="146">
        <f>SUMIF('2025 AC'!$B$3:$B$250,"*"&amp;$D159&amp;"*",'2025 AC'!M$3:M$250)</f>
        <v>143011.95000000001</v>
      </c>
      <c r="P159" s="146">
        <f>SUMIF('2025 AC'!$B$3:$B$250,"*"&amp;$D159&amp;"*",'2025 AC'!N$3:N$250)</f>
        <v>183303.13</v>
      </c>
      <c r="Q159" s="149">
        <f t="shared" si="327"/>
        <v>1952167.7800000003</v>
      </c>
      <c r="R159" s="147">
        <f t="shared" si="329"/>
        <v>453948.72999999998</v>
      </c>
      <c r="S159" s="147">
        <f t="shared" si="330"/>
        <v>479199.83999999997</v>
      </c>
      <c r="T159" s="147">
        <f t="shared" si="331"/>
        <v>517948.32000000001</v>
      </c>
      <c r="U159" s="147">
        <f t="shared" si="332"/>
        <v>501070.89000000001</v>
      </c>
      <c r="V159" s="148">
        <f t="shared" si="333"/>
        <v>1952167.7799999998</v>
      </c>
    </row>
    <row r="160" ht="15" customHeight="1" outlineLevel="1">
      <c r="A160" t="s">
        <v>376</v>
      </c>
      <c r="B160" t="s">
        <v>377</v>
      </c>
      <c r="C160" s="34" t="s">
        <v>378</v>
      </c>
      <c r="D160" s="35" t="s">
        <v>379</v>
      </c>
      <c r="E160" s="63">
        <f>SUMIF('2025 AC'!$B$3:$B$250,"*"&amp;$D160&amp;"*",'2025 AC'!C$3:C$250)</f>
        <v>159.69999999999999</v>
      </c>
      <c r="F160" s="53">
        <f>SUMIF('2025 AC'!$B$3:$B$250,"*"&amp;$D160&amp;"*",'2025 AC'!D$3:D$250)</f>
        <v>0</v>
      </c>
      <c r="G160" s="53">
        <f>SUMIF('2025 AC'!$B$3:$B$250,"*"&amp;$D160&amp;"*",'2025 AC'!E$3:E$250)</f>
        <v>80.019999999999996</v>
      </c>
      <c r="H160" s="53">
        <f>SUMIF('2025 AC'!$B$3:$B$250,"*"&amp;$D160&amp;"*",'2025 AC'!F$3:F$250)</f>
        <v>0</v>
      </c>
      <c r="I160" s="53">
        <f>SUMIF('2025 AC'!$B$3:$B$250,"*"&amp;$D160&amp;"*",'2025 AC'!G$3:G$250)</f>
        <v>0</v>
      </c>
      <c r="J160" s="53">
        <f>SUMIF('2025 AC'!$B$3:$B$250,"*"&amp;$D160&amp;"*",'2025 AC'!H$3:H$250)</f>
        <v>0</v>
      </c>
      <c r="K160" s="53">
        <f>SUMIF('2025 AC'!$B$3:$B$250,"*"&amp;$D160&amp;"*",'2025 AC'!I$3:I$250)</f>
        <v>0</v>
      </c>
      <c r="L160" s="53">
        <f>SUMIF('2025 AC'!$B$3:$B$250,"*"&amp;$D160&amp;"*",'2025 AC'!J$3:J$250)</f>
        <v>0</v>
      </c>
      <c r="M160" s="53">
        <f>SUMIF('2025 AC'!$B$3:$B$250,"*"&amp;$D160&amp;"*",'2025 AC'!K$3:K$250)</f>
        <v>0</v>
      </c>
      <c r="N160" s="53">
        <f>SUMIF('2025 AC'!$B$3:$B$250,"*"&amp;$D160&amp;"*",'2025 AC'!L$3:L$250)</f>
        <v>0</v>
      </c>
      <c r="O160" s="53">
        <f>SUMIF('2025 AC'!$B$3:$B$250,"*"&amp;$D160&amp;"*",'2025 AC'!M$3:M$250)</f>
        <v>0</v>
      </c>
      <c r="P160" s="53">
        <f>SUMIF('2025 AC'!$B$3:$B$250,"*"&amp;$D160&amp;"*",'2025 AC'!N$3:N$250)</f>
        <v>0</v>
      </c>
      <c r="Q160" s="94">
        <f t="shared" si="327"/>
        <v>239.71999999999997</v>
      </c>
      <c r="R160" s="93">
        <f t="shared" si="329"/>
        <v>239.71999999999997</v>
      </c>
      <c r="S160" s="93">
        <f t="shared" si="330"/>
        <v>0</v>
      </c>
      <c r="T160" s="93">
        <f t="shared" si="331"/>
        <v>0</v>
      </c>
      <c r="U160" s="93">
        <f t="shared" si="332"/>
        <v>0</v>
      </c>
      <c r="V160" s="92">
        <f t="shared" si="333"/>
        <v>239.71999999999997</v>
      </c>
    </row>
    <row r="161" ht="15" customHeight="1" outlineLevel="1">
      <c r="A161" t="s">
        <v>380</v>
      </c>
      <c r="B161" t="s">
        <v>381</v>
      </c>
      <c r="C161" s="34" t="s">
        <v>382</v>
      </c>
      <c r="D161" s="35" t="s">
        <v>383</v>
      </c>
      <c r="E161" s="63">
        <f>SUMIF('2025 AC'!$B$3:$B$250,"*"&amp;$D161&amp;"*",'2025 AC'!C$3:C$250)</f>
        <v>6000</v>
      </c>
      <c r="F161" s="53">
        <f>SUMIF('2025 AC'!$B$3:$B$250,"*"&amp;$D161&amp;"*",'2025 AC'!D$3:D$250)</f>
        <v>0</v>
      </c>
      <c r="G161" s="53">
        <f>SUMIF('2025 AC'!$B$3:$B$250,"*"&amp;$D161&amp;"*",'2025 AC'!E$3:E$250)</f>
        <v>0</v>
      </c>
      <c r="H161" s="53">
        <f>SUMIF('2025 AC'!$B$3:$B$250,"*"&amp;$D161&amp;"*",'2025 AC'!F$3:F$250)</f>
        <v>81.599999999999994</v>
      </c>
      <c r="I161" s="53">
        <f>SUMIF('2025 AC'!$B$3:$B$250,"*"&amp;$D161&amp;"*",'2025 AC'!G$3:G$250)</f>
        <v>0</v>
      </c>
      <c r="J161" s="53">
        <f>SUMIF('2025 AC'!$B$3:$B$250,"*"&amp;$D161&amp;"*",'2025 AC'!H$3:H$250)</f>
        <v>0</v>
      </c>
      <c r="K161" s="53">
        <f>SUMIF('2025 AC'!$B$3:$B$250,"*"&amp;$D161&amp;"*",'2025 AC'!I$3:I$250)</f>
        <v>0</v>
      </c>
      <c r="L161" s="53">
        <f>SUMIF('2025 AC'!$B$3:$B$250,"*"&amp;$D161&amp;"*",'2025 AC'!J$3:J$250)</f>
        <v>0</v>
      </c>
      <c r="M161" s="53">
        <f>SUMIF('2025 AC'!$B$3:$B$250,"*"&amp;$D161&amp;"*",'2025 AC'!K$3:K$250)</f>
        <v>0</v>
      </c>
      <c r="N161" s="53">
        <f>SUMIF('2025 AC'!$B$3:$B$250,"*"&amp;$D161&amp;"*",'2025 AC'!L$3:L$250)</f>
        <v>0</v>
      </c>
      <c r="O161" s="53">
        <f>SUMIF('2025 AC'!$B$3:$B$250,"*"&amp;$D161&amp;"*",'2025 AC'!M$3:M$250)</f>
        <v>0</v>
      </c>
      <c r="P161" s="53">
        <f>SUMIF('2025 AC'!$B$3:$B$250,"*"&amp;$D161&amp;"*",'2025 AC'!N$3:N$250)</f>
        <v>6000</v>
      </c>
      <c r="Q161" s="94">
        <f t="shared" si="327"/>
        <v>12081.6</v>
      </c>
      <c r="R161" s="93">
        <f t="shared" si="329"/>
        <v>6000</v>
      </c>
      <c r="S161" s="93">
        <f t="shared" si="330"/>
        <v>81.599999999999994</v>
      </c>
      <c r="T161" s="93">
        <f t="shared" si="331"/>
        <v>0</v>
      </c>
      <c r="U161" s="93">
        <f t="shared" si="332"/>
        <v>6000</v>
      </c>
      <c r="V161" s="92">
        <f t="shared" si="333"/>
        <v>12081.6</v>
      </c>
    </row>
    <row r="162" ht="15" customHeight="1" outlineLevel="1">
      <c r="A162" t="s">
        <v>384</v>
      </c>
      <c r="B162" t="s">
        <v>385</v>
      </c>
      <c r="C162" s="34" t="s">
        <v>386</v>
      </c>
      <c r="D162" s="35" t="s">
        <v>387</v>
      </c>
      <c r="E162" s="63">
        <f>SUMIF('2025 AC'!$B$3:$B$250,"*"&amp;$D162&amp;"*",'2025 AC'!C$3:C$250)</f>
        <v>0</v>
      </c>
      <c r="F162" s="53">
        <f>SUMIF('2025 AC'!$B$3:$B$250,"*"&amp;$D162&amp;"*",'2025 AC'!D$3:D$250)</f>
        <v>0</v>
      </c>
      <c r="G162" s="53">
        <f>SUMIF('2025 AC'!$B$3:$B$250,"*"&amp;$D162&amp;"*",'2025 AC'!E$3:E$250)</f>
        <v>0</v>
      </c>
      <c r="H162" s="53">
        <f>SUMIF('2025 AC'!$B$3:$B$250,"*"&amp;$D162&amp;"*",'2025 AC'!F$3:F$250)</f>
        <v>0</v>
      </c>
      <c r="I162" s="53">
        <f>SUMIF('2025 AC'!$B$3:$B$250,"*"&amp;$D162&amp;"*",'2025 AC'!G$3:G$250)</f>
        <v>0</v>
      </c>
      <c r="J162" s="53">
        <f>SUMIF('2025 AC'!$B$3:$B$250,"*"&amp;$D162&amp;"*",'2025 AC'!H$3:H$250)</f>
        <v>0</v>
      </c>
      <c r="K162" s="53">
        <f>SUMIF('2025 AC'!$B$3:$B$250,"*"&amp;$D162&amp;"*",'2025 AC'!I$3:I$250)</f>
        <v>0</v>
      </c>
      <c r="L162" s="53">
        <f>SUMIF('2025 AC'!$B$3:$B$250,"*"&amp;$D162&amp;"*",'2025 AC'!J$3:J$250)</f>
        <v>0</v>
      </c>
      <c r="M162" s="53">
        <f>SUMIF('2025 AC'!$B$3:$B$250,"*"&amp;$D162&amp;"*",'2025 AC'!K$3:K$250)</f>
        <v>0</v>
      </c>
      <c r="N162" s="53">
        <f>SUMIF('2025 AC'!$B$3:$B$250,"*"&amp;$D162&amp;"*",'2025 AC'!L$3:L$250)</f>
        <v>0</v>
      </c>
      <c r="O162" s="53">
        <f>SUMIF('2025 AC'!$B$3:$B$250,"*"&amp;$D162&amp;"*",'2025 AC'!M$3:M$250)</f>
        <v>0</v>
      </c>
      <c r="P162" s="53">
        <f>SUMIF('2025 AC'!$B$3:$B$250,"*"&amp;$D162&amp;"*",'2025 AC'!N$3:N$250)</f>
        <v>0</v>
      </c>
      <c r="Q162" s="94">
        <f t="shared" si="327"/>
        <v>0</v>
      </c>
      <c r="R162" s="93">
        <f t="shared" si="329"/>
        <v>0</v>
      </c>
      <c r="S162" s="93">
        <f t="shared" si="330"/>
        <v>0</v>
      </c>
      <c r="T162" s="93">
        <f t="shared" si="331"/>
        <v>0</v>
      </c>
      <c r="U162" s="93">
        <f t="shared" si="332"/>
        <v>0</v>
      </c>
      <c r="V162" s="92">
        <f t="shared" si="333"/>
        <v>0</v>
      </c>
    </row>
    <row r="163" ht="15" customHeight="1" outlineLevel="1">
      <c r="A163" t="s">
        <v>388</v>
      </c>
      <c r="B163" t="s">
        <v>389</v>
      </c>
      <c r="C163" s="34" t="s">
        <v>390</v>
      </c>
      <c r="D163" s="35" t="s">
        <v>391</v>
      </c>
      <c r="E163" s="63">
        <f>SUMIF('2025 AC'!$B$3:$B$250,"*"&amp;$D163&amp;"*",'2025 AC'!C$3:C$250)</f>
        <v>0</v>
      </c>
      <c r="F163" s="53">
        <f>SUMIF('2025 AC'!$B$3:$B$250,"*"&amp;$D163&amp;"*",'2025 AC'!D$3:D$250)</f>
        <v>52</v>
      </c>
      <c r="G163" s="53">
        <f>SUMIF('2025 AC'!$B$3:$B$250,"*"&amp;$D163&amp;"*",'2025 AC'!E$3:E$250)</f>
        <v>150.24000000000001</v>
      </c>
      <c r="H163" s="53">
        <f>SUMIF('2025 AC'!$B$3:$B$250,"*"&amp;$D163&amp;"*",'2025 AC'!F$3:F$250)</f>
        <v>7.9000000000000004</v>
      </c>
      <c r="I163" s="53">
        <f>SUMIF('2025 AC'!$B$3:$B$250,"*"&amp;$D163&amp;"*",'2025 AC'!G$3:G$250)</f>
        <v>15.800000000000001</v>
      </c>
      <c r="J163" s="53">
        <f>SUMIF('2025 AC'!$B$3:$B$250,"*"&amp;$D163&amp;"*",'2025 AC'!H$3:H$250)</f>
        <v>40</v>
      </c>
      <c r="K163" s="53">
        <f>SUMIF('2025 AC'!$B$3:$B$250,"*"&amp;$D163&amp;"*",'2025 AC'!I$3:I$250)</f>
        <v>0</v>
      </c>
      <c r="L163" s="53">
        <f>SUMIF('2025 AC'!$B$3:$B$250,"*"&amp;$D163&amp;"*",'2025 AC'!J$3:J$250)</f>
        <v>0</v>
      </c>
      <c r="M163" s="53">
        <f>SUMIF('2025 AC'!$B$3:$B$250,"*"&amp;$D163&amp;"*",'2025 AC'!K$3:K$250)</f>
        <v>7.8499999999999996</v>
      </c>
      <c r="N163" s="53">
        <f>SUMIF('2025 AC'!$B$3:$B$250,"*"&amp;$D163&amp;"*",'2025 AC'!L$3:L$250)</f>
        <v>111.45</v>
      </c>
      <c r="O163" s="53">
        <f>SUMIF('2025 AC'!$B$3:$B$250,"*"&amp;$D163&amp;"*",'2025 AC'!M$3:M$250)</f>
        <v>37.200000000000003</v>
      </c>
      <c r="P163" s="53">
        <f>SUMIF('2025 AC'!$B$3:$B$250,"*"&amp;$D163&amp;"*",'2025 AC'!N$3:N$250)</f>
        <v>15.6</v>
      </c>
      <c r="Q163" s="94">
        <f t="shared" si="327"/>
        <v>438.04000000000008</v>
      </c>
      <c r="R163" s="93">
        <f t="shared" si="329"/>
        <v>202.24000000000001</v>
      </c>
      <c r="S163" s="93">
        <f t="shared" si="330"/>
        <v>63.700000000000003</v>
      </c>
      <c r="T163" s="93">
        <f t="shared" si="331"/>
        <v>7.8499999999999996</v>
      </c>
      <c r="U163" s="93">
        <f t="shared" si="332"/>
        <v>164.25</v>
      </c>
      <c r="V163" s="92">
        <f t="shared" si="333"/>
        <v>438.04000000000002</v>
      </c>
    </row>
    <row r="164" ht="15" customHeight="1" outlineLevel="1">
      <c r="A164" t="s">
        <v>392</v>
      </c>
      <c r="B164" t="s">
        <v>393</v>
      </c>
      <c r="C164" s="34" t="s">
        <v>394</v>
      </c>
      <c r="D164" s="35" t="s">
        <v>395</v>
      </c>
      <c r="E164" s="63">
        <f>SUMIF('2025 AC'!$B$3:$B$250,"*"&amp;$D164&amp;"*",'2025 AC'!C$3:C$250)</f>
        <v>916.19000000000005</v>
      </c>
      <c r="F164" s="53">
        <f>SUMIF('2025 AC'!$B$3:$B$250,"*"&amp;$D164&amp;"*",'2025 AC'!D$3:D$250)</f>
        <v>1182.9100000000001</v>
      </c>
      <c r="G164" s="53">
        <f>SUMIF('2025 AC'!$B$3:$B$250,"*"&amp;$D164&amp;"*",'2025 AC'!E$3:E$250)</f>
        <v>2374.1900000000001</v>
      </c>
      <c r="H164" s="53">
        <f>SUMIF('2025 AC'!$B$3:$B$250,"*"&amp;$D164&amp;"*",'2025 AC'!F$3:F$250)</f>
        <v>2453.3299999999999</v>
      </c>
      <c r="I164" s="53">
        <f>SUMIF('2025 AC'!$B$3:$B$250,"*"&amp;$D164&amp;"*",'2025 AC'!G$3:G$250)</f>
        <v>2645.3200000000002</v>
      </c>
      <c r="J164" s="53">
        <f>SUMIF('2025 AC'!$B$3:$B$250,"*"&amp;$D164&amp;"*",'2025 AC'!H$3:H$250)</f>
        <v>2880</v>
      </c>
      <c r="K164" s="53">
        <f>SUMIF('2025 AC'!$B$3:$B$250,"*"&amp;$D164&amp;"*",'2025 AC'!I$3:I$250)</f>
        <v>2890.3200000000002</v>
      </c>
      <c r="L164" s="53">
        <f>SUMIF('2025 AC'!$B$3:$B$250,"*"&amp;$D164&amp;"*",'2025 AC'!J$3:J$250)</f>
        <v>3096.77</v>
      </c>
      <c r="M164" s="53">
        <f>SUMIF('2025 AC'!$B$3:$B$250,"*"&amp;$D164&amp;"*",'2025 AC'!K$3:K$250)</f>
        <v>2986.6700000000001</v>
      </c>
      <c r="N164" s="53">
        <f>SUMIF('2025 AC'!$B$3:$B$250,"*"&amp;$D164&amp;"*",'2025 AC'!L$3:L$250)</f>
        <v>2990.0999999999999</v>
      </c>
      <c r="O164" s="53">
        <f>SUMIF('2025 AC'!$B$3:$B$250,"*"&amp;$D164&amp;"*",'2025 AC'!M$3:M$250)</f>
        <v>3200</v>
      </c>
      <c r="P164" s="53">
        <f>SUMIF('2025 AC'!$B$3:$B$250,"*"&amp;$D164&amp;"*",'2025 AC'!N$3:N$250)</f>
        <v>3200</v>
      </c>
      <c r="Q164" s="94">
        <f t="shared" si="327"/>
        <v>30815.799999999996</v>
      </c>
      <c r="R164" s="93">
        <f t="shared" si="329"/>
        <v>4473.2900000000009</v>
      </c>
      <c r="S164" s="93">
        <f t="shared" si="330"/>
        <v>7978.6499999999996</v>
      </c>
      <c r="T164" s="93">
        <f t="shared" si="331"/>
        <v>8973.7600000000002</v>
      </c>
      <c r="U164" s="93">
        <f t="shared" si="332"/>
        <v>9390.1000000000004</v>
      </c>
      <c r="V164" s="92">
        <f t="shared" si="333"/>
        <v>30815.800000000003</v>
      </c>
    </row>
    <row r="165" ht="15" customHeight="1" outlineLevel="1">
      <c r="A165" t="s">
        <v>396</v>
      </c>
      <c r="B165" t="s">
        <v>397</v>
      </c>
      <c r="C165" s="34" t="s">
        <v>398</v>
      </c>
      <c r="D165" s="35" t="s">
        <v>399</v>
      </c>
      <c r="E165" s="63">
        <f>SUMIF('2025 AC'!$B$3:$B$250,"*"&amp;$D165&amp;"*",'2025 AC'!C$3:C$250)</f>
        <v>7014.75</v>
      </c>
      <c r="F165" s="53">
        <f>SUMIF('2025 AC'!$B$3:$B$250,"*"&amp;$D165&amp;"*",'2025 AC'!D$3:D$250)</f>
        <v>3711.2399999999998</v>
      </c>
      <c r="G165" s="53">
        <f>SUMIF('2025 AC'!$B$3:$B$250,"*"&amp;$D165&amp;"*",'2025 AC'!E$3:E$250)</f>
        <v>4715.54</v>
      </c>
      <c r="H165" s="53">
        <f>SUMIF('2025 AC'!$B$3:$B$250,"*"&amp;$D165&amp;"*",'2025 AC'!F$3:F$250)</f>
        <v>4242.0900000000001</v>
      </c>
      <c r="I165" s="53">
        <f>SUMIF('2025 AC'!$B$3:$B$250,"*"&amp;$D165&amp;"*",'2025 AC'!G$3:G$250)</f>
        <v>5805.8400000000001</v>
      </c>
      <c r="J165" s="53">
        <f>SUMIF('2025 AC'!$B$3:$B$250,"*"&amp;$D165&amp;"*",'2025 AC'!H$3:H$250)</f>
        <v>10217.24</v>
      </c>
      <c r="K165" s="53">
        <f>SUMIF('2025 AC'!$B$3:$B$250,"*"&amp;$D165&amp;"*",'2025 AC'!I$3:I$250)</f>
        <v>4635.8400000000001</v>
      </c>
      <c r="L165" s="53">
        <f>SUMIF('2025 AC'!$B$3:$B$250,"*"&amp;$D165&amp;"*",'2025 AC'!J$3:J$250)</f>
        <v>4484.2399999999998</v>
      </c>
      <c r="M165" s="53">
        <f>SUMIF('2025 AC'!$B$3:$B$250,"*"&amp;$D165&amp;"*",'2025 AC'!K$3:K$250)</f>
        <v>6144.6400000000003</v>
      </c>
      <c r="N165" s="53">
        <f>SUMIF('2025 AC'!$B$3:$B$250,"*"&amp;$D165&amp;"*",'2025 AC'!L$3:L$250)</f>
        <v>5147.2399999999998</v>
      </c>
      <c r="O165" s="53">
        <f>SUMIF('2025 AC'!$B$3:$B$250,"*"&amp;$D165&amp;"*",'2025 AC'!M$3:M$250)</f>
        <v>8890.1399999999994</v>
      </c>
      <c r="P165" s="53">
        <f>SUMIF('2025 AC'!$B$3:$B$250,"*"&amp;$D165&amp;"*",'2025 AC'!N$3:N$250)</f>
        <v>8074.6400000000003</v>
      </c>
      <c r="Q165" s="94">
        <f t="shared" si="327"/>
        <v>73083.439999999988</v>
      </c>
      <c r="R165" s="93">
        <f t="shared" si="329"/>
        <v>15441.529999999999</v>
      </c>
      <c r="S165" s="93">
        <f t="shared" si="330"/>
        <v>20265.169999999998</v>
      </c>
      <c r="T165" s="93">
        <f t="shared" si="331"/>
        <v>15264.720000000001</v>
      </c>
      <c r="U165" s="93">
        <f t="shared" si="332"/>
        <v>22112.02</v>
      </c>
      <c r="V165" s="92">
        <f t="shared" si="333"/>
        <v>73083.440000000002</v>
      </c>
    </row>
    <row r="166" ht="15" customHeight="1" outlineLevel="1">
      <c r="A166" t="s">
        <v>400</v>
      </c>
      <c r="B166" t="s">
        <v>401</v>
      </c>
      <c r="C166" s="34" t="s">
        <v>402</v>
      </c>
      <c r="D166" s="35" t="s">
        <v>403</v>
      </c>
      <c r="E166" s="63">
        <f>SUMIF('2025 AC'!$B$3:$B$250,"*"&amp;$D166&amp;"*",'2025 AC'!C$3:C$250)</f>
        <v>516.5</v>
      </c>
      <c r="F166" s="53">
        <f>SUMIF('2025 AC'!$B$3:$B$250,"*"&amp;$D166&amp;"*",'2025 AC'!D$3:D$250)</f>
        <v>0</v>
      </c>
      <c r="G166" s="53">
        <f>SUMIF('2025 AC'!$B$3:$B$250,"*"&amp;$D166&amp;"*",'2025 AC'!E$3:E$250)</f>
        <v>119</v>
      </c>
      <c r="H166" s="53">
        <f>SUMIF('2025 AC'!$B$3:$B$250,"*"&amp;$D166&amp;"*",'2025 AC'!F$3:F$250)</f>
        <v>375</v>
      </c>
      <c r="I166" s="53">
        <f>SUMIF('2025 AC'!$B$3:$B$250,"*"&amp;$D166&amp;"*",'2025 AC'!G$3:G$250)</f>
        <v>923</v>
      </c>
      <c r="J166" s="53">
        <f>SUMIF('2025 AC'!$B$3:$B$250,"*"&amp;$D166&amp;"*",'2025 AC'!H$3:H$250)</f>
        <v>120</v>
      </c>
      <c r="K166" s="53">
        <f>SUMIF('2025 AC'!$B$3:$B$250,"*"&amp;$D166&amp;"*",'2025 AC'!I$3:I$250)</f>
        <v>0</v>
      </c>
      <c r="L166" s="53">
        <f>SUMIF('2025 AC'!$B$3:$B$250,"*"&amp;$D166&amp;"*",'2025 AC'!J$3:J$250)</f>
        <v>977.39999999999998</v>
      </c>
      <c r="M166" s="53">
        <f>SUMIF('2025 AC'!$B$3:$B$250,"*"&amp;$D166&amp;"*",'2025 AC'!K$3:K$250)</f>
        <v>212</v>
      </c>
      <c r="N166" s="53">
        <f>SUMIF('2025 AC'!$B$3:$B$250,"*"&amp;$D166&amp;"*",'2025 AC'!L$3:L$250)</f>
        <v>0</v>
      </c>
      <c r="O166" s="53">
        <f>SUMIF('2025 AC'!$B$3:$B$250,"*"&amp;$D166&amp;"*",'2025 AC'!M$3:M$250)</f>
        <v>484.30000000000001</v>
      </c>
      <c r="P166" s="53">
        <f>SUMIF('2025 AC'!$B$3:$B$250,"*"&amp;$D166&amp;"*",'2025 AC'!N$3:N$250)</f>
        <v>4906.3999999999996</v>
      </c>
      <c r="Q166" s="94">
        <f t="shared" si="327"/>
        <v>8633.6000000000004</v>
      </c>
      <c r="R166" s="93">
        <f t="shared" si="329"/>
        <v>635.5</v>
      </c>
      <c r="S166" s="93">
        <f t="shared" si="330"/>
        <v>1418</v>
      </c>
      <c r="T166" s="93">
        <f t="shared" si="331"/>
        <v>1189.4000000000001</v>
      </c>
      <c r="U166" s="93">
        <f t="shared" si="332"/>
        <v>5390.6999999999998</v>
      </c>
      <c r="V166" s="92">
        <f t="shared" si="333"/>
        <v>8633.6000000000004</v>
      </c>
    </row>
    <row r="167" ht="15" customHeight="1" outlineLevel="1">
      <c r="A167" t="s">
        <v>404</v>
      </c>
      <c r="B167" t="s">
        <v>405</v>
      </c>
      <c r="C167" s="34" t="s">
        <v>406</v>
      </c>
      <c r="D167" s="35" t="s">
        <v>407</v>
      </c>
      <c r="E167" s="63">
        <f>SUMIF('2025 AC'!$B$3:$B$250,"*"&amp;$D167&amp;"*",'2025 AC'!C$3:C$250)</f>
        <v>0</v>
      </c>
      <c r="F167" s="53">
        <f>SUMIF('2025 AC'!$B$3:$B$250,"*"&amp;$D167&amp;"*",'2025 AC'!D$3:D$250)</f>
        <v>0</v>
      </c>
      <c r="G167" s="53">
        <f>SUMIF('2025 AC'!$B$3:$B$250,"*"&amp;$D167&amp;"*",'2025 AC'!E$3:E$250)</f>
        <v>0</v>
      </c>
      <c r="H167" s="53">
        <f>SUMIF('2025 AC'!$B$3:$B$250,"*"&amp;$D167&amp;"*",'2025 AC'!F$3:F$250)</f>
        <v>0</v>
      </c>
      <c r="I167" s="53">
        <f>SUMIF('2025 AC'!$B$3:$B$250,"*"&amp;$D167&amp;"*",'2025 AC'!G$3:G$250)</f>
        <v>0</v>
      </c>
      <c r="J167" s="53">
        <f>SUMIF('2025 AC'!$B$3:$B$250,"*"&amp;$D167&amp;"*",'2025 AC'!H$3:H$250)</f>
        <v>0</v>
      </c>
      <c r="K167" s="53">
        <f>SUMIF('2025 AC'!$B$3:$B$250,"*"&amp;$D167&amp;"*",'2025 AC'!I$3:I$250)</f>
        <v>0</v>
      </c>
      <c r="L167" s="53">
        <f>SUMIF('2025 AC'!$B$3:$B$250,"*"&amp;$D167&amp;"*",'2025 AC'!J$3:J$250)</f>
        <v>0</v>
      </c>
      <c r="M167" s="53">
        <f>SUMIF('2025 AC'!$B$3:$B$250,"*"&amp;$D167&amp;"*",'2025 AC'!K$3:K$250)</f>
        <v>0</v>
      </c>
      <c r="N167" s="53">
        <f>SUMIF('2025 AC'!$B$3:$B$250,"*"&amp;$D167&amp;"*",'2025 AC'!L$3:L$250)</f>
        <v>0</v>
      </c>
      <c r="O167" s="53">
        <f>SUMIF('2025 AC'!$B$3:$B$250,"*"&amp;$D167&amp;"*",'2025 AC'!M$3:M$250)</f>
        <v>0</v>
      </c>
      <c r="P167" s="53">
        <f>SUMIF('2025 AC'!$B$3:$B$250,"*"&amp;$D167&amp;"*",'2025 AC'!N$3:N$250)</f>
        <v>9097.7199999999993</v>
      </c>
      <c r="Q167" s="94">
        <f t="shared" si="327"/>
        <v>9097.7199999999993</v>
      </c>
      <c r="R167" s="93">
        <f t="shared" si="329"/>
        <v>0</v>
      </c>
      <c r="S167" s="93">
        <f t="shared" si="330"/>
        <v>0</v>
      </c>
      <c r="T167" s="93">
        <f t="shared" si="331"/>
        <v>0</v>
      </c>
      <c r="U167" s="93">
        <f t="shared" si="332"/>
        <v>9097.7199999999993</v>
      </c>
      <c r="V167" s="92">
        <f t="shared" si="333"/>
        <v>9097.7199999999993</v>
      </c>
    </row>
    <row r="168" ht="15" customHeight="1" outlineLevel="1">
      <c r="A168" t="s">
        <v>408</v>
      </c>
      <c r="B168" t="s">
        <v>409</v>
      </c>
      <c r="C168" s="34" t="s">
        <v>410</v>
      </c>
      <c r="D168" s="35" t="s">
        <v>411</v>
      </c>
      <c r="E168" s="63">
        <f>SUMIF('2025 AC'!$B$3:$B$250,"*"&amp;$D168&amp;"*",'2025 AC'!C$3:C$250)</f>
        <v>0</v>
      </c>
      <c r="F168" s="53">
        <f>SUMIF('2025 AC'!$B$3:$B$250,"*"&amp;$D168&amp;"*",'2025 AC'!D$3:D$250)</f>
        <v>0</v>
      </c>
      <c r="G168" s="53">
        <f>SUMIF('2025 AC'!$B$3:$B$250,"*"&amp;$D168&amp;"*",'2025 AC'!E$3:E$250)</f>
        <v>0</v>
      </c>
      <c r="H168" s="53">
        <f>SUMIF('2025 AC'!$B$3:$B$250,"*"&amp;$D168&amp;"*",'2025 AC'!F$3:F$250)</f>
        <v>0</v>
      </c>
      <c r="I168" s="53">
        <f>SUMIF('2025 AC'!$B$3:$B$250,"*"&amp;$D168&amp;"*",'2025 AC'!G$3:G$250)</f>
        <v>0</v>
      </c>
      <c r="J168" s="53">
        <f>SUMIF('2025 AC'!$B$3:$B$250,"*"&amp;$D168&amp;"*",'2025 AC'!H$3:H$250)</f>
        <v>0</v>
      </c>
      <c r="K168" s="53">
        <f>SUMIF('2025 AC'!$B$3:$B$250,"*"&amp;$D168&amp;"*",'2025 AC'!I$3:I$250)</f>
        <v>0</v>
      </c>
      <c r="L168" s="53">
        <f>SUMIF('2025 AC'!$B$3:$B$250,"*"&amp;$D168&amp;"*",'2025 AC'!J$3:J$250)</f>
        <v>0</v>
      </c>
      <c r="M168" s="53">
        <f>SUMIF('2025 AC'!$B$3:$B$250,"*"&amp;$D168&amp;"*",'2025 AC'!K$3:K$250)</f>
        <v>18242.279999999999</v>
      </c>
      <c r="N168" s="53">
        <f>SUMIF('2025 AC'!$B$3:$B$250,"*"&amp;$D168&amp;"*",'2025 AC'!L$3:L$250)</f>
        <v>0</v>
      </c>
      <c r="O168" s="53">
        <f>SUMIF('2025 AC'!$B$3:$B$250,"*"&amp;$D168&amp;"*",'2025 AC'!M$3:M$250)</f>
        <v>0</v>
      </c>
      <c r="P168" s="53">
        <f>SUMIF('2025 AC'!$B$3:$B$250,"*"&amp;$D168&amp;"*",'2025 AC'!N$3:N$250)</f>
        <v>0</v>
      </c>
      <c r="Q168" s="94">
        <f t="shared" si="327"/>
        <v>18242.279999999999</v>
      </c>
      <c r="R168" s="93">
        <f t="shared" si="329"/>
        <v>0</v>
      </c>
      <c r="S168" s="93">
        <f t="shared" si="330"/>
        <v>0</v>
      </c>
      <c r="T168" s="93">
        <f t="shared" si="331"/>
        <v>18242.279999999999</v>
      </c>
      <c r="U168" s="93">
        <f t="shared" si="332"/>
        <v>0</v>
      </c>
      <c r="V168" s="92">
        <f t="shared" si="333"/>
        <v>18242.279999999999</v>
      </c>
    </row>
    <row r="169" ht="15" customHeight="1" outlineLevel="1">
      <c r="A169" t="s">
        <v>412</v>
      </c>
      <c r="B169" t="s">
        <v>413</v>
      </c>
      <c r="C169" s="34" t="s">
        <v>414</v>
      </c>
      <c r="D169" s="35" t="s">
        <v>358</v>
      </c>
      <c r="E169" s="63">
        <f>SUMIF('2025 AC'!$B$3:$B$250,"*"&amp;$D169&amp;"*",'2025 AC'!C$3:C$250)</f>
        <v>0</v>
      </c>
      <c r="F169" s="53">
        <f>SUMIF('2025 AC'!$B$3:$B$250,"*"&amp;$D169&amp;"*",'2025 AC'!D$3:D$250)</f>
        <v>0</v>
      </c>
      <c r="G169" s="53">
        <f>SUMIF('2025 AC'!$B$3:$B$250,"*"&amp;$D169&amp;"*",'2025 AC'!E$3:E$250)</f>
        <v>0</v>
      </c>
      <c r="H169" s="53">
        <f>SUMIF('2025 AC'!$B$3:$B$250,"*"&amp;$D169&amp;"*",'2025 AC'!F$3:F$250)</f>
        <v>0</v>
      </c>
      <c r="I169" s="53">
        <f>SUMIF('2025 AC'!$B$3:$B$250,"*"&amp;$D169&amp;"*",'2025 AC'!G$3:G$250)</f>
        <v>0</v>
      </c>
      <c r="J169" s="53">
        <f>SUMIF('2025 AC'!$B$3:$B$250,"*"&amp;$D169&amp;"*",'2025 AC'!H$3:H$250)</f>
        <v>0</v>
      </c>
      <c r="K169" s="53">
        <f>SUMIF('2025 AC'!$B$3:$B$250,"*"&amp;$D169&amp;"*",'2025 AC'!I$3:I$250)</f>
        <v>0</v>
      </c>
      <c r="L169" s="53">
        <f>SUMIF('2025 AC'!$B$3:$B$250,"*"&amp;$D169&amp;"*",'2025 AC'!J$3:J$250)</f>
        <v>0</v>
      </c>
      <c r="M169" s="53">
        <f>SUMIF('2025 AC'!$B$3:$B$250,"*"&amp;$D169&amp;"*",'2025 AC'!K$3:K$250)</f>
        <v>0</v>
      </c>
      <c r="N169" s="53">
        <f>SUMIF('2025 AC'!$B$3:$B$250,"*"&amp;$D169&amp;"*",'2025 AC'!L$3:L$250)</f>
        <v>0</v>
      </c>
      <c r="O169" s="53">
        <f>SUMIF('2025 AC'!$B$3:$B$250,"*"&amp;$D169&amp;"*",'2025 AC'!M$3:M$250)</f>
        <v>0</v>
      </c>
      <c r="P169" s="53">
        <f>SUMIF('2025 AC'!$B$3:$B$250,"*"&amp;$D169&amp;"*",'2025 AC'!N$3:N$250)</f>
        <v>0</v>
      </c>
      <c r="Q169" s="94">
        <f t="shared" si="327"/>
        <v>0</v>
      </c>
      <c r="R169" s="93">
        <f t="shared" si="329"/>
        <v>0</v>
      </c>
      <c r="S169" s="93">
        <f t="shared" si="330"/>
        <v>0</v>
      </c>
      <c r="T169" s="93">
        <f t="shared" si="331"/>
        <v>0</v>
      </c>
      <c r="U169" s="93">
        <f t="shared" si="332"/>
        <v>0</v>
      </c>
      <c r="V169" s="92">
        <f t="shared" si="333"/>
        <v>0</v>
      </c>
    </row>
    <row r="170" outlineLevel="1">
      <c r="A170" t="s">
        <v>415</v>
      </c>
      <c r="B170" t="s">
        <v>416</v>
      </c>
      <c r="C170" s="34" t="s">
        <v>417</v>
      </c>
      <c r="D170" s="35" t="s">
        <v>362</v>
      </c>
      <c r="E170" s="63">
        <f>SUMIF('2025 AC'!$B$3:$B$250,"*"&amp;$D170&amp;"*",'2025 AC'!C$3:C$250)</f>
        <v>0</v>
      </c>
      <c r="F170" s="53">
        <f>SUMIF('2025 AC'!$B$3:$B$250,"*"&amp;$D170&amp;"*",'2025 AC'!D$3:D$250)</f>
        <v>0</v>
      </c>
      <c r="G170" s="53">
        <f>SUMIF('2025 AC'!$B$3:$B$250,"*"&amp;$D170&amp;"*",'2025 AC'!E$3:E$250)</f>
        <v>0</v>
      </c>
      <c r="H170" s="53">
        <f>SUMIF('2025 AC'!$B$3:$B$250,"*"&amp;$D170&amp;"*",'2025 AC'!F$3:F$250)</f>
        <v>0</v>
      </c>
      <c r="I170" s="53">
        <f>SUMIF('2025 AC'!$B$3:$B$250,"*"&amp;$D170&amp;"*",'2025 AC'!G$3:G$250)</f>
        <v>0</v>
      </c>
      <c r="J170" s="53">
        <f>SUMIF('2025 AC'!$B$3:$B$250,"*"&amp;$D170&amp;"*",'2025 AC'!H$3:H$250)</f>
        <v>0</v>
      </c>
      <c r="K170" s="53">
        <f>SUMIF('2025 AC'!$B$3:$B$250,"*"&amp;$D170&amp;"*",'2025 AC'!I$3:I$250)</f>
        <v>0</v>
      </c>
      <c r="L170" s="53">
        <f>SUMIF('2025 AC'!$B$3:$B$250,"*"&amp;$D170&amp;"*",'2025 AC'!J$3:J$250)</f>
        <v>0</v>
      </c>
      <c r="M170" s="53">
        <f>SUMIF('2025 AC'!$B$3:$B$250,"*"&amp;$D170&amp;"*",'2025 AC'!K$3:K$250)</f>
        <v>0</v>
      </c>
      <c r="N170" s="53">
        <f>SUMIF('2025 AC'!$B$3:$B$250,"*"&amp;$D170&amp;"*",'2025 AC'!L$3:L$250)</f>
        <v>0</v>
      </c>
      <c r="O170" s="53">
        <f>SUMIF('2025 AC'!$B$3:$B$250,"*"&amp;$D170&amp;"*",'2025 AC'!M$3:M$250)</f>
        <v>0</v>
      </c>
      <c r="P170" s="53">
        <f>SUMIF('2025 AC'!$B$3:$B$250,"*"&amp;$D170&amp;"*",'2025 AC'!N$3:N$250)</f>
        <v>0</v>
      </c>
      <c r="Q170" s="94">
        <f t="shared" si="327"/>
        <v>0</v>
      </c>
      <c r="R170" s="93">
        <f t="shared" si="329"/>
        <v>0</v>
      </c>
      <c r="S170" s="93">
        <f t="shared" si="330"/>
        <v>0</v>
      </c>
      <c r="T170" s="93">
        <f t="shared" si="331"/>
        <v>0</v>
      </c>
      <c r="U170" s="93">
        <f t="shared" si="332"/>
        <v>0</v>
      </c>
      <c r="V170" s="92">
        <f t="shared" si="333"/>
        <v>0</v>
      </c>
    </row>
    <row r="171" outlineLevel="1">
      <c r="A171" t="s">
        <v>418</v>
      </c>
      <c r="B171" t="s">
        <v>419</v>
      </c>
      <c r="C171" s="34" t="s">
        <v>420</v>
      </c>
      <c r="D171" s="35" t="s">
        <v>366</v>
      </c>
      <c r="E171" s="63">
        <f>SUMIF('2025 AC'!$B$3:$B$250,"*"&amp;$D171&amp;"*",'2025 AC'!C$3:C$250)</f>
        <v>72.640000000000001</v>
      </c>
      <c r="F171" s="53">
        <f>SUMIF('2025 AC'!$B$3:$B$250,"*"&amp;$D171&amp;"*",'2025 AC'!D$3:D$250)</f>
        <v>0</v>
      </c>
      <c r="G171" s="53">
        <f>SUMIF('2025 AC'!$B$3:$B$250,"*"&amp;$D171&amp;"*",'2025 AC'!E$3:E$250)</f>
        <v>0</v>
      </c>
      <c r="H171" s="53">
        <f>SUMIF('2025 AC'!$B$3:$B$250,"*"&amp;$D171&amp;"*",'2025 AC'!F$3:F$250)</f>
        <v>0</v>
      </c>
      <c r="I171" s="53">
        <f>SUMIF('2025 AC'!$B$3:$B$250,"*"&amp;$D171&amp;"*",'2025 AC'!G$3:G$250)</f>
        <v>0</v>
      </c>
      <c r="J171" s="53">
        <f>SUMIF('2025 AC'!$B$3:$B$250,"*"&amp;$D171&amp;"*",'2025 AC'!H$3:H$250)</f>
        <v>0</v>
      </c>
      <c r="K171" s="53">
        <f>SUMIF('2025 AC'!$B$3:$B$250,"*"&amp;$D171&amp;"*",'2025 AC'!I$3:I$250)</f>
        <v>0</v>
      </c>
      <c r="L171" s="53">
        <f>SUMIF('2025 AC'!$B$3:$B$250,"*"&amp;$D171&amp;"*",'2025 AC'!J$3:J$250)</f>
        <v>0</v>
      </c>
      <c r="M171" s="53">
        <f>SUMIF('2025 AC'!$B$3:$B$250,"*"&amp;$D171&amp;"*",'2025 AC'!K$3:K$250)</f>
        <v>0</v>
      </c>
      <c r="N171" s="53">
        <f>SUMIF('2025 AC'!$B$3:$B$250,"*"&amp;$D171&amp;"*",'2025 AC'!L$3:L$250)</f>
        <v>0</v>
      </c>
      <c r="O171" s="53">
        <f>SUMIF('2025 AC'!$B$3:$B$250,"*"&amp;$D171&amp;"*",'2025 AC'!M$3:M$250)</f>
        <v>0</v>
      </c>
      <c r="P171" s="53">
        <f>SUMIF('2025 AC'!$B$3:$B$250,"*"&amp;$D171&amp;"*",'2025 AC'!N$3:N$250)</f>
        <v>0</v>
      </c>
      <c r="Q171" s="94">
        <f t="shared" si="327"/>
        <v>72.640000000000001</v>
      </c>
      <c r="R171" s="93">
        <f t="shared" si="329"/>
        <v>72.640000000000001</v>
      </c>
      <c r="S171" s="93">
        <f t="shared" si="330"/>
        <v>0</v>
      </c>
      <c r="T171" s="93">
        <f t="shared" si="331"/>
        <v>0</v>
      </c>
      <c r="U171" s="93">
        <f t="shared" si="332"/>
        <v>0</v>
      </c>
      <c r="V171" s="92">
        <f t="shared" si="333"/>
        <v>72.640000000000001</v>
      </c>
    </row>
    <row r="172" outlineLevel="1">
      <c r="A172" t="s">
        <v>421</v>
      </c>
      <c r="B172" t="s">
        <v>422</v>
      </c>
      <c r="C172" s="34" t="s">
        <v>423</v>
      </c>
      <c r="D172" s="35" t="s">
        <v>370</v>
      </c>
      <c r="E172" s="63">
        <f>SUMIF('2025 AC'!$B$3:$B$250,"*"&amp;$D172&amp;"*",'2025 AC'!C$3:C$250)</f>
        <v>1747.04</v>
      </c>
      <c r="F172" s="53">
        <f>SUMIF('2025 AC'!$B$3:$B$250,"*"&amp;$D172&amp;"*",'2025 AC'!D$3:D$250)</f>
        <v>1120.6900000000001</v>
      </c>
      <c r="G172" s="53">
        <f>SUMIF('2025 AC'!$B$3:$B$250,"*"&amp;$D172&amp;"*",'2025 AC'!E$3:E$250)</f>
        <v>3096.6300000000001</v>
      </c>
      <c r="H172" s="53">
        <f>SUMIF('2025 AC'!$B$3:$B$250,"*"&amp;$D172&amp;"*",'2025 AC'!F$3:F$250)</f>
        <v>1899.28</v>
      </c>
      <c r="I172" s="53">
        <f>SUMIF('2025 AC'!$B$3:$B$250,"*"&amp;$D172&amp;"*",'2025 AC'!G$3:G$250)</f>
        <v>1230.46</v>
      </c>
      <c r="J172" s="53">
        <f>SUMIF('2025 AC'!$B$3:$B$250,"*"&amp;$D172&amp;"*",'2025 AC'!H$3:H$250)</f>
        <v>1871.0799999999999</v>
      </c>
      <c r="K172" s="53">
        <f>SUMIF('2025 AC'!$B$3:$B$250,"*"&amp;$D172&amp;"*",'2025 AC'!I$3:I$250)</f>
        <v>1257.73</v>
      </c>
      <c r="L172" s="53">
        <f>SUMIF('2025 AC'!$B$3:$B$250,"*"&amp;$D172&amp;"*",'2025 AC'!J$3:J$250)</f>
        <v>2169.3600000000001</v>
      </c>
      <c r="M172" s="53">
        <f>SUMIF('2025 AC'!$B$3:$B$250,"*"&amp;$D172&amp;"*",'2025 AC'!K$3:K$250)</f>
        <v>1762.73</v>
      </c>
      <c r="N172" s="53">
        <f>SUMIF('2025 AC'!$B$3:$B$250,"*"&amp;$D172&amp;"*",'2025 AC'!L$3:L$250)</f>
        <v>10975.709999999999</v>
      </c>
      <c r="O172" s="53">
        <f>SUMIF('2025 AC'!$B$3:$B$250,"*"&amp;$D172&amp;"*",'2025 AC'!M$3:M$250)</f>
        <v>1111.96</v>
      </c>
      <c r="P172" s="53">
        <f>SUMIF('2025 AC'!$B$3:$B$250,"*"&amp;$D172&amp;"*",'2025 AC'!N$3:N$250)</f>
        <v>3453.6100000000001</v>
      </c>
      <c r="Q172" s="94">
        <f t="shared" si="327"/>
        <v>31696.279999999999</v>
      </c>
      <c r="R172" s="93">
        <f t="shared" si="329"/>
        <v>5964.3600000000006</v>
      </c>
      <c r="S172" s="93">
        <f t="shared" si="330"/>
        <v>5000.8199999999997</v>
      </c>
      <c r="T172" s="93">
        <f t="shared" si="331"/>
        <v>5189.8199999999997</v>
      </c>
      <c r="U172" s="93">
        <f t="shared" si="332"/>
        <v>15541.279999999999</v>
      </c>
      <c r="V172" s="92">
        <f t="shared" si="333"/>
        <v>31696.279999999999</v>
      </c>
    </row>
    <row r="173" outlineLevel="1">
      <c r="A173" t="s">
        <v>424</v>
      </c>
      <c r="B173" t="s">
        <v>425</v>
      </c>
      <c r="C173" s="34" t="s">
        <v>426</v>
      </c>
      <c r="D173" s="35" t="s">
        <v>381</v>
      </c>
      <c r="E173" s="63">
        <f>SUMIF('2025 AC'!$B$3:$B$250,"*"&amp;$D173&amp;"*",'2025 AC'!C$3:C$250)</f>
        <v>5011.1999999999998</v>
      </c>
      <c r="F173" s="53">
        <f>SUMIF('2025 AC'!$B$3:$B$250,"*"&amp;$D173&amp;"*",'2025 AC'!D$3:D$250)</f>
        <v>3067.1999999999998</v>
      </c>
      <c r="G173" s="53">
        <f>SUMIF('2025 AC'!$B$3:$B$250,"*"&amp;$D173&amp;"*",'2025 AC'!E$3:E$250)</f>
        <v>3067.1999999999998</v>
      </c>
      <c r="H173" s="53">
        <f>SUMIF('2025 AC'!$B$3:$B$250,"*"&amp;$D173&amp;"*",'2025 AC'!F$3:F$250)</f>
        <v>3499.1999999999998</v>
      </c>
      <c r="I173" s="53">
        <f>SUMIF('2025 AC'!$B$3:$B$250,"*"&amp;$D173&amp;"*",'2025 AC'!G$3:G$250)</f>
        <v>3067.1999999999998</v>
      </c>
      <c r="J173" s="53">
        <f>SUMIF('2025 AC'!$B$3:$B$250,"*"&amp;$D173&amp;"*",'2025 AC'!H$3:H$250)</f>
        <v>3067.1999999999998</v>
      </c>
      <c r="K173" s="53">
        <f>SUMIF('2025 AC'!$B$3:$B$250,"*"&amp;$D173&amp;"*",'2025 AC'!I$3:I$250)</f>
        <v>3067.1999999999998</v>
      </c>
      <c r="L173" s="53">
        <f>SUMIF('2025 AC'!$B$3:$B$250,"*"&amp;$D173&amp;"*",'2025 AC'!J$3:J$250)</f>
        <v>3067.1999999999998</v>
      </c>
      <c r="M173" s="53">
        <f>SUMIF('2025 AC'!$B$3:$B$250,"*"&amp;$D173&amp;"*",'2025 AC'!K$3:K$250)</f>
        <v>3067.1999999999998</v>
      </c>
      <c r="N173" s="53">
        <f>SUMIF('2025 AC'!$B$3:$B$250,"*"&amp;$D173&amp;"*",'2025 AC'!L$3:L$250)</f>
        <v>3067.1999999999998</v>
      </c>
      <c r="O173" s="53">
        <f>SUMIF('2025 AC'!$B$3:$B$250,"*"&amp;$D173&amp;"*",'2025 AC'!M$3:M$250)</f>
        <v>2900</v>
      </c>
      <c r="P173" s="53">
        <f>SUMIF('2025 AC'!$B$3:$B$250,"*"&amp;$D173&amp;"*",'2025 AC'!N$3:N$250)</f>
        <v>2900</v>
      </c>
      <c r="Q173" s="94">
        <f t="shared" si="327"/>
        <v>38848</v>
      </c>
      <c r="R173" s="93">
        <f t="shared" si="329"/>
        <v>11145.599999999999</v>
      </c>
      <c r="S173" s="93">
        <f t="shared" si="330"/>
        <v>9633.5999999999985</v>
      </c>
      <c r="T173" s="93">
        <f t="shared" si="331"/>
        <v>9201.5999999999985</v>
      </c>
      <c r="U173" s="93">
        <f t="shared" si="332"/>
        <v>8867.2000000000007</v>
      </c>
      <c r="V173" s="92">
        <f t="shared" si="333"/>
        <v>38848</v>
      </c>
    </row>
    <row r="174" outlineLevel="1">
      <c r="A174" t="s">
        <v>427</v>
      </c>
      <c r="B174" t="s">
        <v>428</v>
      </c>
      <c r="C174" s="34" t="s">
        <v>429</v>
      </c>
      <c r="D174" s="35" t="s">
        <v>389</v>
      </c>
      <c r="E174" s="63">
        <f>SUMIF('2025 AC'!$B$3:$B$250,"*"&amp;$D174&amp;"*",'2025 AC'!C$3:C$250)</f>
        <v>0</v>
      </c>
      <c r="F174" s="53">
        <f>SUMIF('2025 AC'!$B$3:$B$250,"*"&amp;$D174&amp;"*",'2025 AC'!D$3:D$250)</f>
        <v>0</v>
      </c>
      <c r="G174" s="53">
        <f>SUMIF('2025 AC'!$B$3:$B$250,"*"&amp;$D174&amp;"*",'2025 AC'!E$3:E$250)</f>
        <v>0</v>
      </c>
      <c r="H174" s="53">
        <f>SUMIF('2025 AC'!$B$3:$B$250,"*"&amp;$D174&amp;"*",'2025 AC'!F$3:F$250)</f>
        <v>140</v>
      </c>
      <c r="I174" s="53">
        <f>SUMIF('2025 AC'!$B$3:$B$250,"*"&amp;$D174&amp;"*",'2025 AC'!G$3:G$250)</f>
        <v>0</v>
      </c>
      <c r="J174" s="53">
        <f>SUMIF('2025 AC'!$B$3:$B$250,"*"&amp;$D174&amp;"*",'2025 AC'!H$3:H$250)</f>
        <v>550</v>
      </c>
      <c r="K174" s="53">
        <f>SUMIF('2025 AC'!$B$3:$B$250,"*"&amp;$D174&amp;"*",'2025 AC'!I$3:I$250)</f>
        <v>0</v>
      </c>
      <c r="L174" s="53">
        <f>SUMIF('2025 AC'!$B$3:$B$250,"*"&amp;$D174&amp;"*",'2025 AC'!J$3:J$250)</f>
        <v>0</v>
      </c>
      <c r="M174" s="53">
        <f>SUMIF('2025 AC'!$B$3:$B$250,"*"&amp;$D174&amp;"*",'2025 AC'!K$3:K$250)</f>
        <v>0</v>
      </c>
      <c r="N174" s="53">
        <f>SUMIF('2025 AC'!$B$3:$B$250,"*"&amp;$D174&amp;"*",'2025 AC'!L$3:L$250)</f>
        <v>2896</v>
      </c>
      <c r="O174" s="53">
        <f>SUMIF('2025 AC'!$B$3:$B$250,"*"&amp;$D174&amp;"*",'2025 AC'!M$3:M$250)</f>
        <v>0</v>
      </c>
      <c r="P174" s="53">
        <f>SUMIF('2025 AC'!$B$3:$B$250,"*"&amp;$D174&amp;"*",'2025 AC'!N$3:N$250)</f>
        <v>3780</v>
      </c>
      <c r="Q174" s="94">
        <f t="shared" si="327"/>
        <v>7366</v>
      </c>
      <c r="R174" s="93">
        <f t="shared" si="329"/>
        <v>0</v>
      </c>
      <c r="S174" s="93">
        <f t="shared" si="330"/>
        <v>690</v>
      </c>
      <c r="T174" s="93">
        <f t="shared" si="331"/>
        <v>0</v>
      </c>
      <c r="U174" s="93">
        <f t="shared" si="332"/>
        <v>6676</v>
      </c>
      <c r="V174" s="92">
        <f t="shared" si="333"/>
        <v>7366</v>
      </c>
    </row>
    <row r="175" ht="15" customHeight="1" outlineLevel="1">
      <c r="A175" t="s">
        <v>430</v>
      </c>
      <c r="B175" t="s">
        <v>431</v>
      </c>
      <c r="C175" s="34" t="s">
        <v>432</v>
      </c>
      <c r="D175" s="35" t="s">
        <v>393</v>
      </c>
      <c r="E175" s="63">
        <f>SUMIF('2025 AC'!$B$3:$B$250,"*"&amp;$D175&amp;"*",'2025 AC'!C$3:C$250)</f>
        <v>6156</v>
      </c>
      <c r="F175" s="53">
        <f>SUMIF('2025 AC'!$B$3:$B$250,"*"&amp;$D175&amp;"*",'2025 AC'!D$3:D$250)</f>
        <v>6156</v>
      </c>
      <c r="G175" s="53">
        <f>SUMIF('2025 AC'!$B$3:$B$250,"*"&amp;$D175&amp;"*",'2025 AC'!E$3:E$250)</f>
        <v>6156</v>
      </c>
      <c r="H175" s="53">
        <f>SUMIF('2025 AC'!$B$3:$B$250,"*"&amp;$D175&amp;"*",'2025 AC'!F$3:F$250)</f>
        <v>6156</v>
      </c>
      <c r="I175" s="53">
        <f>SUMIF('2025 AC'!$B$3:$B$250,"*"&amp;$D175&amp;"*",'2025 AC'!G$3:G$250)</f>
        <v>6156</v>
      </c>
      <c r="J175" s="53">
        <f>SUMIF('2025 AC'!$B$3:$B$250,"*"&amp;$D175&amp;"*",'2025 AC'!H$3:H$250)</f>
        <v>6156</v>
      </c>
      <c r="K175" s="53">
        <f>SUMIF('2025 AC'!$B$3:$B$250,"*"&amp;$D175&amp;"*",'2025 AC'!I$3:I$250)</f>
        <v>7456</v>
      </c>
      <c r="L175" s="53">
        <f>SUMIF('2025 AC'!$B$3:$B$250,"*"&amp;$D175&amp;"*",'2025 AC'!J$3:J$250)</f>
        <v>6156</v>
      </c>
      <c r="M175" s="53">
        <f>SUMIF('2025 AC'!$B$3:$B$250,"*"&amp;$D175&amp;"*",'2025 AC'!K$3:K$250)</f>
        <v>6156</v>
      </c>
      <c r="N175" s="53">
        <f>SUMIF('2025 AC'!$B$3:$B$250,"*"&amp;$D175&amp;"*",'2025 AC'!L$3:L$250)</f>
        <v>6156</v>
      </c>
      <c r="O175" s="53">
        <f>SUMIF('2025 AC'!$B$3:$B$250,"*"&amp;$D175&amp;"*",'2025 AC'!M$3:M$250)</f>
        <v>6781</v>
      </c>
      <c r="P175" s="53">
        <f>SUMIF('2025 AC'!$B$3:$B$250,"*"&amp;$D175&amp;"*",'2025 AC'!N$3:N$250)</f>
        <v>20980.919999999998</v>
      </c>
      <c r="Q175" s="94">
        <f t="shared" si="327"/>
        <v>90621.919999999998</v>
      </c>
      <c r="R175" s="93">
        <f t="shared" si="329"/>
        <v>18468</v>
      </c>
      <c r="S175" s="93">
        <f t="shared" si="330"/>
        <v>18468</v>
      </c>
      <c r="T175" s="93">
        <f t="shared" si="331"/>
        <v>19768</v>
      </c>
      <c r="U175" s="93">
        <f t="shared" si="332"/>
        <v>33917.919999999998</v>
      </c>
      <c r="V175" s="92">
        <f t="shared" si="333"/>
        <v>90621.919999999998</v>
      </c>
    </row>
    <row r="176" ht="15" customHeight="1" outlineLevel="1">
      <c r="A176" t="s">
        <v>433</v>
      </c>
      <c r="B176" t="s">
        <v>434</v>
      </c>
      <c r="C176" s="34" t="s">
        <v>435</v>
      </c>
      <c r="D176" s="35" t="s">
        <v>397</v>
      </c>
      <c r="E176" s="63">
        <f>SUMIF('2025 AC'!$B$3:$B$250,"*"&amp;$D176&amp;"*",'2025 AC'!C$3:C$250)</f>
        <v>0</v>
      </c>
      <c r="F176" s="53">
        <f>SUMIF('2025 AC'!$B$3:$B$250,"*"&amp;$D176&amp;"*",'2025 AC'!D$3:D$250)</f>
        <v>0</v>
      </c>
      <c r="G176" s="53">
        <f>SUMIF('2025 AC'!$B$3:$B$250,"*"&amp;$D176&amp;"*",'2025 AC'!E$3:E$250)</f>
        <v>0</v>
      </c>
      <c r="H176" s="53">
        <f>SUMIF('2025 AC'!$B$3:$B$250,"*"&amp;$D176&amp;"*",'2025 AC'!F$3:F$250)</f>
        <v>0</v>
      </c>
      <c r="I176" s="53">
        <f>SUMIF('2025 AC'!$B$3:$B$250,"*"&amp;$D176&amp;"*",'2025 AC'!G$3:G$250)</f>
        <v>0</v>
      </c>
      <c r="J176" s="53">
        <f>SUMIF('2025 AC'!$B$3:$B$250,"*"&amp;$D176&amp;"*",'2025 AC'!H$3:H$250)</f>
        <v>0</v>
      </c>
      <c r="K176" s="53">
        <f>SUMIF('2025 AC'!$B$3:$B$250,"*"&amp;$D176&amp;"*",'2025 AC'!I$3:I$250)</f>
        <v>0</v>
      </c>
      <c r="L176" s="53">
        <f>SUMIF('2025 AC'!$B$3:$B$250,"*"&amp;$D176&amp;"*",'2025 AC'!J$3:J$250)</f>
        <v>0</v>
      </c>
      <c r="M176" s="53">
        <f>SUMIF('2025 AC'!$B$3:$B$250,"*"&amp;$D176&amp;"*",'2025 AC'!K$3:K$250)</f>
        <v>0</v>
      </c>
      <c r="N176" s="53">
        <f>SUMIF('2025 AC'!$B$3:$B$250,"*"&amp;$D176&amp;"*",'2025 AC'!L$3:L$250)</f>
        <v>0</v>
      </c>
      <c r="O176" s="53">
        <f>SUMIF('2025 AC'!$B$3:$B$250,"*"&amp;$D176&amp;"*",'2025 AC'!M$3:M$250)</f>
        <v>0</v>
      </c>
      <c r="P176" s="53">
        <f>SUMIF('2025 AC'!$B$3:$B$250,"*"&amp;$D176&amp;"*",'2025 AC'!N$3:N$250)</f>
        <v>0</v>
      </c>
      <c r="Q176" s="94">
        <f t="shared" si="327"/>
        <v>0</v>
      </c>
      <c r="R176" s="93">
        <f t="shared" si="329"/>
        <v>0</v>
      </c>
      <c r="S176" s="93">
        <f t="shared" si="330"/>
        <v>0</v>
      </c>
      <c r="T176" s="93">
        <f t="shared" si="331"/>
        <v>0</v>
      </c>
      <c r="U176" s="93">
        <f t="shared" si="332"/>
        <v>0</v>
      </c>
      <c r="V176" s="92">
        <f t="shared" si="333"/>
        <v>0</v>
      </c>
    </row>
    <row r="177" outlineLevel="1">
      <c r="A177" t="s">
        <v>436</v>
      </c>
      <c r="B177" t="s">
        <v>437</v>
      </c>
      <c r="C177" s="34" t="s">
        <v>438</v>
      </c>
      <c r="D177" s="35" t="s">
        <v>401</v>
      </c>
      <c r="E177" s="63">
        <f>SUMIF('2025 AC'!$B$3:$B$250,"*"&amp;$D177&amp;"*",'2025 AC'!C$3:C$250)</f>
        <v>1519.1900000000001</v>
      </c>
      <c r="F177" s="53">
        <f>SUMIF('2025 AC'!$B$3:$B$250,"*"&amp;$D177&amp;"*",'2025 AC'!D$3:D$250)</f>
        <v>5917.8500000000004</v>
      </c>
      <c r="G177" s="53">
        <f>SUMIF('2025 AC'!$B$3:$B$250,"*"&amp;$D177&amp;"*",'2025 AC'!E$3:E$250)</f>
        <v>9508.6100000000006</v>
      </c>
      <c r="H177" s="53">
        <f>SUMIF('2025 AC'!$B$3:$B$250,"*"&amp;$D177&amp;"*",'2025 AC'!F$3:F$250)</f>
        <v>2573.6500000000001</v>
      </c>
      <c r="I177" s="53">
        <f>SUMIF('2025 AC'!$B$3:$B$250,"*"&amp;$D177&amp;"*",'2025 AC'!G$3:G$250)</f>
        <v>31873.32</v>
      </c>
      <c r="J177" s="53">
        <f>SUMIF('2025 AC'!$B$3:$B$250,"*"&amp;$D177&amp;"*",'2025 AC'!H$3:H$250)</f>
        <v>3602.3099999999999</v>
      </c>
      <c r="K177" s="53">
        <f>SUMIF('2025 AC'!$B$3:$B$250,"*"&amp;$D177&amp;"*",'2025 AC'!I$3:I$250)</f>
        <v>47105.550000000003</v>
      </c>
      <c r="L177" s="53">
        <f>SUMIF('2025 AC'!$B$3:$B$250,"*"&amp;$D177&amp;"*",'2025 AC'!J$3:J$250)</f>
        <v>3452.5999999999999</v>
      </c>
      <c r="M177" s="53">
        <f>SUMIF('2025 AC'!$B$3:$B$250,"*"&amp;$D177&amp;"*",'2025 AC'!K$3:K$250)</f>
        <v>9099</v>
      </c>
      <c r="N177" s="53">
        <f>SUMIF('2025 AC'!$B$3:$B$250,"*"&amp;$D177&amp;"*",'2025 AC'!L$3:L$250)</f>
        <v>9099</v>
      </c>
      <c r="O177" s="53">
        <f>SUMIF('2025 AC'!$B$3:$B$250,"*"&amp;$D177&amp;"*",'2025 AC'!M$3:M$250)</f>
        <v>4171.8500000000004</v>
      </c>
      <c r="P177" s="53">
        <f>SUMIF('2025 AC'!$B$3:$B$250,"*"&amp;$D177&amp;"*",'2025 AC'!N$3:N$250)</f>
        <v>20631.450000000001</v>
      </c>
      <c r="Q177" s="94">
        <f t="shared" si="327"/>
        <v>148554.38000000003</v>
      </c>
      <c r="R177" s="93">
        <f t="shared" si="329"/>
        <v>16945.650000000001</v>
      </c>
      <c r="S177" s="93">
        <f t="shared" si="330"/>
        <v>38049.279999999999</v>
      </c>
      <c r="T177" s="93">
        <f t="shared" si="331"/>
        <v>59657.150000000001</v>
      </c>
      <c r="U177" s="93">
        <f t="shared" si="332"/>
        <v>33902.300000000003</v>
      </c>
      <c r="V177" s="92">
        <f t="shared" si="333"/>
        <v>148554.38</v>
      </c>
    </row>
    <row r="178" ht="15" customHeight="1" outlineLevel="1">
      <c r="A178" t="s">
        <v>439</v>
      </c>
      <c r="B178" t="s">
        <v>440</v>
      </c>
      <c r="C178" s="34" t="s">
        <v>441</v>
      </c>
      <c r="D178" s="35" t="s">
        <v>442</v>
      </c>
      <c r="E178" s="63">
        <f>SUMIF('2025 AC'!$B$3:$B$250,"*"&amp;$D178&amp;"*",'2025 AC'!C$3:C$250)</f>
        <v>0</v>
      </c>
      <c r="F178" s="53">
        <f>SUMIF('2025 AC'!$B$3:$B$250,"*"&amp;$D178&amp;"*",'2025 AC'!D$3:D$250)</f>
        <v>1125</v>
      </c>
      <c r="G178" s="53">
        <f>SUMIF('2025 AC'!$B$3:$B$250,"*"&amp;$D178&amp;"*",'2025 AC'!E$3:E$250)</f>
        <v>285</v>
      </c>
      <c r="H178" s="53">
        <f>SUMIF('2025 AC'!$B$3:$B$250,"*"&amp;$D178&amp;"*",'2025 AC'!F$3:F$250)</f>
        <v>1350</v>
      </c>
      <c r="I178" s="53">
        <f>SUMIF('2025 AC'!$B$3:$B$250,"*"&amp;$D178&amp;"*",'2025 AC'!G$3:G$250)</f>
        <v>0</v>
      </c>
      <c r="J178" s="53">
        <f>SUMIF('2025 AC'!$B$3:$B$250,"*"&amp;$D178&amp;"*",'2025 AC'!H$3:H$250)</f>
        <v>0</v>
      </c>
      <c r="K178" s="53">
        <f>SUMIF('2025 AC'!$B$3:$B$250,"*"&amp;$D178&amp;"*",'2025 AC'!I$3:I$250)</f>
        <v>0</v>
      </c>
      <c r="L178" s="53">
        <f>SUMIF('2025 AC'!$B$3:$B$250,"*"&amp;$D178&amp;"*",'2025 AC'!J$3:J$250)</f>
        <v>0</v>
      </c>
      <c r="M178" s="53">
        <f>SUMIF('2025 AC'!$B$3:$B$250,"*"&amp;$D178&amp;"*",'2025 AC'!K$3:K$250)</f>
        <v>0</v>
      </c>
      <c r="N178" s="53">
        <f>SUMIF('2025 AC'!$B$3:$B$250,"*"&amp;$D178&amp;"*",'2025 AC'!L$3:L$250)</f>
        <v>0</v>
      </c>
      <c r="O178" s="53">
        <f>SUMIF('2025 AC'!$B$3:$B$250,"*"&amp;$D178&amp;"*",'2025 AC'!M$3:M$250)</f>
        <v>940</v>
      </c>
      <c r="P178" s="53">
        <f>SUMIF('2025 AC'!$B$3:$B$250,"*"&amp;$D178&amp;"*",'2025 AC'!N$3:N$250)</f>
        <v>0</v>
      </c>
      <c r="Q178" s="94">
        <f t="shared" ref="Q178:Q228" si="334">SUM(E178:P178)</f>
        <v>3700</v>
      </c>
      <c r="R178" s="93">
        <f t="shared" si="329"/>
        <v>1410</v>
      </c>
      <c r="S178" s="93">
        <f t="shared" si="330"/>
        <v>1350</v>
      </c>
      <c r="T178" s="93">
        <f t="shared" si="331"/>
        <v>0</v>
      </c>
      <c r="U178" s="93">
        <f t="shared" si="332"/>
        <v>940</v>
      </c>
      <c r="V178" s="92">
        <f t="shared" si="333"/>
        <v>3700</v>
      </c>
    </row>
    <row r="179" ht="15" customHeight="1" outlineLevel="1">
      <c r="A179" t="s">
        <v>443</v>
      </c>
      <c r="B179" t="s">
        <v>444</v>
      </c>
      <c r="C179" s="34" t="s">
        <v>445</v>
      </c>
      <c r="D179" s="35" t="s">
        <v>409</v>
      </c>
      <c r="E179" s="63">
        <f>SUMIF('2025 AC'!$B$3:$B$250,"*"&amp;$D179&amp;"*",'2025 AC'!C$3:C$250)</f>
        <v>3504.5999999999999</v>
      </c>
      <c r="F179" s="53">
        <f>SUMIF('2025 AC'!$B$3:$B$250,"*"&amp;$D179&amp;"*",'2025 AC'!D$3:D$250)</f>
        <v>3504.5999999999999</v>
      </c>
      <c r="G179" s="53">
        <f>SUMIF('2025 AC'!$B$3:$B$250,"*"&amp;$D179&amp;"*",'2025 AC'!E$3:E$250)</f>
        <v>3504.5999999999999</v>
      </c>
      <c r="H179" s="53">
        <f>SUMIF('2025 AC'!$B$3:$B$250,"*"&amp;$D179&amp;"*",'2025 AC'!F$3:F$250)</f>
        <v>3504.5999999999999</v>
      </c>
      <c r="I179" s="53">
        <f>SUMIF('2025 AC'!$B$3:$B$250,"*"&amp;$D179&amp;"*",'2025 AC'!G$3:G$250)</f>
        <v>3504.5999999999999</v>
      </c>
      <c r="J179" s="53">
        <f>SUMIF('2025 AC'!$B$3:$B$250,"*"&amp;$D179&amp;"*",'2025 AC'!H$3:H$250)</f>
        <v>3504.5999999999999</v>
      </c>
      <c r="K179" s="53">
        <f>SUMIF('2025 AC'!$B$3:$B$250,"*"&amp;$D179&amp;"*",'2025 AC'!I$3:I$250)</f>
        <v>4800.6000000000004</v>
      </c>
      <c r="L179" s="53">
        <f>SUMIF('2025 AC'!$B$3:$B$250,"*"&amp;$D179&amp;"*",'2025 AC'!J$3:J$250)</f>
        <v>3504.5999999999999</v>
      </c>
      <c r="M179" s="53">
        <f>SUMIF('2025 AC'!$B$3:$B$250,"*"&amp;$D179&amp;"*",'2025 AC'!K$3:K$250)</f>
        <v>3504.5999999999999</v>
      </c>
      <c r="N179" s="53">
        <f>SUMIF('2025 AC'!$B$3:$B$250,"*"&amp;$D179&amp;"*",'2025 AC'!L$3:L$250)</f>
        <v>3504.5999999999999</v>
      </c>
      <c r="O179" s="53">
        <f>SUMIF('2025 AC'!$B$3:$B$250,"*"&amp;$D179&amp;"*",'2025 AC'!M$3:M$250)</f>
        <v>4746.1999999999998</v>
      </c>
      <c r="P179" s="53">
        <f>SUMIF('2025 AC'!$B$3:$B$250,"*"&amp;$D179&amp;"*",'2025 AC'!N$3:N$250)</f>
        <v>3504.5999999999999</v>
      </c>
      <c r="Q179" s="94">
        <f t="shared" si="334"/>
        <v>44592.799999999988</v>
      </c>
      <c r="R179" s="93">
        <f t="shared" si="329"/>
        <v>10513.799999999999</v>
      </c>
      <c r="S179" s="93">
        <f t="shared" si="330"/>
        <v>10513.799999999999</v>
      </c>
      <c r="T179" s="93">
        <f t="shared" si="331"/>
        <v>11809.800000000001</v>
      </c>
      <c r="U179" s="93">
        <f t="shared" si="332"/>
        <v>11755.4</v>
      </c>
      <c r="V179" s="92">
        <f t="shared" si="333"/>
        <v>44592.800000000003</v>
      </c>
    </row>
    <row r="180" ht="15" customHeight="1" outlineLevel="1">
      <c r="A180" t="s">
        <v>446</v>
      </c>
      <c r="B180" t="s">
        <v>447</v>
      </c>
      <c r="C180" s="34" t="s">
        <v>448</v>
      </c>
      <c r="D180" s="35" t="s">
        <v>413</v>
      </c>
      <c r="E180" s="63">
        <f>SUMIF('2025 AC'!$B$3:$B$250,"*"&amp;$D180&amp;"*",'2025 AC'!C$3:C$250)</f>
        <v>260</v>
      </c>
      <c r="F180" s="53">
        <f>SUMIF('2025 AC'!$B$3:$B$250,"*"&amp;$D180&amp;"*",'2025 AC'!D$3:D$250)</f>
        <v>0</v>
      </c>
      <c r="G180" s="53">
        <f>SUMIF('2025 AC'!$B$3:$B$250,"*"&amp;$D180&amp;"*",'2025 AC'!E$3:E$250)</f>
        <v>0</v>
      </c>
      <c r="H180" s="53">
        <f>SUMIF('2025 AC'!$B$3:$B$250,"*"&amp;$D180&amp;"*",'2025 AC'!F$3:F$250)</f>
        <v>0</v>
      </c>
      <c r="I180" s="53">
        <f>SUMIF('2025 AC'!$B$3:$B$250,"*"&amp;$D180&amp;"*",'2025 AC'!G$3:G$250)</f>
        <v>942</v>
      </c>
      <c r="J180" s="53">
        <f>SUMIF('2025 AC'!$B$3:$B$250,"*"&amp;$D180&amp;"*",'2025 AC'!H$3:H$250)</f>
        <v>0</v>
      </c>
      <c r="K180" s="53">
        <f>SUMIF('2025 AC'!$B$3:$B$250,"*"&amp;$D180&amp;"*",'2025 AC'!I$3:I$250)</f>
        <v>260</v>
      </c>
      <c r="L180" s="53">
        <f>SUMIF('2025 AC'!$B$3:$B$250,"*"&amp;$D180&amp;"*",'2025 AC'!J$3:J$250)</f>
        <v>260</v>
      </c>
      <c r="M180" s="53">
        <f>SUMIF('2025 AC'!$B$3:$B$250,"*"&amp;$D180&amp;"*",'2025 AC'!K$3:K$250)</f>
        <v>260</v>
      </c>
      <c r="N180" s="53">
        <f>SUMIF('2025 AC'!$B$3:$B$250,"*"&amp;$D180&amp;"*",'2025 AC'!L$3:L$250)</f>
        <v>1730</v>
      </c>
      <c r="O180" s="53">
        <f>SUMIF('2025 AC'!$B$3:$B$250,"*"&amp;$D180&amp;"*",'2025 AC'!M$3:M$250)</f>
        <v>260</v>
      </c>
      <c r="P180" s="53">
        <f>SUMIF('2025 AC'!$B$3:$B$250,"*"&amp;$D180&amp;"*",'2025 AC'!N$3:N$250)</f>
        <v>260</v>
      </c>
      <c r="Q180" s="94">
        <f t="shared" si="334"/>
        <v>4232</v>
      </c>
      <c r="R180" s="93">
        <f t="shared" si="329"/>
        <v>260</v>
      </c>
      <c r="S180" s="93">
        <f t="shared" si="330"/>
        <v>942</v>
      </c>
      <c r="T180" s="93">
        <f t="shared" si="331"/>
        <v>780</v>
      </c>
      <c r="U180" s="93">
        <f t="shared" si="332"/>
        <v>2250</v>
      </c>
      <c r="V180" s="92">
        <f t="shared" si="333"/>
        <v>4232</v>
      </c>
    </row>
    <row r="181" ht="15" customHeight="1" outlineLevel="1">
      <c r="A181" t="s">
        <v>449</v>
      </c>
      <c r="B181" t="s">
        <v>450</v>
      </c>
      <c r="C181" s="34" t="s">
        <v>451</v>
      </c>
      <c r="D181" s="35" t="s">
        <v>416</v>
      </c>
      <c r="E181" s="63">
        <f>SUMIF('2025 AC'!$B$3:$B$250,"*"&amp;$D181&amp;"*",'2025 AC'!C$3:C$250)</f>
        <v>0</v>
      </c>
      <c r="F181" s="53">
        <f>SUMIF('2025 AC'!$B$3:$B$250,"*"&amp;$D181&amp;"*",'2025 AC'!D$3:D$250)</f>
        <v>0</v>
      </c>
      <c r="G181" s="53">
        <f>SUMIF('2025 AC'!$B$3:$B$250,"*"&amp;$D181&amp;"*",'2025 AC'!E$3:E$250)</f>
        <v>0</v>
      </c>
      <c r="H181" s="53">
        <f>SUMIF('2025 AC'!$B$3:$B$250,"*"&amp;$D181&amp;"*",'2025 AC'!F$3:F$250)</f>
        <v>0</v>
      </c>
      <c r="I181" s="53">
        <f>SUMIF('2025 AC'!$B$3:$B$250,"*"&amp;$D181&amp;"*",'2025 AC'!G$3:G$250)</f>
        <v>0</v>
      </c>
      <c r="J181" s="53">
        <f>SUMIF('2025 AC'!$B$3:$B$250,"*"&amp;$D181&amp;"*",'2025 AC'!H$3:H$250)</f>
        <v>0</v>
      </c>
      <c r="K181" s="53">
        <f>SUMIF('2025 AC'!$B$3:$B$250,"*"&amp;$D181&amp;"*",'2025 AC'!I$3:I$250)</f>
        <v>0</v>
      </c>
      <c r="L181" s="53">
        <f>SUMIF('2025 AC'!$B$3:$B$250,"*"&amp;$D181&amp;"*",'2025 AC'!J$3:J$250)</f>
        <v>0</v>
      </c>
      <c r="M181" s="53">
        <f>SUMIF('2025 AC'!$B$3:$B$250,"*"&amp;$D181&amp;"*",'2025 AC'!K$3:K$250)</f>
        <v>0</v>
      </c>
      <c r="N181" s="53">
        <f>SUMIF('2025 AC'!$B$3:$B$250,"*"&amp;$D181&amp;"*",'2025 AC'!L$3:L$250)</f>
        <v>0</v>
      </c>
      <c r="O181" s="53">
        <f>SUMIF('2025 AC'!$B$3:$B$250,"*"&amp;$D181&amp;"*",'2025 AC'!M$3:M$250)</f>
        <v>0</v>
      </c>
      <c r="P181" s="53">
        <f>SUMIF('2025 AC'!$B$3:$B$250,"*"&amp;$D181&amp;"*",'2025 AC'!N$3:N$250)</f>
        <v>0</v>
      </c>
      <c r="Q181" s="94">
        <f t="shared" si="334"/>
        <v>0</v>
      </c>
      <c r="R181" s="93">
        <f t="shared" si="329"/>
        <v>0</v>
      </c>
      <c r="S181" s="93">
        <f t="shared" si="330"/>
        <v>0</v>
      </c>
      <c r="T181" s="93">
        <f t="shared" si="331"/>
        <v>0</v>
      </c>
      <c r="U181" s="93">
        <f t="shared" si="332"/>
        <v>0</v>
      </c>
      <c r="V181" s="92">
        <f t="shared" si="333"/>
        <v>0</v>
      </c>
    </row>
    <row r="182" ht="15" customHeight="1" outlineLevel="1">
      <c r="A182" t="s">
        <v>452</v>
      </c>
      <c r="B182" t="s">
        <v>453</v>
      </c>
      <c r="C182" s="34" t="s">
        <v>454</v>
      </c>
      <c r="D182" s="35" t="s">
        <v>419</v>
      </c>
      <c r="E182" s="63">
        <f>SUMIF('2025 AC'!$B$3:$B$250,"*"&amp;$D182&amp;"*",'2025 AC'!C$3:C$250)</f>
        <v>0</v>
      </c>
      <c r="F182" s="53">
        <f>SUMIF('2025 AC'!$B$3:$B$250,"*"&amp;$D182&amp;"*",'2025 AC'!D$3:D$250)</f>
        <v>0</v>
      </c>
      <c r="G182" s="53">
        <f>SUMIF('2025 AC'!$B$3:$B$250,"*"&amp;$D182&amp;"*",'2025 AC'!E$3:E$250)</f>
        <v>0</v>
      </c>
      <c r="H182" s="53">
        <f>SUMIF('2025 AC'!$B$3:$B$250,"*"&amp;$D182&amp;"*",'2025 AC'!F$3:F$250)</f>
        <v>0</v>
      </c>
      <c r="I182" s="53">
        <f>SUMIF('2025 AC'!$B$3:$B$250,"*"&amp;$D182&amp;"*",'2025 AC'!G$3:G$250)</f>
        <v>0</v>
      </c>
      <c r="J182" s="53">
        <f>SUMIF('2025 AC'!$B$3:$B$250,"*"&amp;$D182&amp;"*",'2025 AC'!H$3:H$250)</f>
        <v>0</v>
      </c>
      <c r="K182" s="53">
        <f>SUMIF('2025 AC'!$B$3:$B$250,"*"&amp;$D182&amp;"*",'2025 AC'!I$3:I$250)</f>
        <v>0</v>
      </c>
      <c r="L182" s="53">
        <f>SUMIF('2025 AC'!$B$3:$B$250,"*"&amp;$D182&amp;"*",'2025 AC'!J$3:J$250)</f>
        <v>0</v>
      </c>
      <c r="M182" s="53">
        <f>SUMIF('2025 AC'!$B$3:$B$250,"*"&amp;$D182&amp;"*",'2025 AC'!K$3:K$250)</f>
        <v>0</v>
      </c>
      <c r="N182" s="53">
        <f>SUMIF('2025 AC'!$B$3:$B$250,"*"&amp;$D182&amp;"*",'2025 AC'!L$3:L$250)</f>
        <v>0</v>
      </c>
      <c r="O182" s="53">
        <f>SUMIF('2025 AC'!$B$3:$B$250,"*"&amp;$D182&amp;"*",'2025 AC'!M$3:M$250)</f>
        <v>0</v>
      </c>
      <c r="P182" s="53">
        <f>SUMIF('2025 AC'!$B$3:$B$250,"*"&amp;$D182&amp;"*",'2025 AC'!N$3:N$250)</f>
        <v>0</v>
      </c>
      <c r="Q182" s="94">
        <f t="shared" si="334"/>
        <v>0</v>
      </c>
      <c r="R182" s="93">
        <f t="shared" si="329"/>
        <v>0</v>
      </c>
      <c r="S182" s="93">
        <f t="shared" si="330"/>
        <v>0</v>
      </c>
      <c r="T182" s="93">
        <f t="shared" si="331"/>
        <v>0</v>
      </c>
      <c r="U182" s="93">
        <f t="shared" si="332"/>
        <v>0</v>
      </c>
      <c r="V182" s="92">
        <f t="shared" si="333"/>
        <v>0</v>
      </c>
    </row>
    <row r="183" ht="15" customHeight="1" outlineLevel="1">
      <c r="A183" t="s">
        <v>455</v>
      </c>
      <c r="B183" t="s">
        <v>456</v>
      </c>
      <c r="C183" s="34" t="s">
        <v>457</v>
      </c>
      <c r="D183" s="35" t="s">
        <v>422</v>
      </c>
      <c r="E183" s="63">
        <f>SUMIF('2025 AC'!$B$3:$B$250,"*"&amp;$D183&amp;"*",'2025 AC'!C$3:C$250)</f>
        <v>3130</v>
      </c>
      <c r="F183" s="53">
        <f>SUMIF('2025 AC'!$B$3:$B$250,"*"&amp;$D183&amp;"*",'2025 AC'!D$3:D$250)</f>
        <v>0</v>
      </c>
      <c r="G183" s="53">
        <f>SUMIF('2025 AC'!$B$3:$B$250,"*"&amp;$D183&amp;"*",'2025 AC'!E$3:E$250)</f>
        <v>0</v>
      </c>
      <c r="H183" s="53">
        <f>SUMIF('2025 AC'!$B$3:$B$250,"*"&amp;$D183&amp;"*",'2025 AC'!F$3:F$250)</f>
        <v>1609</v>
      </c>
      <c r="I183" s="53">
        <f>SUMIF('2025 AC'!$B$3:$B$250,"*"&amp;$D183&amp;"*",'2025 AC'!G$3:G$250)</f>
        <v>1820</v>
      </c>
      <c r="J183" s="53">
        <f>SUMIF('2025 AC'!$B$3:$B$250,"*"&amp;$D183&amp;"*",'2025 AC'!H$3:H$250)</f>
        <v>0</v>
      </c>
      <c r="K183" s="53">
        <f>SUMIF('2025 AC'!$B$3:$B$250,"*"&amp;$D183&amp;"*",'2025 AC'!I$3:I$250)</f>
        <v>0</v>
      </c>
      <c r="L183" s="53">
        <f>SUMIF('2025 AC'!$B$3:$B$250,"*"&amp;$D183&amp;"*",'2025 AC'!J$3:J$250)</f>
        <v>0</v>
      </c>
      <c r="M183" s="53">
        <f>SUMIF('2025 AC'!$B$3:$B$250,"*"&amp;$D183&amp;"*",'2025 AC'!K$3:K$250)</f>
        <v>50</v>
      </c>
      <c r="N183" s="53">
        <f>SUMIF('2025 AC'!$B$3:$B$250,"*"&amp;$D183&amp;"*",'2025 AC'!L$3:L$250)</f>
        <v>0</v>
      </c>
      <c r="O183" s="53">
        <f>SUMIF('2025 AC'!$B$3:$B$250,"*"&amp;$D183&amp;"*",'2025 AC'!M$3:M$250)</f>
        <v>0</v>
      </c>
      <c r="P183" s="53">
        <f>SUMIF('2025 AC'!$B$3:$B$250,"*"&amp;$D183&amp;"*",'2025 AC'!N$3:N$250)</f>
        <v>0</v>
      </c>
      <c r="Q183" s="94">
        <f t="shared" si="334"/>
        <v>6609</v>
      </c>
      <c r="R183" s="93">
        <f t="shared" si="329"/>
        <v>3130</v>
      </c>
      <c r="S183" s="93">
        <f t="shared" si="330"/>
        <v>3429</v>
      </c>
      <c r="T183" s="93">
        <f t="shared" si="331"/>
        <v>50</v>
      </c>
      <c r="U183" s="93">
        <f t="shared" si="332"/>
        <v>0</v>
      </c>
      <c r="V183" s="92">
        <f t="shared" si="333"/>
        <v>6609</v>
      </c>
    </row>
    <row r="184" ht="15" customHeight="1" outlineLevel="1">
      <c r="A184" t="s">
        <v>458</v>
      </c>
      <c r="B184" t="s">
        <v>459</v>
      </c>
      <c r="C184" s="34" t="s">
        <v>460</v>
      </c>
      <c r="D184" s="35" t="s">
        <v>461</v>
      </c>
      <c r="E184" s="63">
        <f>SUMIF('2025 AC'!$B$3:$B$250,"*"&amp;$D184&amp;"*",'2025 AC'!C$3:C$250)</f>
        <v>2214</v>
      </c>
      <c r="F184" s="53">
        <f>SUMIF('2025 AC'!$B$3:$B$250,"*"&amp;$D184&amp;"*",'2025 AC'!D$3:D$250)</f>
        <v>8100</v>
      </c>
      <c r="G184" s="53">
        <f>SUMIF('2025 AC'!$B$3:$B$250,"*"&amp;$D184&amp;"*",'2025 AC'!E$3:E$250)</f>
        <v>2214</v>
      </c>
      <c r="H184" s="53">
        <f>SUMIF('2025 AC'!$B$3:$B$250,"*"&amp;$D184&amp;"*",'2025 AC'!F$3:F$250)</f>
        <v>2214</v>
      </c>
      <c r="I184" s="53">
        <f>SUMIF('2025 AC'!$B$3:$B$250,"*"&amp;$D184&amp;"*",'2025 AC'!G$3:G$250)</f>
        <v>2214</v>
      </c>
      <c r="J184" s="53">
        <f>SUMIF('2025 AC'!$B$3:$B$250,"*"&amp;$D184&amp;"*",'2025 AC'!H$3:H$250)</f>
        <v>2214</v>
      </c>
      <c r="K184" s="53">
        <f>SUMIF('2025 AC'!$B$3:$B$250,"*"&amp;$D184&amp;"*",'2025 AC'!I$3:I$250)</f>
        <v>7437</v>
      </c>
      <c r="L184" s="53">
        <f>SUMIF('2025 AC'!$B$3:$B$250,"*"&amp;$D184&amp;"*",'2025 AC'!J$3:J$250)</f>
        <v>2214</v>
      </c>
      <c r="M184" s="53">
        <f>SUMIF('2025 AC'!$B$3:$B$250,"*"&amp;$D184&amp;"*",'2025 AC'!K$3:K$250)</f>
        <v>2214</v>
      </c>
      <c r="N184" s="53">
        <f>SUMIF('2025 AC'!$B$3:$B$250,"*"&amp;$D184&amp;"*",'2025 AC'!L$3:L$250)</f>
        <v>2214</v>
      </c>
      <c r="O184" s="53">
        <f>SUMIF('2025 AC'!$B$3:$B$250,"*"&amp;$D184&amp;"*",'2025 AC'!M$3:M$250)</f>
        <v>2242</v>
      </c>
      <c r="P184" s="53">
        <f>SUMIF('2025 AC'!$B$3:$B$250,"*"&amp;$D184&amp;"*",'2025 AC'!N$3:N$250)</f>
        <v>2214</v>
      </c>
      <c r="Q184" s="94">
        <f t="shared" si="334"/>
        <v>37705</v>
      </c>
      <c r="R184" s="93">
        <f t="shared" si="329"/>
        <v>12528</v>
      </c>
      <c r="S184" s="93">
        <f t="shared" si="330"/>
        <v>6642</v>
      </c>
      <c r="T184" s="93">
        <f t="shared" si="331"/>
        <v>11865</v>
      </c>
      <c r="U184" s="93">
        <f t="shared" si="332"/>
        <v>6670</v>
      </c>
      <c r="V184" s="92">
        <f t="shared" si="333"/>
        <v>37705</v>
      </c>
    </row>
    <row r="185" ht="15" customHeight="1" outlineLevel="1">
      <c r="A185" t="s">
        <v>462</v>
      </c>
      <c r="B185" t="s">
        <v>463</v>
      </c>
      <c r="C185" s="34" t="s">
        <v>464</v>
      </c>
      <c r="D185" s="35" t="s">
        <v>465</v>
      </c>
      <c r="E185" s="63">
        <f>SUMIF('2025 AC'!$B$3:$B$250,"*"&amp;$D185&amp;"*",'2025 AC'!C$3:C$250)</f>
        <v>150</v>
      </c>
      <c r="F185" s="53">
        <f>SUMIF('2025 AC'!$B$3:$B$250,"*"&amp;$D185&amp;"*",'2025 AC'!D$3:D$250)</f>
        <v>8225.6000000000004</v>
      </c>
      <c r="G185" s="53">
        <f>SUMIF('2025 AC'!$B$3:$B$250,"*"&amp;$D185&amp;"*",'2025 AC'!E$3:E$250)</f>
        <v>2117.8400000000001</v>
      </c>
      <c r="H185" s="53">
        <f>SUMIF('2025 AC'!$B$3:$B$250,"*"&amp;$D185&amp;"*",'2025 AC'!F$3:F$250)</f>
        <v>250</v>
      </c>
      <c r="I185" s="53">
        <f>SUMIF('2025 AC'!$B$3:$B$250,"*"&amp;$D185&amp;"*",'2025 AC'!G$3:G$250)</f>
        <v>2460</v>
      </c>
      <c r="J185" s="53">
        <f>SUMIF('2025 AC'!$B$3:$B$250,"*"&amp;$D185&amp;"*",'2025 AC'!H$3:H$250)</f>
        <v>0</v>
      </c>
      <c r="K185" s="53">
        <f>SUMIF('2025 AC'!$B$3:$B$250,"*"&amp;$D185&amp;"*",'2025 AC'!I$3:I$250)</f>
        <v>528</v>
      </c>
      <c r="L185" s="53">
        <f>SUMIF('2025 AC'!$B$3:$B$250,"*"&amp;$D185&amp;"*",'2025 AC'!J$3:J$250)</f>
        <v>345</v>
      </c>
      <c r="M185" s="53">
        <f>SUMIF('2025 AC'!$B$3:$B$250,"*"&amp;$D185&amp;"*",'2025 AC'!K$3:K$250)</f>
        <v>0</v>
      </c>
      <c r="N185" s="53">
        <f>SUMIF('2025 AC'!$B$3:$B$250,"*"&amp;$D185&amp;"*",'2025 AC'!L$3:L$250)</f>
        <v>2120</v>
      </c>
      <c r="O185" s="53">
        <f>SUMIF('2025 AC'!$B$3:$B$250,"*"&amp;$D185&amp;"*",'2025 AC'!M$3:M$250)</f>
        <v>0</v>
      </c>
      <c r="P185" s="53">
        <f>SUMIF('2025 AC'!$B$3:$B$250,"*"&amp;$D185&amp;"*",'2025 AC'!N$3:N$250)</f>
        <v>729</v>
      </c>
      <c r="Q185" s="94">
        <f t="shared" si="334"/>
        <v>16925.440000000002</v>
      </c>
      <c r="R185" s="93">
        <f t="shared" si="329"/>
        <v>10493.440000000001</v>
      </c>
      <c r="S185" s="93">
        <f t="shared" si="330"/>
        <v>2710</v>
      </c>
      <c r="T185" s="93">
        <f t="shared" si="331"/>
        <v>873</v>
      </c>
      <c r="U185" s="93">
        <f t="shared" si="332"/>
        <v>2849</v>
      </c>
      <c r="V185" s="92">
        <f t="shared" si="333"/>
        <v>16925.440000000002</v>
      </c>
    </row>
    <row r="186" ht="15" customHeight="1" outlineLevel="1">
      <c r="A186" t="s">
        <v>466</v>
      </c>
      <c r="B186" t="s">
        <v>467</v>
      </c>
      <c r="C186" s="34" t="s">
        <v>468</v>
      </c>
      <c r="D186" s="35" t="s">
        <v>425</v>
      </c>
      <c r="E186" s="63">
        <f>SUMIF('2025 AC'!$B$3:$B$250,"*"&amp;$D186&amp;"*",'2025 AC'!C$3:C$250)</f>
        <v>4076</v>
      </c>
      <c r="F186" s="53">
        <f>SUMIF('2025 AC'!$B$3:$B$250,"*"&amp;$D186&amp;"*",'2025 AC'!D$3:D$250)</f>
        <v>5292</v>
      </c>
      <c r="G186" s="53">
        <f>SUMIF('2025 AC'!$B$3:$B$250,"*"&amp;$D186&amp;"*",'2025 AC'!E$3:E$250)</f>
        <v>13842</v>
      </c>
      <c r="H186" s="53">
        <f>SUMIF('2025 AC'!$B$3:$B$250,"*"&amp;$D186&amp;"*",'2025 AC'!F$3:F$250)</f>
        <v>2646</v>
      </c>
      <c r="I186" s="53">
        <f>SUMIF('2025 AC'!$B$3:$B$250,"*"&amp;$D186&amp;"*",'2025 AC'!G$3:G$250)</f>
        <v>0</v>
      </c>
      <c r="J186" s="53">
        <f>SUMIF('2025 AC'!$B$3:$B$250,"*"&amp;$D186&amp;"*",'2025 AC'!H$3:H$250)</f>
        <v>5292</v>
      </c>
      <c r="K186" s="53">
        <f>SUMIF('2025 AC'!$B$3:$B$250,"*"&amp;$D186&amp;"*",'2025 AC'!I$3:I$250)</f>
        <v>8406</v>
      </c>
      <c r="L186" s="53">
        <f>SUMIF('2025 AC'!$B$3:$B$250,"*"&amp;$D186&amp;"*",'2025 AC'!J$3:J$250)</f>
        <v>2646</v>
      </c>
      <c r="M186" s="53">
        <f>SUMIF('2025 AC'!$B$3:$B$250,"*"&amp;$D186&amp;"*",'2025 AC'!K$3:K$250)</f>
        <v>30196</v>
      </c>
      <c r="N186" s="53">
        <f>SUMIF('2025 AC'!$B$3:$B$250,"*"&amp;$D186&amp;"*",'2025 AC'!L$3:L$250)</f>
        <v>21106</v>
      </c>
      <c r="O186" s="53">
        <f>SUMIF('2025 AC'!$B$3:$B$250,"*"&amp;$D186&amp;"*",'2025 AC'!M$3:M$250)</f>
        <v>2646</v>
      </c>
      <c r="P186" s="53">
        <f>SUMIF('2025 AC'!$B$3:$B$250,"*"&amp;$D186&amp;"*",'2025 AC'!N$3:N$250)</f>
        <v>7646</v>
      </c>
      <c r="Q186" s="94">
        <f t="shared" si="334"/>
        <v>103794</v>
      </c>
      <c r="R186" s="93">
        <f t="shared" si="329"/>
        <v>23210</v>
      </c>
      <c r="S186" s="93">
        <f t="shared" si="330"/>
        <v>7938</v>
      </c>
      <c r="T186" s="93">
        <f t="shared" si="331"/>
        <v>41248</v>
      </c>
      <c r="U186" s="93">
        <f t="shared" si="332"/>
        <v>31398</v>
      </c>
      <c r="V186" s="92">
        <f t="shared" si="333"/>
        <v>103794</v>
      </c>
    </row>
    <row r="187" ht="15" customHeight="1" outlineLevel="1">
      <c r="A187" t="s">
        <v>469</v>
      </c>
      <c r="B187" t="s">
        <v>470</v>
      </c>
      <c r="C187" s="34" t="s">
        <v>471</v>
      </c>
      <c r="D187" s="35" t="s">
        <v>472</v>
      </c>
      <c r="E187" s="63">
        <f>SUMIF('2025 AC'!$B$3:$B$250,"*"&amp;$D187&amp;"*",'2025 AC'!C$3:C$250)</f>
        <v>0</v>
      </c>
      <c r="F187" s="53">
        <f>SUMIF('2025 AC'!$B$3:$B$250,"*"&amp;$D187&amp;"*",'2025 AC'!D$3:D$250)</f>
        <v>146.69999999999999</v>
      </c>
      <c r="G187" s="53">
        <f>SUMIF('2025 AC'!$B$3:$B$250,"*"&amp;$D187&amp;"*",'2025 AC'!E$3:E$250)</f>
        <v>0</v>
      </c>
      <c r="H187" s="53">
        <f>SUMIF('2025 AC'!$B$3:$B$250,"*"&amp;$D187&amp;"*",'2025 AC'!F$3:F$250)</f>
        <v>0</v>
      </c>
      <c r="I187" s="53">
        <f>SUMIF('2025 AC'!$B$3:$B$250,"*"&amp;$D187&amp;"*",'2025 AC'!G$3:G$250)</f>
        <v>0</v>
      </c>
      <c r="J187" s="53">
        <f>SUMIF('2025 AC'!$B$3:$B$250,"*"&amp;$D187&amp;"*",'2025 AC'!H$3:H$250)</f>
        <v>0</v>
      </c>
      <c r="K187" s="53">
        <f>SUMIF('2025 AC'!$B$3:$B$250,"*"&amp;$D187&amp;"*",'2025 AC'!I$3:I$250)</f>
        <v>0</v>
      </c>
      <c r="L187" s="53">
        <f>SUMIF('2025 AC'!$B$3:$B$250,"*"&amp;$D187&amp;"*",'2025 AC'!J$3:J$250)</f>
        <v>0</v>
      </c>
      <c r="M187" s="53">
        <f>SUMIF('2025 AC'!$B$3:$B$250,"*"&amp;$D187&amp;"*",'2025 AC'!K$3:K$250)</f>
        <v>0</v>
      </c>
      <c r="N187" s="53">
        <f>SUMIF('2025 AC'!$B$3:$B$250,"*"&amp;$D187&amp;"*",'2025 AC'!L$3:L$250)</f>
        <v>0</v>
      </c>
      <c r="O187" s="53">
        <f>SUMIF('2025 AC'!$B$3:$B$250,"*"&amp;$D187&amp;"*",'2025 AC'!M$3:M$250)</f>
        <v>0</v>
      </c>
      <c r="P187" s="53">
        <f>SUMIF('2025 AC'!$B$3:$B$250,"*"&amp;$D187&amp;"*",'2025 AC'!N$3:N$250)</f>
        <v>0</v>
      </c>
      <c r="Q187" s="94">
        <f t="shared" si="334"/>
        <v>146.69999999999999</v>
      </c>
      <c r="R187" s="93">
        <f t="shared" si="329"/>
        <v>146.69999999999999</v>
      </c>
      <c r="S187" s="93">
        <f t="shared" si="330"/>
        <v>0</v>
      </c>
      <c r="T187" s="93">
        <f t="shared" si="331"/>
        <v>0</v>
      </c>
      <c r="U187" s="93">
        <f t="shared" si="332"/>
        <v>0</v>
      </c>
      <c r="V187" s="92">
        <f t="shared" si="333"/>
        <v>146.69999999999999</v>
      </c>
    </row>
    <row r="188" ht="15" customHeight="1" outlineLevel="1">
      <c r="A188" t="s">
        <v>473</v>
      </c>
      <c r="B188" t="s">
        <v>474</v>
      </c>
      <c r="C188" s="34" t="s">
        <v>475</v>
      </c>
      <c r="D188" s="35" t="s">
        <v>428</v>
      </c>
      <c r="E188" s="63">
        <f>SUMIF('2025 AC'!$B$3:$B$250,"*"&amp;$D188&amp;"*",'2025 AC'!C$3:C$250)</f>
        <v>0</v>
      </c>
      <c r="F188" s="53">
        <f>SUMIF('2025 AC'!$B$3:$B$250,"*"&amp;$D188&amp;"*",'2025 AC'!D$3:D$250)</f>
        <v>9808</v>
      </c>
      <c r="G188" s="53">
        <f>SUMIF('2025 AC'!$B$3:$B$250,"*"&amp;$D188&amp;"*",'2025 AC'!E$3:E$250)</f>
        <v>5742.3999999999996</v>
      </c>
      <c r="H188" s="53">
        <f>SUMIF('2025 AC'!$B$3:$B$250,"*"&amp;$D188&amp;"*",'2025 AC'!F$3:F$250)</f>
        <v>0</v>
      </c>
      <c r="I188" s="53">
        <f>SUMIF('2025 AC'!$B$3:$B$250,"*"&amp;$D188&amp;"*",'2025 AC'!G$3:G$250)</f>
        <v>0</v>
      </c>
      <c r="J188" s="53">
        <f>SUMIF('2025 AC'!$B$3:$B$250,"*"&amp;$D188&amp;"*",'2025 AC'!H$3:H$250)</f>
        <v>0</v>
      </c>
      <c r="K188" s="53">
        <f>SUMIF('2025 AC'!$B$3:$B$250,"*"&amp;$D188&amp;"*",'2025 AC'!I$3:I$250)</f>
        <v>0</v>
      </c>
      <c r="L188" s="53">
        <f>SUMIF('2025 AC'!$B$3:$B$250,"*"&amp;$D188&amp;"*",'2025 AC'!J$3:J$250)</f>
        <v>0</v>
      </c>
      <c r="M188" s="53">
        <f>SUMIF('2025 AC'!$B$3:$B$250,"*"&amp;$D188&amp;"*",'2025 AC'!K$3:K$250)</f>
        <v>5100</v>
      </c>
      <c r="N188" s="53">
        <f>SUMIF('2025 AC'!$B$3:$B$250,"*"&amp;$D188&amp;"*",'2025 AC'!L$3:L$250)</f>
        <v>0</v>
      </c>
      <c r="O188" s="53">
        <f>SUMIF('2025 AC'!$B$3:$B$250,"*"&amp;$D188&amp;"*",'2025 AC'!M$3:M$250)</f>
        <v>4600</v>
      </c>
      <c r="P188" s="53">
        <f>SUMIF('2025 AC'!$B$3:$B$250,"*"&amp;$D188&amp;"*",'2025 AC'!N$3:N$250)</f>
        <v>2650</v>
      </c>
      <c r="Q188" s="94">
        <f t="shared" si="334"/>
        <v>27900.400000000001</v>
      </c>
      <c r="R188" s="93">
        <f t="shared" si="329"/>
        <v>15550.4</v>
      </c>
      <c r="S188" s="93">
        <f t="shared" si="330"/>
        <v>0</v>
      </c>
      <c r="T188" s="93">
        <f t="shared" si="331"/>
        <v>5100</v>
      </c>
      <c r="U188" s="93">
        <f t="shared" si="332"/>
        <v>7250</v>
      </c>
      <c r="V188" s="92">
        <f t="shared" si="333"/>
        <v>27900.400000000001</v>
      </c>
    </row>
    <row r="189" ht="15" customHeight="1" outlineLevel="1">
      <c r="A189" t="s">
        <v>476</v>
      </c>
      <c r="B189" t="s">
        <v>477</v>
      </c>
      <c r="C189" s="34" t="s">
        <v>478</v>
      </c>
      <c r="D189" s="35" t="s">
        <v>431</v>
      </c>
      <c r="E189" s="63">
        <f>SUMIF('2025 AC'!$B$3:$B$250,"*"&amp;$D189&amp;"*",'2025 AC'!C$3:C$250)</f>
        <v>0</v>
      </c>
      <c r="F189" s="53">
        <f>SUMIF('2025 AC'!$B$3:$B$250,"*"&amp;$D189&amp;"*",'2025 AC'!D$3:D$250)</f>
        <v>1250</v>
      </c>
      <c r="G189" s="53">
        <f>SUMIF('2025 AC'!$B$3:$B$250,"*"&amp;$D189&amp;"*",'2025 AC'!E$3:E$250)</f>
        <v>450</v>
      </c>
      <c r="H189" s="53">
        <f>SUMIF('2025 AC'!$B$3:$B$250,"*"&amp;$D189&amp;"*",'2025 AC'!F$3:F$250)</f>
        <v>0</v>
      </c>
      <c r="I189" s="53">
        <f>SUMIF('2025 AC'!$B$3:$B$250,"*"&amp;$D189&amp;"*",'2025 AC'!G$3:G$250)</f>
        <v>900</v>
      </c>
      <c r="J189" s="53">
        <f>SUMIF('2025 AC'!$B$3:$B$250,"*"&amp;$D189&amp;"*",'2025 AC'!H$3:H$250)</f>
        <v>3088</v>
      </c>
      <c r="K189" s="53">
        <f>SUMIF('2025 AC'!$B$3:$B$250,"*"&amp;$D189&amp;"*",'2025 AC'!I$3:I$250)</f>
        <v>1587.5</v>
      </c>
      <c r="L189" s="53">
        <f>SUMIF('2025 AC'!$B$3:$B$250,"*"&amp;$D189&amp;"*",'2025 AC'!J$3:J$250)</f>
        <v>0</v>
      </c>
      <c r="M189" s="53">
        <f>SUMIF('2025 AC'!$B$3:$B$250,"*"&amp;$D189&amp;"*",'2025 AC'!K$3:K$250)</f>
        <v>1500</v>
      </c>
      <c r="N189" s="53">
        <f>SUMIF('2025 AC'!$B$3:$B$250,"*"&amp;$D189&amp;"*",'2025 AC'!L$3:L$250)</f>
        <v>450</v>
      </c>
      <c r="O189" s="53">
        <f>SUMIF('2025 AC'!$B$3:$B$250,"*"&amp;$D189&amp;"*",'2025 AC'!M$3:M$250)</f>
        <v>450</v>
      </c>
      <c r="P189" s="53">
        <f>SUMIF('2025 AC'!$B$3:$B$250,"*"&amp;$D189&amp;"*",'2025 AC'!N$3:N$250)</f>
        <v>1100</v>
      </c>
      <c r="Q189" s="94">
        <f t="shared" si="334"/>
        <v>10775.5</v>
      </c>
      <c r="R189" s="93">
        <f t="shared" si="329"/>
        <v>1700</v>
      </c>
      <c r="S189" s="93">
        <f t="shared" si="330"/>
        <v>3988</v>
      </c>
      <c r="T189" s="93">
        <f t="shared" si="331"/>
        <v>3087.5</v>
      </c>
      <c r="U189" s="93">
        <f t="shared" si="332"/>
        <v>2000</v>
      </c>
      <c r="V189" s="92">
        <f t="shared" si="333"/>
        <v>10775.5</v>
      </c>
    </row>
    <row r="190" ht="15" customHeight="1" outlineLevel="1">
      <c r="A190" t="s">
        <v>479</v>
      </c>
      <c r="B190" t="s">
        <v>480</v>
      </c>
      <c r="C190" s="34" t="s">
        <v>481</v>
      </c>
      <c r="D190" s="35" t="s">
        <v>434</v>
      </c>
      <c r="E190" s="63">
        <f>SUMIF('2025 AC'!$B$3:$B$250,"*"&amp;$D190&amp;"*",'2025 AC'!C$3:C$250)</f>
        <v>4302.3999999999996</v>
      </c>
      <c r="F190" s="53">
        <f>SUMIF('2025 AC'!$B$3:$B$250,"*"&amp;$D190&amp;"*",'2025 AC'!D$3:D$250)</f>
        <v>210</v>
      </c>
      <c r="G190" s="53">
        <f>SUMIF('2025 AC'!$B$3:$B$250,"*"&amp;$D190&amp;"*",'2025 AC'!E$3:E$250)</f>
        <v>-107.5</v>
      </c>
      <c r="H190" s="53">
        <f>SUMIF('2025 AC'!$B$3:$B$250,"*"&amp;$D190&amp;"*",'2025 AC'!F$3:F$250)</f>
        <v>511</v>
      </c>
      <c r="I190" s="53">
        <f>SUMIF('2025 AC'!$B$3:$B$250,"*"&amp;$D190&amp;"*",'2025 AC'!G$3:G$250)</f>
        <v>2900.0999999999999</v>
      </c>
      <c r="J190" s="53">
        <f>SUMIF('2025 AC'!$B$3:$B$250,"*"&amp;$D190&amp;"*",'2025 AC'!H$3:H$250)</f>
        <v>2573.5700000000002</v>
      </c>
      <c r="K190" s="53">
        <f>SUMIF('2025 AC'!$B$3:$B$250,"*"&amp;$D190&amp;"*",'2025 AC'!I$3:I$250)</f>
        <v>1224.0999999999999</v>
      </c>
      <c r="L190" s="53">
        <f>SUMIF('2025 AC'!$B$3:$B$250,"*"&amp;$D190&amp;"*",'2025 AC'!J$3:J$250)</f>
        <v>1626.3900000000001</v>
      </c>
      <c r="M190" s="53">
        <f>SUMIF('2025 AC'!$B$3:$B$250,"*"&amp;$D190&amp;"*",'2025 AC'!K$3:K$250)</f>
        <v>1938.8</v>
      </c>
      <c r="N190" s="53">
        <f>SUMIF('2025 AC'!$B$3:$B$250,"*"&amp;$D190&amp;"*",'2025 AC'!L$3:L$250)</f>
        <v>5372.8000000000002</v>
      </c>
      <c r="O190" s="53">
        <f>SUMIF('2025 AC'!$B$3:$B$250,"*"&amp;$D190&amp;"*",'2025 AC'!M$3:M$250)</f>
        <v>5808.6000000000004</v>
      </c>
      <c r="P190" s="53">
        <f>SUMIF('2025 AC'!$B$3:$B$250,"*"&amp;$D190&amp;"*",'2025 AC'!N$3:N$250)</f>
        <v>1207.45</v>
      </c>
      <c r="Q190" s="94">
        <f t="shared" si="334"/>
        <v>27567.710000000003</v>
      </c>
      <c r="R190" s="93">
        <f t="shared" si="329"/>
        <v>4404.8999999999996</v>
      </c>
      <c r="S190" s="93">
        <f t="shared" si="330"/>
        <v>5984.6700000000001</v>
      </c>
      <c r="T190" s="93">
        <f t="shared" si="331"/>
        <v>4789.29</v>
      </c>
      <c r="U190" s="93">
        <f t="shared" si="332"/>
        <v>12388.850000000002</v>
      </c>
      <c r="V190" s="92">
        <f t="shared" si="333"/>
        <v>27567.710000000003</v>
      </c>
    </row>
    <row r="191" ht="15" customHeight="1" outlineLevel="1">
      <c r="A191" t="s">
        <v>482</v>
      </c>
      <c r="B191" t="s">
        <v>483</v>
      </c>
      <c r="C191" s="34" t="s">
        <v>484</v>
      </c>
      <c r="D191" s="35" t="s">
        <v>437</v>
      </c>
      <c r="E191" s="63">
        <f>SUMIF('2025 AC'!$B$3:$B$250,"*"&amp;$D191&amp;"*",'2025 AC'!C$3:C$250)</f>
        <v>0</v>
      </c>
      <c r="F191" s="53">
        <f>SUMIF('2025 AC'!$B$3:$B$250,"*"&amp;$D191&amp;"*",'2025 AC'!D$3:D$250)</f>
        <v>0</v>
      </c>
      <c r="G191" s="53">
        <f>SUMIF('2025 AC'!$B$3:$B$250,"*"&amp;$D191&amp;"*",'2025 AC'!E$3:E$250)</f>
        <v>0</v>
      </c>
      <c r="H191" s="53">
        <f>SUMIF('2025 AC'!$B$3:$B$250,"*"&amp;$D191&amp;"*",'2025 AC'!F$3:F$250)</f>
        <v>0</v>
      </c>
      <c r="I191" s="53">
        <f>SUMIF('2025 AC'!$B$3:$B$250,"*"&amp;$D191&amp;"*",'2025 AC'!G$3:G$250)</f>
        <v>1125</v>
      </c>
      <c r="J191" s="53">
        <f>SUMIF('2025 AC'!$B$3:$B$250,"*"&amp;$D191&amp;"*",'2025 AC'!H$3:H$250)</f>
        <v>750</v>
      </c>
      <c r="K191" s="53">
        <f>SUMIF('2025 AC'!$B$3:$B$250,"*"&amp;$D191&amp;"*",'2025 AC'!I$3:I$250)</f>
        <v>1924.8</v>
      </c>
      <c r="L191" s="53">
        <f>SUMIF('2025 AC'!$B$3:$B$250,"*"&amp;$D191&amp;"*",'2025 AC'!J$3:J$250)</f>
        <v>0</v>
      </c>
      <c r="M191" s="53">
        <f>SUMIF('2025 AC'!$B$3:$B$250,"*"&amp;$D191&amp;"*",'2025 AC'!K$3:K$250)</f>
        <v>800</v>
      </c>
      <c r="N191" s="53">
        <f>SUMIF('2025 AC'!$B$3:$B$250,"*"&amp;$D191&amp;"*",'2025 AC'!L$3:L$250)</f>
        <v>400</v>
      </c>
      <c r="O191" s="53">
        <f>SUMIF('2025 AC'!$B$3:$B$250,"*"&amp;$D191&amp;"*",'2025 AC'!M$3:M$250)</f>
        <v>800</v>
      </c>
      <c r="P191" s="53">
        <f>SUMIF('2025 AC'!$B$3:$B$250,"*"&amp;$D191&amp;"*",'2025 AC'!N$3:N$250)</f>
        <v>3450</v>
      </c>
      <c r="Q191" s="94">
        <f t="shared" si="334"/>
        <v>9249.7999999999993</v>
      </c>
      <c r="R191" s="93">
        <f t="shared" si="329"/>
        <v>0</v>
      </c>
      <c r="S191" s="93">
        <f t="shared" si="330"/>
        <v>1875</v>
      </c>
      <c r="T191" s="93">
        <f t="shared" si="331"/>
        <v>2724.8000000000002</v>
      </c>
      <c r="U191" s="93">
        <f t="shared" si="332"/>
        <v>4650</v>
      </c>
      <c r="V191" s="92">
        <f t="shared" si="333"/>
        <v>9249.7999999999993</v>
      </c>
    </row>
    <row r="192" ht="15" customHeight="1" outlineLevel="1">
      <c r="A192" t="s">
        <v>485</v>
      </c>
      <c r="B192" t="s">
        <v>486</v>
      </c>
      <c r="C192" s="34" t="s">
        <v>487</v>
      </c>
      <c r="D192" s="35" t="s">
        <v>488</v>
      </c>
      <c r="E192" s="63">
        <f>SUMIF('2025 AC'!$B$3:$B$250,"*"&amp;$D192&amp;"*",'2025 AC'!C$3:C$250)</f>
        <v>4796.5600000000004</v>
      </c>
      <c r="F192" s="53">
        <f>SUMIF('2025 AC'!$B$3:$B$250,"*"&amp;$D192&amp;"*",'2025 AC'!D$3:D$250)</f>
        <v>2562</v>
      </c>
      <c r="G192" s="53">
        <f>SUMIF('2025 AC'!$B$3:$B$250,"*"&amp;$D192&amp;"*",'2025 AC'!E$3:E$250)</f>
        <v>331</v>
      </c>
      <c r="H192" s="53">
        <f>SUMIF('2025 AC'!$B$3:$B$250,"*"&amp;$D192&amp;"*",'2025 AC'!F$3:F$250)</f>
        <v>2231</v>
      </c>
      <c r="I192" s="53">
        <f>SUMIF('2025 AC'!$B$3:$B$250,"*"&amp;$D192&amp;"*",'2025 AC'!G$3:G$250)</f>
        <v>2981</v>
      </c>
      <c r="J192" s="53">
        <f>SUMIF('2025 AC'!$B$3:$B$250,"*"&amp;$D192&amp;"*",'2025 AC'!H$3:H$250)</f>
        <v>2231</v>
      </c>
      <c r="K192" s="53">
        <f>SUMIF('2025 AC'!$B$3:$B$250,"*"&amp;$D192&amp;"*",'2025 AC'!I$3:I$250)</f>
        <v>2231</v>
      </c>
      <c r="L192" s="53">
        <f>SUMIF('2025 AC'!$B$3:$B$250,"*"&amp;$D192&amp;"*",'2025 AC'!J$3:J$250)</f>
        <v>2831</v>
      </c>
      <c r="M192" s="53">
        <f>SUMIF('2025 AC'!$B$3:$B$250,"*"&amp;$D192&amp;"*",'2025 AC'!K$3:K$250)</f>
        <v>1900</v>
      </c>
      <c r="N192" s="53">
        <f>SUMIF('2025 AC'!$B$3:$B$250,"*"&amp;$D192&amp;"*",'2025 AC'!L$3:L$250)</f>
        <v>2562</v>
      </c>
      <c r="O192" s="53">
        <f>SUMIF('2025 AC'!$B$3:$B$250,"*"&amp;$D192&amp;"*",'2025 AC'!M$3:M$250)</f>
        <v>2231</v>
      </c>
      <c r="P192" s="53">
        <f>SUMIF('2025 AC'!$B$3:$B$250,"*"&amp;$D192&amp;"*",'2025 AC'!N$3:N$250)</f>
        <v>2231</v>
      </c>
      <c r="Q192" s="94">
        <f t="shared" si="334"/>
        <v>29118.560000000001</v>
      </c>
      <c r="R192" s="93">
        <f t="shared" si="329"/>
        <v>7689.5600000000004</v>
      </c>
      <c r="S192" s="93">
        <f t="shared" si="330"/>
        <v>7443</v>
      </c>
      <c r="T192" s="93">
        <f t="shared" si="331"/>
        <v>6962</v>
      </c>
      <c r="U192" s="93">
        <f t="shared" si="332"/>
        <v>7024</v>
      </c>
      <c r="V192" s="92">
        <f t="shared" si="333"/>
        <v>29118.560000000001</v>
      </c>
    </row>
    <row r="193" ht="15" customHeight="1" outlineLevel="1">
      <c r="A193" t="s">
        <v>489</v>
      </c>
      <c r="B193" t="s">
        <v>490</v>
      </c>
      <c r="C193" s="34" t="s">
        <v>491</v>
      </c>
      <c r="D193" s="35" t="s">
        <v>440</v>
      </c>
      <c r="E193" s="63">
        <f>SUMIF('2025 AC'!$B$3:$B$250,"*"&amp;$D193&amp;"*",'2025 AC'!C$3:C$250)</f>
        <v>0</v>
      </c>
      <c r="F193" s="53">
        <f>SUMIF('2025 AC'!$B$3:$B$250,"*"&amp;$D193&amp;"*",'2025 AC'!D$3:D$250)</f>
        <v>0</v>
      </c>
      <c r="G193" s="53">
        <f>SUMIF('2025 AC'!$B$3:$B$250,"*"&amp;$D193&amp;"*",'2025 AC'!E$3:E$250)</f>
        <v>1725</v>
      </c>
      <c r="H193" s="53">
        <f>SUMIF('2025 AC'!$B$3:$B$250,"*"&amp;$D193&amp;"*",'2025 AC'!F$3:F$250)</f>
        <v>5824</v>
      </c>
      <c r="I193" s="53">
        <f>SUMIF('2025 AC'!$B$3:$B$250,"*"&amp;$D193&amp;"*",'2025 AC'!G$3:G$250)</f>
        <v>197</v>
      </c>
      <c r="J193" s="53">
        <f>SUMIF('2025 AC'!$B$3:$B$250,"*"&amp;$D193&amp;"*",'2025 AC'!H$3:H$250)</f>
        <v>0</v>
      </c>
      <c r="K193" s="53">
        <f>SUMIF('2025 AC'!$B$3:$B$250,"*"&amp;$D193&amp;"*",'2025 AC'!I$3:I$250)</f>
        <v>0</v>
      </c>
      <c r="L193" s="53">
        <f>SUMIF('2025 AC'!$B$3:$B$250,"*"&amp;$D193&amp;"*",'2025 AC'!J$3:J$250)</f>
        <v>0</v>
      </c>
      <c r="M193" s="53">
        <f>SUMIF('2025 AC'!$B$3:$B$250,"*"&amp;$D193&amp;"*",'2025 AC'!K$3:K$250)</f>
        <v>0</v>
      </c>
      <c r="N193" s="53">
        <f>SUMIF('2025 AC'!$B$3:$B$250,"*"&amp;$D193&amp;"*",'2025 AC'!L$3:L$250)</f>
        <v>0</v>
      </c>
      <c r="O193" s="53">
        <f>SUMIF('2025 AC'!$B$3:$B$250,"*"&amp;$D193&amp;"*",'2025 AC'!M$3:M$250)</f>
        <v>180</v>
      </c>
      <c r="P193" s="53">
        <f>SUMIF('2025 AC'!$B$3:$B$250,"*"&amp;$D193&amp;"*",'2025 AC'!N$3:N$250)</f>
        <v>0</v>
      </c>
      <c r="Q193" s="94">
        <f t="shared" si="334"/>
        <v>7926</v>
      </c>
      <c r="R193" s="93">
        <f t="shared" si="329"/>
        <v>1725</v>
      </c>
      <c r="S193" s="93">
        <f t="shared" si="330"/>
        <v>6021</v>
      </c>
      <c r="T193" s="93">
        <f t="shared" si="331"/>
        <v>0</v>
      </c>
      <c r="U193" s="93">
        <f t="shared" si="332"/>
        <v>180</v>
      </c>
      <c r="V193" s="92">
        <f t="shared" si="333"/>
        <v>7926</v>
      </c>
    </row>
    <row r="194" ht="15" customHeight="1" outlineLevel="1">
      <c r="A194" t="s">
        <v>492</v>
      </c>
      <c r="B194" t="s">
        <v>493</v>
      </c>
      <c r="C194" s="34" t="s">
        <v>494</v>
      </c>
      <c r="D194" s="35" t="s">
        <v>444</v>
      </c>
      <c r="E194" s="63">
        <f>SUMIF('2025 AC'!$B$3:$B$250,"*"&amp;$D194&amp;"*",'2025 AC'!C$3:C$250)</f>
        <v>0</v>
      </c>
      <c r="F194" s="53">
        <f>SUMIF('2025 AC'!$B$3:$B$250,"*"&amp;$D194&amp;"*",'2025 AC'!D$3:D$250)</f>
        <v>1250</v>
      </c>
      <c r="G194" s="53">
        <f>SUMIF('2025 AC'!$B$3:$B$250,"*"&amp;$D194&amp;"*",'2025 AC'!E$3:E$250)</f>
        <v>0</v>
      </c>
      <c r="H194" s="53">
        <f>SUMIF('2025 AC'!$B$3:$B$250,"*"&amp;$D194&amp;"*",'2025 AC'!F$3:F$250)</f>
        <v>18420</v>
      </c>
      <c r="I194" s="53">
        <f>SUMIF('2025 AC'!$B$3:$B$250,"*"&amp;$D194&amp;"*",'2025 AC'!G$3:G$250)</f>
        <v>5922</v>
      </c>
      <c r="J194" s="53">
        <f>SUMIF('2025 AC'!$B$3:$B$250,"*"&amp;$D194&amp;"*",'2025 AC'!H$3:H$250)</f>
        <v>210</v>
      </c>
      <c r="K194" s="53">
        <f>SUMIF('2025 AC'!$B$3:$B$250,"*"&amp;$D194&amp;"*",'2025 AC'!I$3:I$250)</f>
        <v>440</v>
      </c>
      <c r="L194" s="53">
        <f>SUMIF('2025 AC'!$B$3:$B$250,"*"&amp;$D194&amp;"*",'2025 AC'!J$3:J$250)</f>
        <v>0</v>
      </c>
      <c r="M194" s="53">
        <f>SUMIF('2025 AC'!$B$3:$B$250,"*"&amp;$D194&amp;"*",'2025 AC'!K$3:K$250)</f>
        <v>0</v>
      </c>
      <c r="N194" s="53">
        <f>SUMIF('2025 AC'!$B$3:$B$250,"*"&amp;$D194&amp;"*",'2025 AC'!L$3:L$250)</f>
        <v>0</v>
      </c>
      <c r="O194" s="53">
        <f>SUMIF('2025 AC'!$B$3:$B$250,"*"&amp;$D194&amp;"*",'2025 AC'!M$3:M$250)</f>
        <v>2390</v>
      </c>
      <c r="P194" s="53">
        <f>SUMIF('2025 AC'!$B$3:$B$250,"*"&amp;$D194&amp;"*",'2025 AC'!N$3:N$250)</f>
        <v>0</v>
      </c>
      <c r="Q194" s="94">
        <f t="shared" si="334"/>
        <v>28632</v>
      </c>
      <c r="R194" s="93">
        <f t="shared" si="329"/>
        <v>1250</v>
      </c>
      <c r="S194" s="93">
        <f t="shared" si="330"/>
        <v>24552</v>
      </c>
      <c r="T194" s="93">
        <f t="shared" si="331"/>
        <v>440</v>
      </c>
      <c r="U194" s="93">
        <f t="shared" si="332"/>
        <v>2390</v>
      </c>
      <c r="V194" s="92">
        <f t="shared" si="333"/>
        <v>28632</v>
      </c>
    </row>
    <row r="195" ht="15" customHeight="1" outlineLevel="1">
      <c r="A195" t="s">
        <v>495</v>
      </c>
      <c r="B195" t="s">
        <v>496</v>
      </c>
      <c r="C195" s="34" t="s">
        <v>497</v>
      </c>
      <c r="D195" s="35" t="s">
        <v>447</v>
      </c>
      <c r="E195" s="63">
        <f>SUMIF('2025 AC'!$B$3:$B$250,"*"&amp;$D195&amp;"*",'2025 AC'!C$3:C$250)</f>
        <v>0</v>
      </c>
      <c r="F195" s="53">
        <f>SUMIF('2025 AC'!$B$3:$B$250,"*"&amp;$D195&amp;"*",'2025 AC'!D$3:D$250)</f>
        <v>0</v>
      </c>
      <c r="G195" s="53">
        <f>SUMIF('2025 AC'!$B$3:$B$250,"*"&amp;$D195&amp;"*",'2025 AC'!E$3:E$250)</f>
        <v>0</v>
      </c>
      <c r="H195" s="53">
        <f>SUMIF('2025 AC'!$B$3:$B$250,"*"&amp;$D195&amp;"*",'2025 AC'!F$3:F$250)</f>
        <v>0</v>
      </c>
      <c r="I195" s="53">
        <f>SUMIF('2025 AC'!$B$3:$B$250,"*"&amp;$D195&amp;"*",'2025 AC'!G$3:G$250)</f>
        <v>0</v>
      </c>
      <c r="J195" s="53">
        <f>SUMIF('2025 AC'!$B$3:$B$250,"*"&amp;$D195&amp;"*",'2025 AC'!H$3:H$250)</f>
        <v>0</v>
      </c>
      <c r="K195" s="53">
        <f>SUMIF('2025 AC'!$B$3:$B$250,"*"&amp;$D195&amp;"*",'2025 AC'!I$3:I$250)</f>
        <v>0</v>
      </c>
      <c r="L195" s="53">
        <f>SUMIF('2025 AC'!$B$3:$B$250,"*"&amp;$D195&amp;"*",'2025 AC'!J$3:J$250)</f>
        <v>0</v>
      </c>
      <c r="M195" s="53">
        <f>SUMIF('2025 AC'!$B$3:$B$250,"*"&amp;$D195&amp;"*",'2025 AC'!K$3:K$250)</f>
        <v>0</v>
      </c>
      <c r="N195" s="53">
        <f>SUMIF('2025 AC'!$B$3:$B$250,"*"&amp;$D195&amp;"*",'2025 AC'!L$3:L$250)</f>
        <v>0</v>
      </c>
      <c r="O195" s="53">
        <f>SUMIF('2025 AC'!$B$3:$B$250,"*"&amp;$D195&amp;"*",'2025 AC'!M$3:M$250)</f>
        <v>0</v>
      </c>
      <c r="P195" s="53">
        <f>SUMIF('2025 AC'!$B$3:$B$250,"*"&amp;$D195&amp;"*",'2025 AC'!N$3:N$250)</f>
        <v>0</v>
      </c>
      <c r="Q195" s="94">
        <f t="shared" si="334"/>
        <v>0</v>
      </c>
      <c r="R195" s="93">
        <f t="shared" si="329"/>
        <v>0</v>
      </c>
      <c r="S195" s="93">
        <f t="shared" si="330"/>
        <v>0</v>
      </c>
      <c r="T195" s="93">
        <f t="shared" si="331"/>
        <v>0</v>
      </c>
      <c r="U195" s="93">
        <f t="shared" si="332"/>
        <v>0</v>
      </c>
      <c r="V195" s="92">
        <f t="shared" si="333"/>
        <v>0</v>
      </c>
    </row>
    <row r="196" ht="15" customHeight="1" outlineLevel="1">
      <c r="A196" t="s">
        <v>498</v>
      </c>
      <c r="B196" t="s">
        <v>499</v>
      </c>
      <c r="C196" s="34" t="s">
        <v>500</v>
      </c>
      <c r="D196" s="35" t="s">
        <v>450</v>
      </c>
      <c r="E196" s="63">
        <f>SUMIF('2025 AC'!$B$3:$B$250,"*"&amp;$D196&amp;"*",'2025 AC'!C$3:C$250)</f>
        <v>0</v>
      </c>
      <c r="F196" s="53">
        <f>SUMIF('2025 AC'!$B$3:$B$250,"*"&amp;$D196&amp;"*",'2025 AC'!D$3:D$250)</f>
        <v>0</v>
      </c>
      <c r="G196" s="53">
        <f>SUMIF('2025 AC'!$B$3:$B$250,"*"&amp;$D196&amp;"*",'2025 AC'!E$3:E$250)</f>
        <v>0</v>
      </c>
      <c r="H196" s="53">
        <f>SUMIF('2025 AC'!$B$3:$B$250,"*"&amp;$D196&amp;"*",'2025 AC'!F$3:F$250)</f>
        <v>0</v>
      </c>
      <c r="I196" s="53">
        <f>SUMIF('2025 AC'!$B$3:$B$250,"*"&amp;$D196&amp;"*",'2025 AC'!G$3:G$250)</f>
        <v>1880</v>
      </c>
      <c r="J196" s="53">
        <f>SUMIF('2025 AC'!$B$3:$B$250,"*"&amp;$D196&amp;"*",'2025 AC'!H$3:H$250)</f>
        <v>0</v>
      </c>
      <c r="K196" s="53">
        <f>SUMIF('2025 AC'!$B$3:$B$250,"*"&amp;$D196&amp;"*",'2025 AC'!I$3:I$250)</f>
        <v>0</v>
      </c>
      <c r="L196" s="53">
        <f>SUMIF('2025 AC'!$B$3:$B$250,"*"&amp;$D196&amp;"*",'2025 AC'!J$3:J$250)</f>
        <v>2000</v>
      </c>
      <c r="M196" s="53">
        <f>SUMIF('2025 AC'!$B$3:$B$250,"*"&amp;$D196&amp;"*",'2025 AC'!K$3:K$250)</f>
        <v>0</v>
      </c>
      <c r="N196" s="53">
        <f>SUMIF('2025 AC'!$B$3:$B$250,"*"&amp;$D196&amp;"*",'2025 AC'!L$3:L$250)</f>
        <v>1230</v>
      </c>
      <c r="O196" s="53">
        <f>SUMIF('2025 AC'!$B$3:$B$250,"*"&amp;$D196&amp;"*",'2025 AC'!M$3:M$250)</f>
        <v>2830</v>
      </c>
      <c r="P196" s="53">
        <f>SUMIF('2025 AC'!$B$3:$B$250,"*"&amp;$D196&amp;"*",'2025 AC'!N$3:N$250)</f>
        <v>3220</v>
      </c>
      <c r="Q196" s="94">
        <f t="shared" si="334"/>
        <v>11160</v>
      </c>
      <c r="R196" s="93">
        <f t="shared" si="329"/>
        <v>0</v>
      </c>
      <c r="S196" s="93">
        <f t="shared" si="330"/>
        <v>1880</v>
      </c>
      <c r="T196" s="93">
        <f t="shared" si="331"/>
        <v>2000</v>
      </c>
      <c r="U196" s="93">
        <f t="shared" si="332"/>
        <v>7280</v>
      </c>
      <c r="V196" s="92">
        <f t="shared" si="333"/>
        <v>11160</v>
      </c>
    </row>
    <row r="197" ht="15" customHeight="1" outlineLevel="1">
      <c r="A197" t="s">
        <v>501</v>
      </c>
      <c r="B197" t="s">
        <v>502</v>
      </c>
      <c r="C197" s="34" t="s">
        <v>503</v>
      </c>
      <c r="D197" s="35" t="s">
        <v>456</v>
      </c>
      <c r="E197" s="63">
        <f>SUMIF('2025 AC'!$B$3:$B$250,"*"&amp;$D197&amp;"*",'2025 AC'!C$3:C$250)</f>
        <v>0</v>
      </c>
      <c r="F197" s="53">
        <f>SUMIF('2025 AC'!$B$3:$B$250,"*"&amp;$D197&amp;"*",'2025 AC'!D$3:D$250)</f>
        <v>0</v>
      </c>
      <c r="G197" s="53">
        <f>SUMIF('2025 AC'!$B$3:$B$250,"*"&amp;$D197&amp;"*",'2025 AC'!E$3:E$250)</f>
        <v>0</v>
      </c>
      <c r="H197" s="53">
        <f>SUMIF('2025 AC'!$B$3:$B$250,"*"&amp;$D197&amp;"*",'2025 AC'!F$3:F$250)</f>
        <v>0</v>
      </c>
      <c r="I197" s="53">
        <f>SUMIF('2025 AC'!$B$3:$B$250,"*"&amp;$D197&amp;"*",'2025 AC'!G$3:G$250)</f>
        <v>0</v>
      </c>
      <c r="J197" s="53">
        <f>SUMIF('2025 AC'!$B$3:$B$250,"*"&amp;$D197&amp;"*",'2025 AC'!H$3:H$250)</f>
        <v>0</v>
      </c>
      <c r="K197" s="53">
        <f>SUMIF('2025 AC'!$B$3:$B$250,"*"&amp;$D197&amp;"*",'2025 AC'!I$3:I$250)</f>
        <v>0</v>
      </c>
      <c r="L197" s="53">
        <f>SUMIF('2025 AC'!$B$3:$B$250,"*"&amp;$D197&amp;"*",'2025 AC'!J$3:J$250)</f>
        <v>0</v>
      </c>
      <c r="M197" s="53">
        <f>SUMIF('2025 AC'!$B$3:$B$250,"*"&amp;$D197&amp;"*",'2025 AC'!K$3:K$250)</f>
        <v>0</v>
      </c>
      <c r="N197" s="53">
        <f>SUMIF('2025 AC'!$B$3:$B$250,"*"&amp;$D197&amp;"*",'2025 AC'!L$3:L$250)</f>
        <v>0</v>
      </c>
      <c r="O197" s="53">
        <f>SUMIF('2025 AC'!$B$3:$B$250,"*"&amp;$D197&amp;"*",'2025 AC'!M$3:M$250)</f>
        <v>0</v>
      </c>
      <c r="P197" s="53">
        <f>SUMIF('2025 AC'!$B$3:$B$250,"*"&amp;$D197&amp;"*",'2025 AC'!N$3:N$250)</f>
        <v>0</v>
      </c>
      <c r="Q197" s="94">
        <f t="shared" si="334"/>
        <v>0</v>
      </c>
      <c r="R197" s="93">
        <f t="shared" si="329"/>
        <v>0</v>
      </c>
      <c r="S197" s="93">
        <f t="shared" si="330"/>
        <v>0</v>
      </c>
      <c r="T197" s="93">
        <f t="shared" si="331"/>
        <v>0</v>
      </c>
      <c r="U197" s="93">
        <f t="shared" si="332"/>
        <v>0</v>
      </c>
      <c r="V197" s="92">
        <f t="shared" si="333"/>
        <v>0</v>
      </c>
    </row>
    <row r="198" ht="15" customHeight="1" outlineLevel="1">
      <c r="A198" t="s">
        <v>504</v>
      </c>
      <c r="B198" t="s">
        <v>505</v>
      </c>
      <c r="C198" s="34" t="s">
        <v>506</v>
      </c>
      <c r="D198" s="35" t="s">
        <v>459</v>
      </c>
      <c r="E198" s="63">
        <f>SUMIF('2025 AC'!$B$3:$B$250,"*"&amp;$D198&amp;"*",'2025 AC'!C$3:C$250)</f>
        <v>14463.360000000001</v>
      </c>
      <c r="F198" s="53">
        <f>SUMIF('2025 AC'!$B$3:$B$250,"*"&amp;$D198&amp;"*",'2025 AC'!D$3:D$250)</f>
        <v>13063.68</v>
      </c>
      <c r="G198" s="53">
        <f>SUMIF('2025 AC'!$B$3:$B$250,"*"&amp;$D198&amp;"*",'2025 AC'!E$3:E$250)</f>
        <v>14463.360000000001</v>
      </c>
      <c r="H198" s="53">
        <f>SUMIF('2025 AC'!$B$3:$B$250,"*"&amp;$D198&amp;"*",'2025 AC'!F$3:F$250)</f>
        <v>13996.799999999999</v>
      </c>
      <c r="I198" s="53">
        <f>SUMIF('2025 AC'!$B$3:$B$250,"*"&amp;$D198&amp;"*",'2025 AC'!G$3:G$250)</f>
        <v>14463.360000000001</v>
      </c>
      <c r="J198" s="53">
        <f>SUMIF('2025 AC'!$B$3:$B$250,"*"&amp;$D198&amp;"*",'2025 AC'!H$3:H$250)</f>
        <v>13996.799999999999</v>
      </c>
      <c r="K198" s="53">
        <f>SUMIF('2025 AC'!$B$3:$B$250,"*"&amp;$D198&amp;"*",'2025 AC'!I$3:I$250)</f>
        <v>14463.360000000001</v>
      </c>
      <c r="L198" s="53">
        <f>SUMIF('2025 AC'!$B$3:$B$250,"*"&amp;$D198&amp;"*",'2025 AC'!J$3:J$250)</f>
        <v>14463.360000000001</v>
      </c>
      <c r="M198" s="53">
        <f>SUMIF('2025 AC'!$B$3:$B$250,"*"&amp;$D198&amp;"*",'2025 AC'!K$3:K$250)</f>
        <v>13996.799999999999</v>
      </c>
      <c r="N198" s="53">
        <f>SUMIF('2025 AC'!$B$3:$B$250,"*"&amp;$D198&amp;"*",'2025 AC'!L$3:L$250)</f>
        <v>14463.360000000001</v>
      </c>
      <c r="O198" s="53">
        <f>SUMIF('2025 AC'!$B$3:$B$250,"*"&amp;$D198&amp;"*",'2025 AC'!M$3:M$250)</f>
        <v>13996.799999999999</v>
      </c>
      <c r="P198" s="53">
        <f>SUMIF('2025 AC'!$B$3:$B$250,"*"&amp;$D198&amp;"*",'2025 AC'!N$3:N$250)</f>
        <v>14463.360000000001</v>
      </c>
      <c r="Q198" s="94">
        <f t="shared" si="334"/>
        <v>170294.39999999997</v>
      </c>
      <c r="R198" s="93">
        <f t="shared" si="329"/>
        <v>41990.400000000001</v>
      </c>
      <c r="S198" s="93">
        <f t="shared" si="330"/>
        <v>42456.959999999999</v>
      </c>
      <c r="T198" s="93">
        <f t="shared" si="331"/>
        <v>42923.520000000004</v>
      </c>
      <c r="U198" s="93">
        <f t="shared" si="332"/>
        <v>42923.520000000004</v>
      </c>
      <c r="V198" s="92">
        <f t="shared" si="333"/>
        <v>170294.40000000002</v>
      </c>
    </row>
    <row r="199" ht="15" customHeight="1" outlineLevel="1">
      <c r="A199" t="s">
        <v>507</v>
      </c>
      <c r="B199" t="s">
        <v>508</v>
      </c>
      <c r="C199" s="34" t="s">
        <v>509</v>
      </c>
      <c r="D199" s="35" t="s">
        <v>463</v>
      </c>
      <c r="E199" s="63">
        <f>SUMIF('2025 AC'!$B$3:$B$250,"*"&amp;$D199&amp;"*",'2025 AC'!C$3:C$250)</f>
        <v>0</v>
      </c>
      <c r="F199" s="53">
        <f>SUMIF('2025 AC'!$B$3:$B$250,"*"&amp;$D199&amp;"*",'2025 AC'!D$3:D$250)</f>
        <v>0</v>
      </c>
      <c r="G199" s="53">
        <f>SUMIF('2025 AC'!$B$3:$B$250,"*"&amp;$D199&amp;"*",'2025 AC'!E$3:E$250)</f>
        <v>0</v>
      </c>
      <c r="H199" s="53">
        <f>SUMIF('2025 AC'!$B$3:$B$250,"*"&amp;$D199&amp;"*",'2025 AC'!F$3:F$250)</f>
        <v>0</v>
      </c>
      <c r="I199" s="53">
        <f>SUMIF('2025 AC'!$B$3:$B$250,"*"&amp;$D199&amp;"*",'2025 AC'!G$3:G$250)</f>
        <v>200</v>
      </c>
      <c r="J199" s="53">
        <f>SUMIF('2025 AC'!$B$3:$B$250,"*"&amp;$D199&amp;"*",'2025 AC'!H$3:H$250)</f>
        <v>0</v>
      </c>
      <c r="K199" s="53">
        <f>SUMIF('2025 AC'!$B$3:$B$250,"*"&amp;$D199&amp;"*",'2025 AC'!I$3:I$250)</f>
        <v>0</v>
      </c>
      <c r="L199" s="53">
        <f>SUMIF('2025 AC'!$B$3:$B$250,"*"&amp;$D199&amp;"*",'2025 AC'!J$3:J$250)</f>
        <v>0</v>
      </c>
      <c r="M199" s="53">
        <f>SUMIF('2025 AC'!$B$3:$B$250,"*"&amp;$D199&amp;"*",'2025 AC'!K$3:K$250)</f>
        <v>0</v>
      </c>
      <c r="N199" s="53">
        <f>SUMIF('2025 AC'!$B$3:$B$250,"*"&amp;$D199&amp;"*",'2025 AC'!L$3:L$250)</f>
        <v>0</v>
      </c>
      <c r="O199" s="53">
        <f>SUMIF('2025 AC'!$B$3:$B$250,"*"&amp;$D199&amp;"*",'2025 AC'!M$3:M$250)</f>
        <v>0</v>
      </c>
      <c r="P199" s="53">
        <f>SUMIF('2025 AC'!$B$3:$B$250,"*"&amp;$D199&amp;"*",'2025 AC'!N$3:N$250)</f>
        <v>250</v>
      </c>
      <c r="Q199" s="94">
        <f t="shared" si="334"/>
        <v>450</v>
      </c>
      <c r="R199" s="93">
        <f t="shared" si="329"/>
        <v>0</v>
      </c>
      <c r="S199" s="93">
        <f t="shared" si="330"/>
        <v>200</v>
      </c>
      <c r="T199" s="93">
        <f t="shared" si="331"/>
        <v>0</v>
      </c>
      <c r="U199" s="93">
        <f t="shared" si="332"/>
        <v>250</v>
      </c>
      <c r="V199" s="92">
        <f t="shared" si="333"/>
        <v>450</v>
      </c>
    </row>
    <row r="200" outlineLevel="1">
      <c r="A200" t="s">
        <v>510</v>
      </c>
      <c r="B200" t="s">
        <v>511</v>
      </c>
      <c r="C200" s="34" t="s">
        <v>512</v>
      </c>
      <c r="D200" s="35" t="s">
        <v>467</v>
      </c>
      <c r="E200" s="63">
        <f>SUMIF('2025 AC'!$B$3:$B$250,"*"&amp;$D200&amp;"*",'2025 AC'!C$3:C$250)</f>
        <v>0</v>
      </c>
      <c r="F200" s="53">
        <f>SUMIF('2025 AC'!$B$3:$B$250,"*"&amp;$D200&amp;"*",'2025 AC'!D$3:D$250)</f>
        <v>0</v>
      </c>
      <c r="G200" s="53">
        <f>SUMIF('2025 AC'!$B$3:$B$250,"*"&amp;$D200&amp;"*",'2025 AC'!E$3:E$250)</f>
        <v>0</v>
      </c>
      <c r="H200" s="53">
        <f>SUMIF('2025 AC'!$B$3:$B$250,"*"&amp;$D200&amp;"*",'2025 AC'!F$3:F$250)</f>
        <v>0</v>
      </c>
      <c r="I200" s="53">
        <f>SUMIF('2025 AC'!$B$3:$B$250,"*"&amp;$D200&amp;"*",'2025 AC'!G$3:G$250)</f>
        <v>0</v>
      </c>
      <c r="J200" s="53">
        <f>SUMIF('2025 AC'!$B$3:$B$250,"*"&amp;$D200&amp;"*",'2025 AC'!H$3:H$250)</f>
        <v>0</v>
      </c>
      <c r="K200" s="53">
        <f>SUMIF('2025 AC'!$B$3:$B$250,"*"&amp;$D200&amp;"*",'2025 AC'!I$3:I$250)</f>
        <v>0</v>
      </c>
      <c r="L200" s="53">
        <f>SUMIF('2025 AC'!$B$3:$B$250,"*"&amp;$D200&amp;"*",'2025 AC'!J$3:J$250)</f>
        <v>0</v>
      </c>
      <c r="M200" s="53">
        <f>SUMIF('2025 AC'!$B$3:$B$250,"*"&amp;$D200&amp;"*",'2025 AC'!K$3:K$250)</f>
        <v>0</v>
      </c>
      <c r="N200" s="53">
        <f>SUMIF('2025 AC'!$B$3:$B$250,"*"&amp;$D200&amp;"*",'2025 AC'!L$3:L$250)</f>
        <v>0</v>
      </c>
      <c r="O200" s="53">
        <f>SUMIF('2025 AC'!$B$3:$B$250,"*"&amp;$D200&amp;"*",'2025 AC'!M$3:M$250)</f>
        <v>0</v>
      </c>
      <c r="P200" s="53">
        <f>SUMIF('2025 AC'!$B$3:$B$250,"*"&amp;$D200&amp;"*",'2025 AC'!N$3:N$250)</f>
        <v>40</v>
      </c>
      <c r="Q200" s="94">
        <f t="shared" si="334"/>
        <v>40</v>
      </c>
      <c r="R200" s="93">
        <f t="shared" si="329"/>
        <v>0</v>
      </c>
      <c r="S200" s="93">
        <f t="shared" si="330"/>
        <v>0</v>
      </c>
      <c r="T200" s="93">
        <f t="shared" si="331"/>
        <v>0</v>
      </c>
      <c r="U200" s="93">
        <f t="shared" si="332"/>
        <v>40</v>
      </c>
      <c r="V200" s="92">
        <f t="shared" si="333"/>
        <v>40</v>
      </c>
    </row>
    <row r="201" ht="15" customHeight="1" outlineLevel="1">
      <c r="A201" t="s">
        <v>513</v>
      </c>
      <c r="B201" t="s">
        <v>514</v>
      </c>
      <c r="C201" s="34" t="s">
        <v>515</v>
      </c>
      <c r="D201" s="35" t="s">
        <v>470</v>
      </c>
      <c r="E201" s="63">
        <f>SUMIF('2025 AC'!$B$3:$B$250,"*"&amp;$D201&amp;"*",'2025 AC'!C$3:C$250)</f>
        <v>0</v>
      </c>
      <c r="F201" s="53">
        <f>SUMIF('2025 AC'!$B$3:$B$250,"*"&amp;$D201&amp;"*",'2025 AC'!D$3:D$250)</f>
        <v>120</v>
      </c>
      <c r="G201" s="53">
        <f>SUMIF('2025 AC'!$B$3:$B$250,"*"&amp;$D201&amp;"*",'2025 AC'!E$3:E$250)</f>
        <v>0</v>
      </c>
      <c r="H201" s="53">
        <f>SUMIF('2025 AC'!$B$3:$B$250,"*"&amp;$D201&amp;"*",'2025 AC'!F$3:F$250)</f>
        <v>33.200000000000003</v>
      </c>
      <c r="I201" s="53">
        <f>SUMIF('2025 AC'!$B$3:$B$250,"*"&amp;$D201&amp;"*",'2025 AC'!G$3:G$250)</f>
        <v>111.3</v>
      </c>
      <c r="J201" s="53">
        <f>SUMIF('2025 AC'!$B$3:$B$250,"*"&amp;$D201&amp;"*",'2025 AC'!H$3:H$250)</f>
        <v>0</v>
      </c>
      <c r="K201" s="53">
        <f>SUMIF('2025 AC'!$B$3:$B$250,"*"&amp;$D201&amp;"*",'2025 AC'!I$3:I$250)</f>
        <v>188.5</v>
      </c>
      <c r="L201" s="53">
        <f>SUMIF('2025 AC'!$B$3:$B$250,"*"&amp;$D201&amp;"*",'2025 AC'!J$3:J$250)</f>
        <v>1259.8</v>
      </c>
      <c r="M201" s="53">
        <f>SUMIF('2025 AC'!$B$3:$B$250,"*"&amp;$D201&amp;"*",'2025 AC'!K$3:K$250)</f>
        <v>225.00999999999999</v>
      </c>
      <c r="N201" s="53">
        <f>SUMIF('2025 AC'!$B$3:$B$250,"*"&amp;$D201&amp;"*",'2025 AC'!L$3:L$250)</f>
        <v>0</v>
      </c>
      <c r="O201" s="53">
        <f>SUMIF('2025 AC'!$B$3:$B$250,"*"&amp;$D201&amp;"*",'2025 AC'!M$3:M$250)</f>
        <v>180</v>
      </c>
      <c r="P201" s="53">
        <f>SUMIF('2025 AC'!$B$3:$B$250,"*"&amp;$D201&amp;"*",'2025 AC'!N$3:N$250)</f>
        <v>827.00999999999999</v>
      </c>
      <c r="Q201" s="94">
        <f t="shared" si="334"/>
        <v>2944.8199999999997</v>
      </c>
      <c r="R201" s="93">
        <f t="shared" si="329"/>
        <v>120</v>
      </c>
      <c r="S201" s="93">
        <f t="shared" si="330"/>
        <v>144.5</v>
      </c>
      <c r="T201" s="93">
        <f t="shared" si="331"/>
        <v>1673.3099999999999</v>
      </c>
      <c r="U201" s="93">
        <f t="shared" si="332"/>
        <v>1007.01</v>
      </c>
      <c r="V201" s="92">
        <f t="shared" si="333"/>
        <v>2944.8199999999997</v>
      </c>
    </row>
    <row r="202" ht="15" customHeight="1" outlineLevel="1">
      <c r="A202" t="s">
        <v>516</v>
      </c>
      <c r="B202" t="s">
        <v>517</v>
      </c>
      <c r="C202" s="34" t="s">
        <v>518</v>
      </c>
      <c r="D202" s="35" t="s">
        <v>477</v>
      </c>
      <c r="E202" s="63">
        <f>SUMIF('2025 AC'!$B$3:$B$250,"*"&amp;$D202&amp;"*",'2025 AC'!C$3:C$250)</f>
        <v>63538.949999999997</v>
      </c>
      <c r="F202" s="53">
        <f>SUMIF('2025 AC'!$B$3:$B$250,"*"&amp;$D202&amp;"*",'2025 AC'!D$3:D$250)</f>
        <v>61664</v>
      </c>
      <c r="G202" s="53">
        <f>SUMIF('2025 AC'!$B$3:$B$250,"*"&amp;$D202&amp;"*",'2025 AC'!E$3:E$250)</f>
        <v>55174.400000000001</v>
      </c>
      <c r="H202" s="53">
        <f>SUMIF('2025 AC'!$B$3:$B$250,"*"&amp;$D202&amp;"*",'2025 AC'!F$3:F$250)</f>
        <v>59959.699999999997</v>
      </c>
      <c r="I202" s="53">
        <f>SUMIF('2025 AC'!$B$3:$B$250,"*"&amp;$D202&amp;"*",'2025 AC'!G$3:G$250)</f>
        <v>59416.25</v>
      </c>
      <c r="J202" s="53">
        <f>SUMIF('2025 AC'!$B$3:$B$250,"*"&amp;$D202&amp;"*",'2025 AC'!H$3:H$250)</f>
        <v>66980.600000000006</v>
      </c>
      <c r="K202" s="53">
        <f>SUMIF('2025 AC'!$B$3:$B$250,"*"&amp;$D202&amp;"*",'2025 AC'!I$3:I$250)</f>
        <v>61639.75</v>
      </c>
      <c r="L202" s="53">
        <f>SUMIF('2025 AC'!$B$3:$B$250,"*"&amp;$D202&amp;"*",'2025 AC'!J$3:J$250)</f>
        <v>55904.150000000001</v>
      </c>
      <c r="M202" s="53">
        <f>SUMIF('2025 AC'!$B$3:$B$250,"*"&amp;$D202&amp;"*",'2025 AC'!K$3:K$250)</f>
        <v>53604.099999999999</v>
      </c>
      <c r="N202" s="53">
        <f>SUMIF('2025 AC'!$B$3:$B$250,"*"&amp;$D202&amp;"*",'2025 AC'!L$3:L$250)</f>
        <v>56110.949999999997</v>
      </c>
      <c r="O202" s="53">
        <f>SUMIF('2025 AC'!$B$3:$B$250,"*"&amp;$D202&amp;"*",'2025 AC'!M$3:M$250)</f>
        <v>48418.349999999999</v>
      </c>
      <c r="P202" s="53">
        <f>SUMIF('2025 AC'!$B$3:$B$250,"*"&amp;$D202&amp;"*",'2025 AC'!N$3:N$250)</f>
        <v>39878.769999999997</v>
      </c>
      <c r="Q202" s="94">
        <f t="shared" si="334"/>
        <v>682289.96999999997</v>
      </c>
      <c r="R202" s="93">
        <f t="shared" ref="R202:R228" si="335">SUM(E202:G202)</f>
        <v>180377.35000000001</v>
      </c>
      <c r="S202" s="93">
        <f t="shared" ref="S202:S228" si="336">SUM(H202:J202)</f>
        <v>186356.54999999999</v>
      </c>
      <c r="T202" s="93">
        <f t="shared" ref="T202:T228" si="337">SUM(K202:M202)</f>
        <v>171148</v>
      </c>
      <c r="U202" s="93">
        <f t="shared" ref="U202:U228" si="338">SUM(N202:P202)</f>
        <v>144408.06999999998</v>
      </c>
      <c r="V202" s="92">
        <f t="shared" ref="V202:V228" si="339">SUM(R202:U202)</f>
        <v>682289.96999999997</v>
      </c>
    </row>
    <row r="203" ht="15" customHeight="1" outlineLevel="1">
      <c r="A203" t="s">
        <v>519</v>
      </c>
      <c r="B203" t="s">
        <v>520</v>
      </c>
      <c r="C203" s="34" t="s">
        <v>521</v>
      </c>
      <c r="D203" s="35" t="s">
        <v>480</v>
      </c>
      <c r="E203" s="63">
        <f>SUMIF('2025 AC'!$B$3:$B$250,"*"&amp;$D203&amp;"*",'2025 AC'!C$3:C$250)</f>
        <v>5668.9499999999998</v>
      </c>
      <c r="F203" s="53">
        <f>SUMIF('2025 AC'!$B$3:$B$250,"*"&amp;$D203&amp;"*",'2025 AC'!D$3:D$250)</f>
        <v>8175.0500000000002</v>
      </c>
      <c r="G203" s="53">
        <f>SUMIF('2025 AC'!$B$3:$B$250,"*"&amp;$D203&amp;"*",'2025 AC'!E$3:E$250)</f>
        <v>5301.9499999999998</v>
      </c>
      <c r="H203" s="53">
        <f>SUMIF('2025 AC'!$B$3:$B$250,"*"&amp;$D203&amp;"*",'2025 AC'!F$3:F$250)</f>
        <v>7539.3000000000002</v>
      </c>
      <c r="I203" s="53">
        <f>SUMIF('2025 AC'!$B$3:$B$250,"*"&amp;$D203&amp;"*",'2025 AC'!G$3:G$250)</f>
        <v>8353.7000000000007</v>
      </c>
      <c r="J203" s="53">
        <f>SUMIF('2025 AC'!$B$3:$B$250,"*"&amp;$D203&amp;"*",'2025 AC'!H$3:H$250)</f>
        <v>8685.8999999999996</v>
      </c>
      <c r="K203" s="53">
        <f>SUMIF('2025 AC'!$B$3:$B$250,"*"&amp;$D203&amp;"*",'2025 AC'!I$3:I$250)</f>
        <v>8827</v>
      </c>
      <c r="L203" s="53">
        <f>SUMIF('2025 AC'!$B$3:$B$250,"*"&amp;$D203&amp;"*",'2025 AC'!J$3:J$250)</f>
        <v>8618.2999999999993</v>
      </c>
      <c r="M203" s="53">
        <f>SUMIF('2025 AC'!$B$3:$B$250,"*"&amp;$D203&amp;"*",'2025 AC'!K$3:K$250)</f>
        <v>11383.65</v>
      </c>
      <c r="N203" s="53">
        <f>SUMIF('2025 AC'!$B$3:$B$250,"*"&amp;$D203&amp;"*",'2025 AC'!L$3:L$250)</f>
        <v>11162.450000000001</v>
      </c>
      <c r="O203" s="53">
        <f>SUMIF('2025 AC'!$B$3:$B$250,"*"&amp;$D203&amp;"*",'2025 AC'!M$3:M$250)</f>
        <v>8872.1000000000004</v>
      </c>
      <c r="P203" s="53">
        <f>SUMIF('2025 AC'!$B$3:$B$250,"*"&amp;$D203&amp;"*",'2025 AC'!N$3:N$250)</f>
        <v>9807.4899999999998</v>
      </c>
      <c r="Q203" s="94">
        <f t="shared" si="334"/>
        <v>102395.84</v>
      </c>
      <c r="R203" s="93">
        <f t="shared" si="335"/>
        <v>19145.950000000001</v>
      </c>
      <c r="S203" s="93">
        <f t="shared" si="336"/>
        <v>24578.900000000001</v>
      </c>
      <c r="T203" s="93">
        <f t="shared" si="337"/>
        <v>28828.949999999997</v>
      </c>
      <c r="U203" s="93">
        <f t="shared" si="338"/>
        <v>29842.040000000001</v>
      </c>
      <c r="V203" s="92">
        <f t="shared" si="339"/>
        <v>102395.84</v>
      </c>
    </row>
    <row r="204" outlineLevel="1">
      <c r="A204" t="s">
        <v>522</v>
      </c>
      <c r="B204" t="s">
        <v>523</v>
      </c>
      <c r="C204" s="34" t="s">
        <v>524</v>
      </c>
      <c r="D204" s="35" t="s">
        <v>483</v>
      </c>
      <c r="E204" s="63">
        <f>SUMIF('2025 AC'!$B$3:$B$250,"*"&amp;$D204&amp;"*",'2025 AC'!C$3:C$250)</f>
        <v>2485.3499999999999</v>
      </c>
      <c r="F204" s="53">
        <f>SUMIF('2025 AC'!$B$3:$B$250,"*"&amp;$D204&amp;"*",'2025 AC'!D$3:D$250)</f>
        <v>2852.5999999999999</v>
      </c>
      <c r="G204" s="53">
        <f>SUMIF('2025 AC'!$B$3:$B$250,"*"&amp;$D204&amp;"*",'2025 AC'!E$3:E$250)</f>
        <v>2855.25</v>
      </c>
      <c r="H204" s="53">
        <f>SUMIF('2025 AC'!$B$3:$B$250,"*"&amp;$D204&amp;"*",'2025 AC'!F$3:F$250)</f>
        <v>2999.6999999999998</v>
      </c>
      <c r="I204" s="53">
        <f>SUMIF('2025 AC'!$B$3:$B$250,"*"&amp;$D204&amp;"*",'2025 AC'!G$3:G$250)</f>
        <v>2868.6500000000001</v>
      </c>
      <c r="J204" s="53">
        <f>SUMIF('2025 AC'!$B$3:$B$250,"*"&amp;$D204&amp;"*",'2025 AC'!H$3:H$250)</f>
        <v>2859.5</v>
      </c>
      <c r="K204" s="53">
        <f>SUMIF('2025 AC'!$B$3:$B$250,"*"&amp;$D204&amp;"*",'2025 AC'!I$3:I$250)</f>
        <v>2847.3499999999999</v>
      </c>
      <c r="L204" s="53">
        <f>SUMIF('2025 AC'!$B$3:$B$250,"*"&amp;$D204&amp;"*",'2025 AC'!J$3:J$250)</f>
        <v>2857.52</v>
      </c>
      <c r="M204" s="53">
        <f>SUMIF('2025 AC'!$B$3:$B$250,"*"&amp;$D204&amp;"*",'2025 AC'!K$3:K$250)</f>
        <v>3684.6999999999998</v>
      </c>
      <c r="N204" s="53">
        <f>SUMIF('2025 AC'!$B$3:$B$250,"*"&amp;$D204&amp;"*",'2025 AC'!L$3:L$250)</f>
        <v>3189.3499999999999</v>
      </c>
      <c r="O204" s="53">
        <f>SUMIF('2025 AC'!$B$3:$B$250,"*"&amp;$D204&amp;"*",'2025 AC'!M$3:M$250)</f>
        <v>3287.9000000000001</v>
      </c>
      <c r="P204" s="53">
        <f>SUMIF('2025 AC'!$B$3:$B$250,"*"&amp;$D204&amp;"*",'2025 AC'!N$3:N$250)</f>
        <v>3126.25</v>
      </c>
      <c r="Q204" s="94">
        <f t="shared" si="334"/>
        <v>35914.120000000003</v>
      </c>
      <c r="R204" s="93">
        <f t="shared" si="335"/>
        <v>8193.2000000000007</v>
      </c>
      <c r="S204" s="93">
        <f t="shared" si="336"/>
        <v>8727.8500000000004</v>
      </c>
      <c r="T204" s="93">
        <f t="shared" si="337"/>
        <v>9389.5699999999997</v>
      </c>
      <c r="U204" s="93">
        <f t="shared" si="338"/>
        <v>9603.5</v>
      </c>
      <c r="V204" s="92">
        <f t="shared" si="339"/>
        <v>35914.120000000003</v>
      </c>
    </row>
    <row r="205" outlineLevel="1">
      <c r="A205" t="s">
        <v>525</v>
      </c>
      <c r="B205" t="s">
        <v>526</v>
      </c>
      <c r="C205" s="34" t="s">
        <v>527</v>
      </c>
      <c r="D205" s="35" t="s">
        <v>486</v>
      </c>
      <c r="E205" s="63">
        <f>SUMIF('2025 AC'!$B$3:$B$250,"*"&amp;$D205&amp;"*",'2025 AC'!C$3:C$250)</f>
        <v>6196.1999999999998</v>
      </c>
      <c r="F205" s="53">
        <f>SUMIF('2025 AC'!$B$3:$B$250,"*"&amp;$D205&amp;"*",'2025 AC'!D$3:D$250)</f>
        <v>6295.6499999999996</v>
      </c>
      <c r="G205" s="53">
        <f>SUMIF('2025 AC'!$B$3:$B$250,"*"&amp;$D205&amp;"*",'2025 AC'!E$3:E$250)</f>
        <v>6295.6499999999996</v>
      </c>
      <c r="H205" s="53">
        <f>SUMIF('2025 AC'!$B$3:$B$250,"*"&amp;$D205&amp;"*",'2025 AC'!F$3:F$250)</f>
        <v>6295.6499999999996</v>
      </c>
      <c r="I205" s="53">
        <f>SUMIF('2025 AC'!$B$3:$B$250,"*"&amp;$D205&amp;"*",'2025 AC'!G$3:G$250)</f>
        <v>6295.6499999999996</v>
      </c>
      <c r="J205" s="53">
        <f>SUMIF('2025 AC'!$B$3:$B$250,"*"&amp;$D205&amp;"*",'2025 AC'!H$3:H$250)</f>
        <v>6295.6499999999996</v>
      </c>
      <c r="K205" s="53">
        <f>SUMIF('2025 AC'!$B$3:$B$250,"*"&amp;$D205&amp;"*",'2025 AC'!I$3:I$250)</f>
        <v>62.700000000000003</v>
      </c>
      <c r="L205" s="53">
        <f>SUMIF('2025 AC'!$B$3:$B$250,"*"&amp;$D205&amp;"*",'2025 AC'!J$3:J$250)</f>
        <v>20150.700000000001</v>
      </c>
      <c r="M205" s="53">
        <f>SUMIF('2025 AC'!$B$3:$B$250,"*"&amp;$D205&amp;"*",'2025 AC'!K$3:K$250)</f>
        <v>5967.6000000000004</v>
      </c>
      <c r="N205" s="53">
        <f>SUMIF('2025 AC'!$B$3:$B$250,"*"&amp;$D205&amp;"*",'2025 AC'!L$3:L$250)</f>
        <v>5967.6000000000004</v>
      </c>
      <c r="O205" s="53">
        <f>SUMIF('2025 AC'!$B$3:$B$250,"*"&amp;$D205&amp;"*",'2025 AC'!M$3:M$250)</f>
        <v>5967.6000000000004</v>
      </c>
      <c r="P205" s="53">
        <f>SUMIF('2025 AC'!$B$3:$B$250,"*"&amp;$D205&amp;"*",'2025 AC'!N$3:N$250)</f>
        <v>5967.6000000000004</v>
      </c>
      <c r="Q205" s="94">
        <f t="shared" si="334"/>
        <v>81758.250000000015</v>
      </c>
      <c r="R205" s="93">
        <f t="shared" si="335"/>
        <v>18787.5</v>
      </c>
      <c r="S205" s="93">
        <f t="shared" si="336"/>
        <v>18886.949999999997</v>
      </c>
      <c r="T205" s="93">
        <f t="shared" si="337"/>
        <v>26181</v>
      </c>
      <c r="U205" s="93">
        <f t="shared" si="338"/>
        <v>17902.800000000003</v>
      </c>
      <c r="V205" s="92">
        <f t="shared" si="339"/>
        <v>81758.25</v>
      </c>
    </row>
    <row r="206" ht="15" customHeight="1" outlineLevel="1">
      <c r="A206" s="195"/>
      <c r="C206" s="34" t="s">
        <v>528</v>
      </c>
      <c r="D206" s="35" t="s">
        <v>490</v>
      </c>
      <c r="E206" s="63">
        <f>SUMIF('2025 AC'!$B$3:$B$250,"*"&amp;$D206&amp;"*",'2025 AC'!C$3:C$250)</f>
        <v>3900</v>
      </c>
      <c r="F206" s="53">
        <f>SUMIF('2025 AC'!$B$3:$B$250,"*"&amp;$D206&amp;"*",'2025 AC'!D$3:D$250)</f>
        <v>4705</v>
      </c>
      <c r="G206" s="53">
        <f>SUMIF('2025 AC'!$B$3:$B$250,"*"&amp;$D206&amp;"*",'2025 AC'!E$3:E$250)</f>
        <v>3129</v>
      </c>
      <c r="H206" s="53">
        <f>SUMIF('2025 AC'!$B$3:$B$250,"*"&amp;$D206&amp;"*",'2025 AC'!F$3:F$250)</f>
        <v>3120</v>
      </c>
      <c r="I206" s="53">
        <f>SUMIF('2025 AC'!$B$3:$B$250,"*"&amp;$D206&amp;"*",'2025 AC'!G$3:G$250)</f>
        <v>2925</v>
      </c>
      <c r="J206" s="53">
        <f>SUMIF('2025 AC'!$B$3:$B$250,"*"&amp;$D206&amp;"*",'2025 AC'!H$3:H$250)</f>
        <v>1365</v>
      </c>
      <c r="K206" s="53">
        <f>SUMIF('2025 AC'!$B$3:$B$250,"*"&amp;$D206&amp;"*",'2025 AC'!I$3:I$250)</f>
        <v>3120</v>
      </c>
      <c r="L206" s="53">
        <f>SUMIF('2025 AC'!$B$3:$B$250,"*"&amp;$D206&amp;"*",'2025 AC'!J$3:J$250)</f>
        <v>2730</v>
      </c>
      <c r="M206" s="53">
        <f>SUMIF('2025 AC'!$B$3:$B$250,"*"&amp;$D206&amp;"*",'2025 AC'!K$3:K$250)</f>
        <v>2730</v>
      </c>
      <c r="N206" s="53">
        <f>SUMIF('2025 AC'!$B$3:$B$250,"*"&amp;$D206&amp;"*",'2025 AC'!L$3:L$250)</f>
        <v>2730</v>
      </c>
      <c r="O206" s="53">
        <f>SUMIF('2025 AC'!$B$3:$B$250,"*"&amp;$D206&amp;"*",'2025 AC'!M$3:M$250)</f>
        <v>2730</v>
      </c>
      <c r="P206" s="53">
        <f>SUMIF('2025 AC'!$B$3:$B$250,"*"&amp;$D206&amp;"*",'2025 AC'!N$3:N$250)</f>
        <v>-2309.7399999999998</v>
      </c>
      <c r="Q206" s="94">
        <f t="shared" si="334"/>
        <v>30874.260000000002</v>
      </c>
      <c r="R206" s="93">
        <f t="shared" si="335"/>
        <v>11734</v>
      </c>
      <c r="S206" s="93">
        <f t="shared" si="336"/>
        <v>7410</v>
      </c>
      <c r="T206" s="93">
        <f t="shared" si="337"/>
        <v>8580</v>
      </c>
      <c r="U206" s="93">
        <f t="shared" si="338"/>
        <v>3150.2600000000002</v>
      </c>
      <c r="V206" s="92">
        <f t="shared" si="339"/>
        <v>30874.260000000002</v>
      </c>
    </row>
    <row r="207" ht="15" customHeight="1" outlineLevel="1">
      <c r="A207" s="195" t="s">
        <v>529</v>
      </c>
      <c r="C207" s="34" t="s">
        <v>530</v>
      </c>
      <c r="D207" s="35" t="s">
        <v>496</v>
      </c>
      <c r="E207" s="63">
        <f>SUMIF('2025 AC'!$B$3:$B$250,"*"&amp;$D207&amp;"*",'2025 AC'!C$3:C$250)</f>
        <v>0</v>
      </c>
      <c r="F207" s="53">
        <f>SUMIF('2025 AC'!$B$3:$B$250,"*"&amp;$D207&amp;"*",'2025 AC'!D$3:D$250)</f>
        <v>0</v>
      </c>
      <c r="G207" s="53">
        <f>SUMIF('2025 AC'!$B$3:$B$250,"*"&amp;$D207&amp;"*",'2025 AC'!E$3:E$250)</f>
        <v>0</v>
      </c>
      <c r="H207" s="53">
        <f>SUMIF('2025 AC'!$B$3:$B$250,"*"&amp;$D207&amp;"*",'2025 AC'!F$3:F$250)</f>
        <v>0</v>
      </c>
      <c r="I207" s="53">
        <f>SUMIF('2025 AC'!$B$3:$B$250,"*"&amp;$D207&amp;"*",'2025 AC'!G$3:G$250)</f>
        <v>0</v>
      </c>
      <c r="J207" s="53">
        <f>SUMIF('2025 AC'!$B$3:$B$250,"*"&amp;$D207&amp;"*",'2025 AC'!H$3:H$250)</f>
        <v>0</v>
      </c>
      <c r="K207" s="53">
        <f>SUMIF('2025 AC'!$B$3:$B$250,"*"&amp;$D207&amp;"*",'2025 AC'!I$3:I$250)</f>
        <v>0</v>
      </c>
      <c r="L207" s="53">
        <f>SUMIF('2025 AC'!$B$3:$B$250,"*"&amp;$D207&amp;"*",'2025 AC'!J$3:J$250)</f>
        <v>0</v>
      </c>
      <c r="M207" s="53">
        <f>SUMIF('2025 AC'!$B$3:$B$250,"*"&amp;$D207&amp;"*",'2025 AC'!K$3:K$250)</f>
        <v>0</v>
      </c>
      <c r="N207" s="53">
        <f>SUMIF('2025 AC'!$B$3:$B$250,"*"&amp;$D207&amp;"*",'2025 AC'!L$3:L$250)</f>
        <v>0</v>
      </c>
      <c r="O207" s="53">
        <f>SUMIF('2025 AC'!$B$3:$B$250,"*"&amp;$D207&amp;"*",'2025 AC'!M$3:M$250)</f>
        <v>760.5</v>
      </c>
      <c r="P207" s="53">
        <f>SUMIF('2025 AC'!$B$3:$B$250,"*"&amp;$D207&amp;"*",'2025 AC'!N$3:N$250)</f>
        <v>0</v>
      </c>
      <c r="Q207" s="94">
        <f t="shared" si="334"/>
        <v>760.5</v>
      </c>
      <c r="R207" s="93">
        <f t="shared" si="335"/>
        <v>0</v>
      </c>
      <c r="S207" s="93">
        <f t="shared" si="336"/>
        <v>0</v>
      </c>
      <c r="T207" s="93">
        <f t="shared" si="337"/>
        <v>0</v>
      </c>
      <c r="U207" s="93">
        <f t="shared" si="338"/>
        <v>760.5</v>
      </c>
      <c r="V207" s="92">
        <f t="shared" si="339"/>
        <v>760.5</v>
      </c>
    </row>
    <row r="208" ht="15" customHeight="1" outlineLevel="1">
      <c r="A208" t="s">
        <v>531</v>
      </c>
      <c r="B208" t="s">
        <v>532</v>
      </c>
      <c r="C208" s="34" t="s">
        <v>533</v>
      </c>
      <c r="D208" s="156" t="s">
        <v>499</v>
      </c>
      <c r="E208" s="63">
        <f>SUMIF('2025 AC'!$B$3:$B$250,"*"&amp;$D208&amp;"*",'2025 AC'!C$3:C$250)</f>
        <v>0</v>
      </c>
      <c r="F208" s="53">
        <f>SUMIF('2025 AC'!$B$3:$B$250,"*"&amp;$D208&amp;"*",'2025 AC'!D$3:D$250)</f>
        <v>0</v>
      </c>
      <c r="G208" s="53">
        <f>SUMIF('2025 AC'!$B$3:$B$250,"*"&amp;$D208&amp;"*",'2025 AC'!E$3:E$250)</f>
        <v>0</v>
      </c>
      <c r="H208" s="53">
        <f>SUMIF('2025 AC'!$B$3:$B$250,"*"&amp;$D208&amp;"*",'2025 AC'!F$3:F$250)</f>
        <v>0</v>
      </c>
      <c r="I208" s="53">
        <f>SUMIF('2025 AC'!$B$3:$B$250,"*"&amp;$D208&amp;"*",'2025 AC'!G$3:G$250)</f>
        <v>0</v>
      </c>
      <c r="J208" s="53">
        <f>SUMIF('2025 AC'!$B$3:$B$250,"*"&amp;$D208&amp;"*",'2025 AC'!H$3:H$250)</f>
        <v>2360.0900000000001</v>
      </c>
      <c r="K208" s="53">
        <f>SUMIF('2025 AC'!$B$3:$B$250,"*"&amp;$D208&amp;"*",'2025 AC'!I$3:I$250)</f>
        <v>0</v>
      </c>
      <c r="L208" s="53">
        <f>SUMIF('2025 AC'!$B$3:$B$250,"*"&amp;$D208&amp;"*",'2025 AC'!J$3:J$250)</f>
        <v>0</v>
      </c>
      <c r="M208" s="53">
        <f>SUMIF('2025 AC'!$B$3:$B$250,"*"&amp;$D208&amp;"*",'2025 AC'!K$3:K$250)</f>
        <v>0</v>
      </c>
      <c r="N208" s="53">
        <f>SUMIF('2025 AC'!$B$3:$B$250,"*"&amp;$D208&amp;"*",'2025 AC'!L$3:L$250)</f>
        <v>0</v>
      </c>
      <c r="O208" s="53">
        <f>SUMIF('2025 AC'!$B$3:$B$250,"*"&amp;$D208&amp;"*",'2025 AC'!M$3:M$250)</f>
        <v>0</v>
      </c>
      <c r="P208" s="53">
        <f>SUMIF('2025 AC'!$B$3:$B$250,"*"&amp;$D208&amp;"*",'2025 AC'!N$3:N$250)</f>
        <v>0</v>
      </c>
      <c r="Q208" s="94">
        <f t="shared" si="334"/>
        <v>2360.0900000000001</v>
      </c>
      <c r="R208" s="93">
        <f t="shared" si="335"/>
        <v>0</v>
      </c>
      <c r="S208" s="93">
        <f t="shared" si="336"/>
        <v>2360.0900000000001</v>
      </c>
      <c r="T208" s="93">
        <f t="shared" si="337"/>
        <v>0</v>
      </c>
      <c r="U208" s="93">
        <f t="shared" si="338"/>
        <v>0</v>
      </c>
      <c r="V208" s="92">
        <f t="shared" si="339"/>
        <v>2360.0900000000001</v>
      </c>
    </row>
    <row r="209" outlineLevel="1">
      <c r="A209" s="195"/>
      <c r="C209" s="34" t="s">
        <v>534</v>
      </c>
      <c r="D209" s="156" t="s">
        <v>535</v>
      </c>
      <c r="E209" s="63">
        <f>SUMIF('2025 AC'!$B$3:$B$250,"*"&amp;$D209&amp;"*",'2025 AC'!C$3:C$250)</f>
        <v>0</v>
      </c>
      <c r="F209" s="53">
        <f>SUMIF('2025 AC'!$B$3:$B$250,"*"&amp;$D209&amp;"*",'2025 AC'!D$3:D$250)</f>
        <v>0</v>
      </c>
      <c r="G209" s="53">
        <f>SUMIF('2025 AC'!$B$3:$B$250,"*"&amp;$D209&amp;"*",'2025 AC'!E$3:E$250)</f>
        <v>0</v>
      </c>
      <c r="H209" s="53">
        <f>SUMIF('2025 AC'!$B$3:$B$250,"*"&amp;$D209&amp;"*",'2025 AC'!F$3:F$250)</f>
        <v>0</v>
      </c>
      <c r="I209" s="53">
        <f>SUMIF('2025 AC'!$B$3:$B$250,"*"&amp;$D209&amp;"*",'2025 AC'!G$3:G$250)</f>
        <v>1160.75</v>
      </c>
      <c r="J209" s="53">
        <f>SUMIF('2025 AC'!$B$3:$B$250,"*"&amp;$D209&amp;"*",'2025 AC'!H$3:H$250)</f>
        <v>0</v>
      </c>
      <c r="K209" s="53">
        <f>SUMIF('2025 AC'!$B$3:$B$250,"*"&amp;$D209&amp;"*",'2025 AC'!I$3:I$250)</f>
        <v>0</v>
      </c>
      <c r="L209" s="53">
        <f>SUMIF('2025 AC'!$B$3:$B$250,"*"&amp;$D209&amp;"*",'2025 AC'!J$3:J$250)</f>
        <v>0</v>
      </c>
      <c r="M209" s="53">
        <f>SUMIF('2025 AC'!$B$3:$B$250,"*"&amp;$D209&amp;"*",'2025 AC'!K$3:K$250)</f>
        <v>0</v>
      </c>
      <c r="N209" s="53">
        <f>SUMIF('2025 AC'!$B$3:$B$250,"*"&amp;$D209&amp;"*",'2025 AC'!L$3:L$250)</f>
        <v>0</v>
      </c>
      <c r="O209" s="53">
        <f>SUMIF('2025 AC'!$B$3:$B$250,"*"&amp;$D209&amp;"*",'2025 AC'!M$3:M$250)</f>
        <v>1098.45</v>
      </c>
      <c r="P209" s="53">
        <f>SUMIF('2025 AC'!$B$3:$B$250,"*"&amp;$D209&amp;"*",'2025 AC'!N$3:N$250)</f>
        <v>0</v>
      </c>
      <c r="Q209" s="94">
        <f t="shared" si="334"/>
        <v>2259.1999999999998</v>
      </c>
      <c r="R209" s="93">
        <f t="shared" si="335"/>
        <v>0</v>
      </c>
      <c r="S209" s="93">
        <f t="shared" si="336"/>
        <v>1160.75</v>
      </c>
      <c r="T209" s="93">
        <f t="shared" si="337"/>
        <v>0</v>
      </c>
      <c r="U209" s="93">
        <f t="shared" si="338"/>
        <v>1098.45</v>
      </c>
      <c r="V209" s="92">
        <f t="shared" si="339"/>
        <v>2259.1999999999998</v>
      </c>
    </row>
    <row r="210" s="137" customFormat="1">
      <c r="A210" s="196" t="s">
        <v>536</v>
      </c>
      <c r="C210" s="173" t="s">
        <v>537</v>
      </c>
      <c r="D210" s="139" t="s">
        <v>502</v>
      </c>
      <c r="E210" s="145">
        <f>SUMIF('2025 AC'!$B$3:$B$250,"*"&amp;$D210&amp;"*",'2025 AC'!C$3:C$250)</f>
        <v>0</v>
      </c>
      <c r="F210" s="146">
        <f>SUMIF('2025 AC'!$B$3:$B$250,"*"&amp;$D210&amp;"*",'2025 AC'!D$3:D$250)</f>
        <v>1400</v>
      </c>
      <c r="G210" s="146">
        <f>SUMIF('2025 AC'!$B$3:$B$250,"*"&amp;$D210&amp;"*",'2025 AC'!E$3:E$250)</f>
        <v>75</v>
      </c>
      <c r="H210" s="146">
        <f>SUMIF('2025 AC'!$B$3:$B$250,"*"&amp;$D210&amp;"*",'2025 AC'!F$3:F$250)</f>
        <v>50</v>
      </c>
      <c r="I210" s="146">
        <f>SUMIF('2025 AC'!$B$3:$B$250,"*"&amp;$D210&amp;"*",'2025 AC'!G$3:G$250)</f>
        <v>0</v>
      </c>
      <c r="J210" s="146">
        <f>SUMIF('2025 AC'!$B$3:$B$250,"*"&amp;$D210&amp;"*",'2025 AC'!H$3:H$250)</f>
        <v>1800</v>
      </c>
      <c r="K210" s="146">
        <f>SUMIF('2025 AC'!$B$3:$B$250,"*"&amp;$D210&amp;"*",'2025 AC'!I$3:I$250)</f>
        <v>4060</v>
      </c>
      <c r="L210" s="146">
        <f>SUMIF('2025 AC'!$B$3:$B$250,"*"&amp;$D210&amp;"*",'2025 AC'!J$3:J$250)</f>
        <v>1000</v>
      </c>
      <c r="M210" s="146">
        <f>SUMIF('2025 AC'!$B$3:$B$250,"*"&amp;$D210&amp;"*",'2025 AC'!K$3:K$250)</f>
        <v>659</v>
      </c>
      <c r="N210" s="146">
        <f>SUMIF('2025 AC'!$B$3:$B$250,"*"&amp;$D210&amp;"*",'2025 AC'!L$3:L$250)</f>
        <v>500</v>
      </c>
      <c r="O210" s="146">
        <f>SUMIF('2025 AC'!$B$3:$B$250,"*"&amp;$D210&amp;"*",'2025 AC'!M$3:M$250)</f>
        <v>570</v>
      </c>
      <c r="P210" s="146">
        <f>SUMIF('2025 AC'!$B$3:$B$250,"*"&amp;$D210&amp;"*",'2025 AC'!N$3:N$250)</f>
        <v>1094</v>
      </c>
      <c r="Q210" s="149">
        <f t="shared" si="334"/>
        <v>11208</v>
      </c>
      <c r="R210" s="147">
        <f t="shared" si="335"/>
        <v>1475</v>
      </c>
      <c r="S210" s="147">
        <f t="shared" si="336"/>
        <v>1850</v>
      </c>
      <c r="T210" s="147">
        <f t="shared" si="337"/>
        <v>5719</v>
      </c>
      <c r="U210" s="147">
        <f t="shared" si="338"/>
        <v>2164</v>
      </c>
      <c r="V210" s="148">
        <f t="shared" si="339"/>
        <v>11208</v>
      </c>
    </row>
    <row r="211" s="164" customFormat="1" ht="15" customHeight="1" outlineLevel="1">
      <c r="A211" s="185" t="s">
        <v>538</v>
      </c>
      <c r="C211" s="165" t="s">
        <v>539</v>
      </c>
      <c r="D211" s="166" t="s">
        <v>505</v>
      </c>
      <c r="E211" s="168">
        <f>SUMIF('2025 AC'!$B$3:$B$250,"*"&amp;$D211&amp;"*",'2025 AC'!C$3:C$250)</f>
        <v>0</v>
      </c>
      <c r="F211" s="169">
        <f>SUMIF('2025 AC'!$B$3:$B$250,"*"&amp;$D211&amp;"*",'2025 AC'!D$3:D$250)</f>
        <v>0</v>
      </c>
      <c r="G211" s="169">
        <f>SUMIF('2025 AC'!$B$3:$B$250,"*"&amp;$D211&amp;"*",'2025 AC'!E$3:E$250)</f>
        <v>0</v>
      </c>
      <c r="H211" s="169">
        <f>SUMIF('2025 AC'!$B$3:$B$250,"*"&amp;$D211&amp;"*",'2025 AC'!F$3:F$250)</f>
        <v>0</v>
      </c>
      <c r="I211" s="169">
        <f>SUMIF('2025 AC'!$B$3:$B$250,"*"&amp;$D211&amp;"*",'2025 AC'!G$3:G$250)</f>
        <v>0</v>
      </c>
      <c r="J211" s="169">
        <f>SUMIF('2025 AC'!$B$3:$B$250,"*"&amp;$D211&amp;"*",'2025 AC'!H$3:H$250)</f>
        <v>0</v>
      </c>
      <c r="K211" s="169">
        <f>SUMIF('2025 AC'!$B$3:$B$250,"*"&amp;$D211&amp;"*",'2025 AC'!I$3:I$250)</f>
        <v>0</v>
      </c>
      <c r="L211" s="169">
        <f>SUMIF('2025 AC'!$B$3:$B$250,"*"&amp;$D211&amp;"*",'2025 AC'!J$3:J$250)</f>
        <v>0</v>
      </c>
      <c r="M211" s="169">
        <f>SUMIF('2025 AC'!$B$3:$B$250,"*"&amp;$D211&amp;"*",'2025 AC'!K$3:K$250)</f>
        <v>0</v>
      </c>
      <c r="N211" s="169">
        <f>SUMIF('2025 AC'!$B$3:$B$250,"*"&amp;$D211&amp;"*",'2025 AC'!L$3:L$250)</f>
        <v>0</v>
      </c>
      <c r="O211" s="169">
        <f>SUMIF('2025 AC'!$B$3:$B$250,"*"&amp;$D211&amp;"*",'2025 AC'!M$3:M$250)</f>
        <v>0</v>
      </c>
      <c r="P211" s="169">
        <f>SUMIF('2025 AC'!$B$3:$B$250,"*"&amp;$D211&amp;"*",'2025 AC'!N$3:N$250)</f>
        <v>0</v>
      </c>
      <c r="Q211" s="172">
        <f t="shared" si="334"/>
        <v>0</v>
      </c>
      <c r="R211" s="170">
        <f t="shared" si="335"/>
        <v>0</v>
      </c>
      <c r="S211" s="170">
        <f t="shared" si="336"/>
        <v>0</v>
      </c>
      <c r="T211" s="170">
        <f t="shared" si="337"/>
        <v>0</v>
      </c>
      <c r="U211" s="170">
        <f t="shared" si="338"/>
        <v>0</v>
      </c>
      <c r="V211" s="171">
        <f t="shared" si="339"/>
        <v>0</v>
      </c>
    </row>
    <row r="212" s="137" customFormat="1" ht="15" customHeight="1">
      <c r="A212" s="196"/>
      <c r="C212" s="173" t="s">
        <v>540</v>
      </c>
      <c r="D212" s="139" t="s">
        <v>508</v>
      </c>
      <c r="E212" s="145">
        <f>SUMIF('2025 AC'!$B$3:$B$250,"*"&amp;$D212&amp;"*",'2025 AC'!C$3:C$250)</f>
        <v>0</v>
      </c>
      <c r="F212" s="146">
        <f>SUMIF('2025 AC'!$B$3:$B$250,"*"&amp;$D212&amp;"*",'2025 AC'!D$3:D$250)</f>
        <v>0</v>
      </c>
      <c r="G212" s="146">
        <f>SUMIF('2025 AC'!$B$3:$B$250,"*"&amp;$D212&amp;"*",'2025 AC'!E$3:E$250)</f>
        <v>0</v>
      </c>
      <c r="H212" s="146">
        <f>SUMIF('2025 AC'!$B$3:$B$250,"*"&amp;$D212&amp;"*",'2025 AC'!F$3:F$250)</f>
        <v>0</v>
      </c>
      <c r="I212" s="146">
        <f>SUMIF('2025 AC'!$B$3:$B$250,"*"&amp;$D212&amp;"*",'2025 AC'!G$3:G$250)</f>
        <v>0</v>
      </c>
      <c r="J212" s="146">
        <f>SUMIF('2025 AC'!$B$3:$B$250,"*"&amp;$D212&amp;"*",'2025 AC'!H$3:H$250)</f>
        <v>0</v>
      </c>
      <c r="K212" s="146">
        <f>SUMIF('2025 AC'!$B$3:$B$250,"*"&amp;$D212&amp;"*",'2025 AC'!I$3:I$250)</f>
        <v>0</v>
      </c>
      <c r="L212" s="146">
        <f>SUMIF('2025 AC'!$B$3:$B$250,"*"&amp;$D212&amp;"*",'2025 AC'!J$3:J$250)</f>
        <v>229449</v>
      </c>
      <c r="M212" s="146">
        <f>SUMIF('2025 AC'!$B$3:$B$250,"*"&amp;$D212&amp;"*",'2025 AC'!K$3:K$250)</f>
        <v>0</v>
      </c>
      <c r="N212" s="146">
        <f>SUMIF('2025 AC'!$B$3:$B$250,"*"&amp;$D212&amp;"*",'2025 AC'!L$3:L$250)</f>
        <v>0</v>
      </c>
      <c r="O212" s="146">
        <f>SUMIF('2025 AC'!$B$3:$B$250,"*"&amp;$D212&amp;"*",'2025 AC'!M$3:M$250)</f>
        <v>0</v>
      </c>
      <c r="P212" s="146">
        <f>SUMIF('2025 AC'!$B$3:$B$250,"*"&amp;$D212&amp;"*",'2025 AC'!N$3:N$250)</f>
        <v>0</v>
      </c>
      <c r="Q212" s="149">
        <f t="shared" si="334"/>
        <v>229449</v>
      </c>
      <c r="R212" s="147">
        <f t="shared" si="335"/>
        <v>0</v>
      </c>
      <c r="S212" s="147">
        <f t="shared" si="336"/>
        <v>0</v>
      </c>
      <c r="T212" s="147">
        <f t="shared" si="337"/>
        <v>229449</v>
      </c>
      <c r="U212" s="147">
        <f t="shared" si="338"/>
        <v>0</v>
      </c>
      <c r="V212" s="148">
        <f t="shared" si="339"/>
        <v>229449</v>
      </c>
    </row>
    <row r="213" outlineLevel="1">
      <c r="A213" s="185" t="s">
        <v>541</v>
      </c>
      <c r="C213" s="34" t="s">
        <v>542</v>
      </c>
      <c r="D213" s="35" t="s">
        <v>511</v>
      </c>
      <c r="E213" s="63">
        <f>SUMIF('2025 AC'!$B$3:$B$250,"*"&amp;$D213&amp;"*",'2025 AC'!C$3:C$250)</f>
        <v>0</v>
      </c>
      <c r="F213" s="53">
        <f>SUMIF('2025 AC'!$B$3:$B$250,"*"&amp;$D213&amp;"*",'2025 AC'!D$3:D$250)</f>
        <v>0</v>
      </c>
      <c r="G213" s="53">
        <f>SUMIF('2025 AC'!$B$3:$B$250,"*"&amp;$D213&amp;"*",'2025 AC'!E$3:E$250)</f>
        <v>0</v>
      </c>
      <c r="H213" s="53">
        <f>SUMIF('2025 AC'!$B$3:$B$250,"*"&amp;$D213&amp;"*",'2025 AC'!F$3:F$250)</f>
        <v>0</v>
      </c>
      <c r="I213" s="53">
        <f>SUMIF('2025 AC'!$B$3:$B$250,"*"&amp;$D213&amp;"*",'2025 AC'!G$3:G$250)</f>
        <v>0</v>
      </c>
      <c r="J213" s="53">
        <f>SUMIF('2025 AC'!$B$3:$B$250,"*"&amp;$D213&amp;"*",'2025 AC'!H$3:H$250)</f>
        <v>0</v>
      </c>
      <c r="K213" s="53">
        <f>SUMIF('2025 AC'!$B$3:$B$250,"*"&amp;$D213&amp;"*",'2025 AC'!I$3:I$250)</f>
        <v>0</v>
      </c>
      <c r="L213" s="53">
        <f>SUMIF('2025 AC'!$B$3:$B$250,"*"&amp;$D213&amp;"*",'2025 AC'!J$3:J$250)</f>
        <v>198264</v>
      </c>
      <c r="M213" s="53">
        <f>SUMIF('2025 AC'!$B$3:$B$250,"*"&amp;$D213&amp;"*",'2025 AC'!K$3:K$250)</f>
        <v>0</v>
      </c>
      <c r="N213" s="53">
        <f>SUMIF('2025 AC'!$B$3:$B$250,"*"&amp;$D213&amp;"*",'2025 AC'!L$3:L$250)</f>
        <v>0</v>
      </c>
      <c r="O213" s="53">
        <f>SUMIF('2025 AC'!$B$3:$B$250,"*"&amp;$D213&amp;"*",'2025 AC'!M$3:M$250)</f>
        <v>0</v>
      </c>
      <c r="P213" s="53">
        <f>SUMIF('2025 AC'!$B$3:$B$250,"*"&amp;$D213&amp;"*",'2025 AC'!N$3:N$250)</f>
        <v>0</v>
      </c>
      <c r="Q213" s="94">
        <f t="shared" si="334"/>
        <v>198264</v>
      </c>
      <c r="R213" s="93">
        <f t="shared" si="335"/>
        <v>0</v>
      </c>
      <c r="S213" s="93">
        <f t="shared" si="336"/>
        <v>0</v>
      </c>
      <c r="T213" s="93">
        <f t="shared" si="337"/>
        <v>198264</v>
      </c>
      <c r="U213" s="93">
        <f t="shared" si="338"/>
        <v>0</v>
      </c>
      <c r="V213" s="92">
        <f t="shared" si="339"/>
        <v>198264</v>
      </c>
    </row>
    <row r="214" outlineLevel="1">
      <c r="A214" s="185"/>
      <c r="C214" s="34" t="s">
        <v>543</v>
      </c>
      <c r="D214" s="35" t="s">
        <v>514</v>
      </c>
      <c r="E214" s="63">
        <f>SUMIF('2025 AC'!$B$3:$B$250,"*"&amp;$D214&amp;"*",'2025 AC'!C$3:C$250)</f>
        <v>0</v>
      </c>
      <c r="F214" s="53">
        <f>SUMIF('2025 AC'!$B$3:$B$250,"*"&amp;$D214&amp;"*",'2025 AC'!D$3:D$250)</f>
        <v>0</v>
      </c>
      <c r="G214" s="53">
        <f>SUMIF('2025 AC'!$B$3:$B$250,"*"&amp;$D214&amp;"*",'2025 AC'!E$3:E$250)</f>
        <v>0</v>
      </c>
      <c r="H214" s="53">
        <f>SUMIF('2025 AC'!$B$3:$B$250,"*"&amp;$D214&amp;"*",'2025 AC'!F$3:F$250)</f>
        <v>0</v>
      </c>
      <c r="I214" s="53">
        <f>SUMIF('2025 AC'!$B$3:$B$250,"*"&amp;$D214&amp;"*",'2025 AC'!G$3:G$250)</f>
        <v>0</v>
      </c>
      <c r="J214" s="53">
        <f>SUMIF('2025 AC'!$B$3:$B$250,"*"&amp;$D214&amp;"*",'2025 AC'!H$3:H$250)</f>
        <v>0</v>
      </c>
      <c r="K214" s="53">
        <f>SUMIF('2025 AC'!$B$3:$B$250,"*"&amp;$D214&amp;"*",'2025 AC'!I$3:I$250)</f>
        <v>0</v>
      </c>
      <c r="L214" s="53">
        <f>SUMIF('2025 AC'!$B$3:$B$250,"*"&amp;$D214&amp;"*",'2025 AC'!J$3:J$250)</f>
        <v>31185</v>
      </c>
      <c r="M214" s="53">
        <f>SUMIF('2025 AC'!$B$3:$B$250,"*"&amp;$D214&amp;"*",'2025 AC'!K$3:K$250)</f>
        <v>0</v>
      </c>
      <c r="N214" s="53">
        <f>SUMIF('2025 AC'!$B$3:$B$250,"*"&amp;$D214&amp;"*",'2025 AC'!L$3:L$250)</f>
        <v>0</v>
      </c>
      <c r="O214" s="53">
        <f>SUMIF('2025 AC'!$B$3:$B$250,"*"&amp;$D214&amp;"*",'2025 AC'!M$3:M$250)</f>
        <v>0</v>
      </c>
      <c r="P214" s="53">
        <f>SUMIF('2025 AC'!$B$3:$B$250,"*"&amp;$D214&amp;"*",'2025 AC'!N$3:N$250)</f>
        <v>0</v>
      </c>
      <c r="Q214" s="94">
        <f t="shared" si="334"/>
        <v>31185</v>
      </c>
      <c r="R214" s="93">
        <f t="shared" si="335"/>
        <v>0</v>
      </c>
      <c r="S214" s="93">
        <f t="shared" si="336"/>
        <v>0</v>
      </c>
      <c r="T214" s="93">
        <f t="shared" si="337"/>
        <v>31185</v>
      </c>
      <c r="U214" s="93">
        <f t="shared" si="338"/>
        <v>0</v>
      </c>
      <c r="V214" s="92">
        <f t="shared" si="339"/>
        <v>31185</v>
      </c>
    </row>
    <row r="215" s="137" customFormat="1">
      <c r="A215" s="196" t="s">
        <v>544</v>
      </c>
      <c r="C215" s="173" t="s">
        <v>545</v>
      </c>
      <c r="D215" s="139" t="s">
        <v>546</v>
      </c>
      <c r="E215" s="145">
        <f>SUMIF('2025 AC'!$B$3:$B$250,"*"&amp;$D215&amp;"*",'2025 AC'!C$3:C$250)</f>
        <v>4387.6999999999998</v>
      </c>
      <c r="F215" s="146">
        <f>SUMIF('2025 AC'!$B$3:$B$250,"*"&amp;$D215&amp;"*",'2025 AC'!D$3:D$250)</f>
        <v>359.10000000000002</v>
      </c>
      <c r="G215" s="146">
        <f>SUMIF('2025 AC'!$B$3:$B$250,"*"&amp;$D215&amp;"*",'2025 AC'!E$3:E$250)</f>
        <v>0</v>
      </c>
      <c r="H215" s="146">
        <f>SUMIF('2025 AC'!$B$3:$B$250,"*"&amp;$D215&amp;"*",'2025 AC'!F$3:F$250)</f>
        <v>0</v>
      </c>
      <c r="I215" s="146">
        <f>SUMIF('2025 AC'!$B$3:$B$250,"*"&amp;$D215&amp;"*",'2025 AC'!G$3:G$250)</f>
        <v>0</v>
      </c>
      <c r="J215" s="146">
        <f>SUMIF('2025 AC'!$B$3:$B$250,"*"&amp;$D215&amp;"*",'2025 AC'!H$3:H$250)</f>
        <v>0</v>
      </c>
      <c r="K215" s="146">
        <f>SUMIF('2025 AC'!$B$3:$B$250,"*"&amp;$D215&amp;"*",'2025 AC'!I$3:I$250)</f>
        <v>0</v>
      </c>
      <c r="L215" s="146">
        <f>SUMIF('2025 AC'!$B$3:$B$250,"*"&amp;$D215&amp;"*",'2025 AC'!J$3:J$250)</f>
        <v>0</v>
      </c>
      <c r="M215" s="146">
        <f>SUMIF('2025 AC'!$B$3:$B$250,"*"&amp;$D215&amp;"*",'2025 AC'!K$3:K$250)</f>
        <v>0</v>
      </c>
      <c r="N215" s="146">
        <f>SUMIF('2025 AC'!$B$3:$B$250,"*"&amp;$D215&amp;"*",'2025 AC'!L$3:L$250)</f>
        <v>0</v>
      </c>
      <c r="O215" s="146">
        <f>SUMIF('2025 AC'!$B$3:$B$250,"*"&amp;$D215&amp;"*",'2025 AC'!M$3:M$250)</f>
        <v>0</v>
      </c>
      <c r="P215" s="146">
        <f>SUMIF('2025 AC'!$B$3:$B$250,"*"&amp;$D215&amp;"*",'2025 AC'!N$3:N$250)</f>
        <v>0</v>
      </c>
      <c r="Q215" s="149">
        <f t="shared" si="334"/>
        <v>4746.8000000000002</v>
      </c>
      <c r="R215" s="147">
        <f t="shared" si="335"/>
        <v>4746.8000000000002</v>
      </c>
      <c r="S215" s="147">
        <f t="shared" si="336"/>
        <v>0</v>
      </c>
      <c r="T215" s="147">
        <f t="shared" si="337"/>
        <v>0</v>
      </c>
      <c r="U215" s="147">
        <f t="shared" si="338"/>
        <v>0</v>
      </c>
      <c r="V215" s="148">
        <f t="shared" si="339"/>
        <v>4746.8000000000002</v>
      </c>
    </row>
    <row r="216" s="137" customFormat="1">
      <c r="C216" s="173" t="s">
        <v>547</v>
      </c>
      <c r="D216" s="139" t="s">
        <v>517</v>
      </c>
      <c r="E216" s="145">
        <f>SUMIF('2025 AC'!$B$3:$B$250,"*"&amp;$D216&amp;"*",'2025 AC'!C$3:C$250)</f>
        <v>250</v>
      </c>
      <c r="F216" s="146">
        <f>SUMIF('2025 AC'!$B$3:$B$250,"*"&amp;$D216&amp;"*",'2025 AC'!D$3:D$250)</f>
        <v>0</v>
      </c>
      <c r="G216" s="146">
        <f>SUMIF('2025 AC'!$B$3:$B$250,"*"&amp;$D216&amp;"*",'2025 AC'!E$3:E$250)</f>
        <v>1500</v>
      </c>
      <c r="H216" s="146">
        <f>SUMIF('2025 AC'!$B$3:$B$250,"*"&amp;$D216&amp;"*",'2025 AC'!F$3:F$250)</f>
        <v>0</v>
      </c>
      <c r="I216" s="146">
        <f>SUMIF('2025 AC'!$B$3:$B$250,"*"&amp;$D216&amp;"*",'2025 AC'!G$3:G$250)</f>
        <v>200</v>
      </c>
      <c r="J216" s="146">
        <f>SUMIF('2025 AC'!$B$3:$B$250,"*"&amp;$D216&amp;"*",'2025 AC'!H$3:H$250)</f>
        <v>1500</v>
      </c>
      <c r="K216" s="146">
        <f>SUMIF('2025 AC'!$B$3:$B$250,"*"&amp;$D216&amp;"*",'2025 AC'!I$3:I$250)</f>
        <v>0</v>
      </c>
      <c r="L216" s="146">
        <f>SUMIF('2025 AC'!$B$3:$B$250,"*"&amp;$D216&amp;"*",'2025 AC'!J$3:J$250)</f>
        <v>168.59999999999999</v>
      </c>
      <c r="M216" s="146">
        <f>SUMIF('2025 AC'!$B$3:$B$250,"*"&amp;$D216&amp;"*",'2025 AC'!K$3:K$250)</f>
        <v>0</v>
      </c>
      <c r="N216" s="146">
        <f>SUMIF('2025 AC'!$B$3:$B$250,"*"&amp;$D216&amp;"*",'2025 AC'!L$3:L$250)</f>
        <v>2924.1999999999998</v>
      </c>
      <c r="O216" s="146">
        <f>SUMIF('2025 AC'!$B$3:$B$250,"*"&amp;$D216&amp;"*",'2025 AC'!M$3:M$250)</f>
        <v>13399</v>
      </c>
      <c r="P216" s="146">
        <f>SUMIF('2025 AC'!$B$3:$B$250,"*"&amp;$D216&amp;"*",'2025 AC'!N$3:N$250)</f>
        <v>2807.5</v>
      </c>
      <c r="Q216" s="149">
        <f t="shared" si="334"/>
        <v>22749.299999999999</v>
      </c>
      <c r="R216" s="147">
        <f t="shared" si="335"/>
        <v>1750</v>
      </c>
      <c r="S216" s="147">
        <f t="shared" si="336"/>
        <v>1700</v>
      </c>
      <c r="T216" s="147">
        <f t="shared" si="337"/>
        <v>168.59999999999999</v>
      </c>
      <c r="U216" s="147">
        <f t="shared" si="338"/>
        <v>19130.700000000001</v>
      </c>
      <c r="V216" s="148">
        <f t="shared" si="339"/>
        <v>22749.299999999999</v>
      </c>
    </row>
    <row r="217" ht="15" customHeight="1" outlineLevel="1">
      <c r="C217" s="34" t="s">
        <v>548</v>
      </c>
      <c r="D217" s="35" t="s">
        <v>520</v>
      </c>
      <c r="E217" s="63">
        <f>SUMIF('2025 AC'!$B$3:$B$250,"*"&amp;$D217&amp;"*",'2025 AC'!C$3:C$250)</f>
        <v>250</v>
      </c>
      <c r="F217" s="53">
        <f>SUMIF('2025 AC'!$B$3:$B$250,"*"&amp;$D217&amp;"*",'2025 AC'!D$3:D$250)</f>
        <v>0</v>
      </c>
      <c r="G217" s="53">
        <f>SUMIF('2025 AC'!$B$3:$B$250,"*"&amp;$D217&amp;"*",'2025 AC'!E$3:E$250)</f>
        <v>1500</v>
      </c>
      <c r="H217" s="53">
        <f>SUMIF('2025 AC'!$B$3:$B$250,"*"&amp;$D217&amp;"*",'2025 AC'!F$3:F$250)</f>
        <v>0</v>
      </c>
      <c r="I217" s="53">
        <f>SUMIF('2025 AC'!$B$3:$B$250,"*"&amp;$D217&amp;"*",'2025 AC'!G$3:G$250)</f>
        <v>200</v>
      </c>
      <c r="J217" s="53">
        <f>SUMIF('2025 AC'!$B$3:$B$250,"*"&amp;$D217&amp;"*",'2025 AC'!H$3:H$250)</f>
        <v>1500</v>
      </c>
      <c r="K217" s="53">
        <f>SUMIF('2025 AC'!$B$3:$B$250,"*"&amp;$D217&amp;"*",'2025 AC'!I$3:I$250)</f>
        <v>0</v>
      </c>
      <c r="L217" s="53">
        <f>SUMIF('2025 AC'!$B$3:$B$250,"*"&amp;$D217&amp;"*",'2025 AC'!J$3:J$250)</f>
        <v>168.59999999999999</v>
      </c>
      <c r="M217" s="53">
        <f>SUMIF('2025 AC'!$B$3:$B$250,"*"&amp;$D217&amp;"*",'2025 AC'!K$3:K$250)</f>
        <v>0</v>
      </c>
      <c r="N217" s="53">
        <f>SUMIF('2025 AC'!$B$3:$B$250,"*"&amp;$D217&amp;"*",'2025 AC'!L$3:L$250)</f>
        <v>2924.1999999999998</v>
      </c>
      <c r="O217" s="53">
        <f>SUMIF('2025 AC'!$B$3:$B$250,"*"&amp;$D217&amp;"*",'2025 AC'!M$3:M$250)</f>
        <v>13399</v>
      </c>
      <c r="P217" s="53">
        <f>SUMIF('2025 AC'!$B$3:$B$250,"*"&amp;$D217&amp;"*",'2025 AC'!N$3:N$250)</f>
        <v>2807.5</v>
      </c>
      <c r="Q217" s="94">
        <f t="shared" si="334"/>
        <v>22749.299999999999</v>
      </c>
      <c r="R217" s="93">
        <f t="shared" si="335"/>
        <v>1750</v>
      </c>
      <c r="S217" s="93">
        <f t="shared" si="336"/>
        <v>1700</v>
      </c>
      <c r="T217" s="93">
        <f t="shared" si="337"/>
        <v>168.59999999999999</v>
      </c>
      <c r="U217" s="93">
        <f t="shared" si="338"/>
        <v>19130.700000000001</v>
      </c>
      <c r="V217" s="92">
        <f t="shared" si="339"/>
        <v>22749.299999999999</v>
      </c>
    </row>
    <row r="218" ht="15" customHeight="1" outlineLevel="1">
      <c r="C218" s="34" t="s">
        <v>549</v>
      </c>
      <c r="D218" s="35" t="s">
        <v>523</v>
      </c>
      <c r="E218" s="63">
        <f>SUMIF('2025 AC'!$B$3:$B$250,"*"&amp;$D218&amp;"*",'2025 AC'!C$3:C$250)</f>
        <v>0</v>
      </c>
      <c r="F218" s="53">
        <f>SUMIF('2025 AC'!$B$3:$B$250,"*"&amp;$D218&amp;"*",'2025 AC'!D$3:D$250)</f>
        <v>0</v>
      </c>
      <c r="G218" s="53">
        <f>SUMIF('2025 AC'!$B$3:$B$250,"*"&amp;$D218&amp;"*",'2025 AC'!E$3:E$250)</f>
        <v>0</v>
      </c>
      <c r="H218" s="53">
        <f>SUMIF('2025 AC'!$B$3:$B$250,"*"&amp;$D218&amp;"*",'2025 AC'!F$3:F$250)</f>
        <v>0</v>
      </c>
      <c r="I218" s="53">
        <f>SUMIF('2025 AC'!$B$3:$B$250,"*"&amp;$D218&amp;"*",'2025 AC'!G$3:G$250)</f>
        <v>0</v>
      </c>
      <c r="J218" s="53">
        <f>SUMIF('2025 AC'!$B$3:$B$250,"*"&amp;$D218&amp;"*",'2025 AC'!H$3:H$250)</f>
        <v>0</v>
      </c>
      <c r="K218" s="53">
        <f>SUMIF('2025 AC'!$B$3:$B$250,"*"&amp;$D218&amp;"*",'2025 AC'!I$3:I$250)</f>
        <v>0</v>
      </c>
      <c r="L218" s="53">
        <f>SUMIF('2025 AC'!$B$3:$B$250,"*"&amp;$D218&amp;"*",'2025 AC'!J$3:J$250)</f>
        <v>0</v>
      </c>
      <c r="M218" s="53">
        <f>SUMIF('2025 AC'!$B$3:$B$250,"*"&amp;$D218&amp;"*",'2025 AC'!K$3:K$250)</f>
        <v>0</v>
      </c>
      <c r="N218" s="53">
        <f>SUMIF('2025 AC'!$B$3:$B$250,"*"&amp;$D218&amp;"*",'2025 AC'!L$3:L$250)</f>
        <v>0</v>
      </c>
      <c r="O218" s="53">
        <f>SUMIF('2025 AC'!$B$3:$B$250,"*"&amp;$D218&amp;"*",'2025 AC'!M$3:M$250)</f>
        <v>0</v>
      </c>
      <c r="P218" s="53">
        <f>SUMIF('2025 AC'!$B$3:$B$250,"*"&amp;$D218&amp;"*",'2025 AC'!N$3:N$250)</f>
        <v>0</v>
      </c>
      <c r="Q218" s="94">
        <f t="shared" si="334"/>
        <v>0</v>
      </c>
      <c r="R218" s="93">
        <f t="shared" si="335"/>
        <v>0</v>
      </c>
      <c r="S218" s="93">
        <f t="shared" si="336"/>
        <v>0</v>
      </c>
      <c r="T218" s="93">
        <f t="shared" si="337"/>
        <v>0</v>
      </c>
      <c r="U218" s="93">
        <f t="shared" si="338"/>
        <v>0</v>
      </c>
      <c r="V218" s="92">
        <f t="shared" si="339"/>
        <v>0</v>
      </c>
    </row>
    <row r="219" s="137" customFormat="1">
      <c r="C219" s="173" t="s">
        <v>550</v>
      </c>
      <c r="D219" s="139" t="s">
        <v>526</v>
      </c>
      <c r="E219" s="145">
        <f>SUMIF('2025 AC'!$B$3:$B$250,"*"&amp;$D219&amp;"*",'2025 AC'!C$3:C$250)</f>
        <v>1309.5</v>
      </c>
      <c r="F219" s="146">
        <f>SUMIF('2025 AC'!$B$3:$B$250,"*"&amp;$D219&amp;"*",'2025 AC'!D$3:D$250)</f>
        <v>630</v>
      </c>
      <c r="G219" s="146">
        <f>SUMIF('2025 AC'!$B$3:$B$250,"*"&amp;$D219&amp;"*",'2025 AC'!E$3:E$250)</f>
        <v>1559.5</v>
      </c>
      <c r="H219" s="146">
        <f>SUMIF('2025 AC'!$B$3:$B$250,"*"&amp;$D219&amp;"*",'2025 AC'!F$3:F$250)</f>
        <v>1113</v>
      </c>
      <c r="I219" s="146">
        <f>SUMIF('2025 AC'!$B$3:$B$250,"*"&amp;$D219&amp;"*",'2025 AC'!G$3:G$250)</f>
        <v>882</v>
      </c>
      <c r="J219" s="146">
        <f>SUMIF('2025 AC'!$B$3:$B$250,"*"&amp;$D219&amp;"*",'2025 AC'!H$3:H$250)</f>
        <v>955.39999999999998</v>
      </c>
      <c r="K219" s="146">
        <f>SUMIF('2025 AC'!$B$3:$B$250,"*"&amp;$D219&amp;"*",'2025 AC'!I$3:I$250)</f>
        <v>888</v>
      </c>
      <c r="L219" s="146">
        <f>SUMIF('2025 AC'!$B$3:$B$250,"*"&amp;$D219&amp;"*",'2025 AC'!J$3:J$250)</f>
        <v>1355.75</v>
      </c>
      <c r="M219" s="146">
        <f>SUMIF('2025 AC'!$B$3:$B$250,"*"&amp;$D219&amp;"*",'2025 AC'!K$3:K$250)</f>
        <v>520</v>
      </c>
      <c r="N219" s="146">
        <f>SUMIF('2025 AC'!$B$3:$B$250,"*"&amp;$D219&amp;"*",'2025 AC'!L$3:L$250)</f>
        <v>1188</v>
      </c>
      <c r="O219" s="146">
        <f>SUMIF('2025 AC'!$B$3:$B$250,"*"&amp;$D219&amp;"*",'2025 AC'!M$3:M$250)</f>
        <v>740</v>
      </c>
      <c r="P219" s="146">
        <f>SUMIF('2025 AC'!$B$3:$B$250,"*"&amp;$D219&amp;"*",'2025 AC'!N$3:N$250)</f>
        <v>925.60000000000002</v>
      </c>
      <c r="Q219" s="149">
        <f t="shared" si="334"/>
        <v>12066.75</v>
      </c>
      <c r="R219" s="147">
        <f t="shared" si="335"/>
        <v>3499</v>
      </c>
      <c r="S219" s="147">
        <f t="shared" si="336"/>
        <v>2950.4000000000001</v>
      </c>
      <c r="T219" s="147">
        <f t="shared" si="337"/>
        <v>2763.75</v>
      </c>
      <c r="U219" s="147">
        <f t="shared" si="338"/>
        <v>2853.5999999999999</v>
      </c>
      <c r="V219" s="148">
        <f t="shared" si="339"/>
        <v>12066.75</v>
      </c>
    </row>
    <row r="220">
      <c r="C220" s="34"/>
      <c r="D220" s="35"/>
      <c r="E220" s="6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94"/>
      <c r="R220" s="93">
        <f t="shared" si="335"/>
        <v>0</v>
      </c>
      <c r="S220" s="93">
        <f t="shared" si="336"/>
        <v>0</v>
      </c>
      <c r="T220" s="93">
        <f t="shared" si="337"/>
        <v>0</v>
      </c>
      <c r="U220" s="93">
        <f t="shared" si="338"/>
        <v>0</v>
      </c>
      <c r="V220" s="92">
        <f t="shared" si="339"/>
        <v>0</v>
      </c>
    </row>
    <row r="221" s="190" customFormat="1" ht="15" customHeight="1">
      <c r="A221" s="174"/>
      <c r="C221" s="126" t="s">
        <v>551</v>
      </c>
      <c r="D221" s="191"/>
      <c r="E221" s="180">
        <f>E125+E155+E158+E159+E210+E212+E215+E216+E219</f>
        <v>514735.28999999998</v>
      </c>
      <c r="F221" s="181">
        <f t="shared" ref="F221:P221" si="340">F125+F155+F158+F159+F210+F212+F215+F216+F219</f>
        <v>407643.28999999998</v>
      </c>
      <c r="G221" s="181">
        <f t="shared" si="340"/>
        <v>375078.85999999999</v>
      </c>
      <c r="H221" s="181">
        <f t="shared" si="340"/>
        <v>377631.31</v>
      </c>
      <c r="I221" s="181">
        <f t="shared" si="340"/>
        <v>404981.35999999999</v>
      </c>
      <c r="J221" s="181">
        <f t="shared" si="340"/>
        <v>378457.56000000006</v>
      </c>
      <c r="K221" s="181">
        <f t="shared" si="340"/>
        <v>409415.66000000003</v>
      </c>
      <c r="L221" s="181">
        <f t="shared" si="340"/>
        <v>685860.47999999998</v>
      </c>
      <c r="M221" s="181">
        <f t="shared" si="340"/>
        <v>399454.54000000004</v>
      </c>
      <c r="N221" s="181">
        <f t="shared" si="340"/>
        <v>400309.25</v>
      </c>
      <c r="O221" s="181">
        <f t="shared" si="340"/>
        <v>382192.34999999998</v>
      </c>
      <c r="P221" s="181">
        <f t="shared" si="340"/>
        <v>1555281.4900000002</v>
      </c>
      <c r="Q221" s="184">
        <f t="shared" si="334"/>
        <v>6291041.4399999995</v>
      </c>
      <c r="R221" s="182">
        <f t="shared" si="335"/>
        <v>1297457.4399999999</v>
      </c>
      <c r="S221" s="182">
        <f t="shared" si="336"/>
        <v>1161070.23</v>
      </c>
      <c r="T221" s="182">
        <f t="shared" si="337"/>
        <v>1494730.6800000002</v>
      </c>
      <c r="U221" s="182">
        <f t="shared" si="338"/>
        <v>2337783.0900000003</v>
      </c>
      <c r="V221" s="183">
        <f t="shared" si="339"/>
        <v>6291041.4400000004</v>
      </c>
    </row>
    <row r="222">
      <c r="C222" s="34"/>
      <c r="D222" s="35"/>
      <c r="E222" s="6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94"/>
      <c r="R222" s="93">
        <f t="shared" si="335"/>
        <v>0</v>
      </c>
      <c r="S222" s="93">
        <f t="shared" si="336"/>
        <v>0</v>
      </c>
      <c r="T222" s="93">
        <f t="shared" si="337"/>
        <v>0</v>
      </c>
      <c r="U222" s="93">
        <f t="shared" si="338"/>
        <v>0</v>
      </c>
      <c r="V222" s="92">
        <f t="shared" si="339"/>
        <v>0</v>
      </c>
    </row>
    <row r="223" s="164" customFormat="1" ht="15" customHeight="1">
      <c r="C223" s="165" t="s">
        <v>552</v>
      </c>
      <c r="D223" s="166"/>
      <c r="E223" s="168">
        <f>E110+E121-E221</f>
        <v>-210880.14999999997</v>
      </c>
      <c r="F223" s="169">
        <f t="shared" ref="F223:P223" si="341">F110+F121-F221</f>
        <v>-79884.840000000026</v>
      </c>
      <c r="G223" s="169">
        <f t="shared" si="341"/>
        <v>-62583.020000000019</v>
      </c>
      <c r="H223" s="169">
        <f t="shared" si="341"/>
        <v>-51632.549999999988</v>
      </c>
      <c r="I223" s="169">
        <f t="shared" si="341"/>
        <v>-17440.959999999963</v>
      </c>
      <c r="J223" s="169">
        <f t="shared" si="341"/>
        <v>-31576.330000000016</v>
      </c>
      <c r="K223" s="169">
        <f t="shared" si="341"/>
        <v>-39083.48000000004</v>
      </c>
      <c r="L223" s="169">
        <f t="shared" si="341"/>
        <v>-306415.56000000006</v>
      </c>
      <c r="M223" s="169">
        <f t="shared" si="341"/>
        <v>-2943.3000000001048</v>
      </c>
      <c r="N223" s="169">
        <f t="shared" si="341"/>
        <v>-182021.44999999998</v>
      </c>
      <c r="O223" s="169">
        <f t="shared" si="341"/>
        <v>-58053.039999999979</v>
      </c>
      <c r="P223" s="169">
        <f t="shared" si="341"/>
        <v>-1008191.3500000002</v>
      </c>
      <c r="Q223" s="172">
        <f t="shared" si="334"/>
        <v>-2050706.0300000003</v>
      </c>
      <c r="R223" s="170">
        <f t="shared" si="335"/>
        <v>-353348.01000000001</v>
      </c>
      <c r="S223" s="170">
        <f t="shared" si="336"/>
        <v>-100649.83999999997</v>
      </c>
      <c r="T223" s="170">
        <f t="shared" si="337"/>
        <v>-348442.3400000002</v>
      </c>
      <c r="U223" s="170">
        <f t="shared" si="338"/>
        <v>-1248265.8400000001</v>
      </c>
      <c r="V223" s="171">
        <f t="shared" si="339"/>
        <v>-2050706.0300000003</v>
      </c>
    </row>
    <row r="224" ht="15" customHeight="1">
      <c r="C224" s="165"/>
      <c r="D224" s="35"/>
      <c r="E224" s="6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94"/>
      <c r="R224" s="93">
        <f t="shared" si="335"/>
        <v>0</v>
      </c>
      <c r="S224" s="93">
        <f t="shared" si="336"/>
        <v>0</v>
      </c>
      <c r="T224" s="93">
        <f t="shared" si="337"/>
        <v>0</v>
      </c>
      <c r="U224" s="93">
        <f t="shared" si="338"/>
        <v>0</v>
      </c>
      <c r="V224" s="92">
        <f t="shared" si="339"/>
        <v>0</v>
      </c>
    </row>
    <row r="225" ht="15" customHeight="1">
      <c r="C225" s="165" t="s">
        <v>529</v>
      </c>
      <c r="D225" s="35"/>
      <c r="E225" s="6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94"/>
      <c r="R225" s="93">
        <f t="shared" si="335"/>
        <v>0</v>
      </c>
      <c r="S225" s="93">
        <f t="shared" si="336"/>
        <v>0</v>
      </c>
      <c r="T225" s="93">
        <f t="shared" si="337"/>
        <v>0</v>
      </c>
      <c r="U225" s="93">
        <f t="shared" si="338"/>
        <v>0</v>
      </c>
      <c r="V225" s="92">
        <f t="shared" si="339"/>
        <v>0</v>
      </c>
    </row>
    <row r="226" s="137" customFormat="1">
      <c r="C226" s="173" t="s">
        <v>531</v>
      </c>
      <c r="D226" s="139" t="s">
        <v>532</v>
      </c>
      <c r="E226" s="145">
        <f>SUMIF('2025 AC'!$B$3:$B$250,"*"&amp;$D226&amp;"*",'2025 AC'!C$3:C$250)</f>
        <v>0</v>
      </c>
      <c r="F226" s="146">
        <f>SUMIF('2025 AC'!$B$3:$B$250,"*"&amp;$D226&amp;"*",'2025 AC'!D$3:D$250)</f>
        <v>0</v>
      </c>
      <c r="G226" s="146">
        <f>SUMIF('2025 AC'!$B$3:$B$250,"*"&amp;$D226&amp;"*",'2025 AC'!E$3:E$250)</f>
        <v>0</v>
      </c>
      <c r="H226" s="146">
        <f>SUMIF('2025 AC'!$B$3:$B$250,"*"&amp;$D226&amp;"*",'2025 AC'!F$3:F$250)</f>
        <v>0</v>
      </c>
      <c r="I226" s="146">
        <f>SUMIF('2025 AC'!$B$3:$B$250,"*"&amp;$D226&amp;"*",'2025 AC'!G$3:G$250)</f>
        <v>0</v>
      </c>
      <c r="J226" s="146">
        <f>SUMIF('2025 AC'!$B$3:$B$250,"*"&amp;$D226&amp;"*",'2025 AC'!H$3:H$250)</f>
        <v>0</v>
      </c>
      <c r="K226" s="146">
        <f>SUMIF('2025 AC'!$B$3:$B$250,"*"&amp;$D226&amp;"*",'2025 AC'!I$3:I$250)</f>
        <v>0</v>
      </c>
      <c r="L226" s="146">
        <f>SUMIF('2025 AC'!$B$3:$B$250,"*"&amp;$D226&amp;"*",'2025 AC'!J$3:J$250)</f>
        <v>0</v>
      </c>
      <c r="M226" s="146">
        <f>SUMIF('2025 AC'!$B$3:$B$250,"*"&amp;$D226&amp;"*",'2025 AC'!K$3:K$250)</f>
        <v>0</v>
      </c>
      <c r="N226" s="146">
        <f>SUMIF('2025 AC'!$B$3:$B$250,"*"&amp;$D226&amp;"*",'2025 AC'!L$3:L$250)</f>
        <v>0</v>
      </c>
      <c r="O226" s="146">
        <f>SUMIF('2025 AC'!$B$3:$B$250,"*"&amp;$D226&amp;"*",'2025 AC'!M$3:M$250)</f>
        <v>0</v>
      </c>
      <c r="P226" s="146">
        <f>SUMIF('2025 AC'!$B$3:$B$250,"*"&amp;$D226&amp;"*",'2025 AC'!N$3:N$250)</f>
        <v>0</v>
      </c>
      <c r="Q226" s="149">
        <f t="shared" si="334"/>
        <v>0</v>
      </c>
      <c r="R226" s="147">
        <f t="shared" si="335"/>
        <v>0</v>
      </c>
      <c r="S226" s="147">
        <f t="shared" si="336"/>
        <v>0</v>
      </c>
      <c r="T226" s="147">
        <f t="shared" si="337"/>
        <v>0</v>
      </c>
      <c r="U226" s="147">
        <f t="shared" si="338"/>
        <v>0</v>
      </c>
      <c r="V226" s="148">
        <f t="shared" si="339"/>
        <v>0</v>
      </c>
    </row>
    <row r="227">
      <c r="C227" s="34"/>
      <c r="D227" s="35"/>
      <c r="E227" s="6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94"/>
      <c r="R227" s="93">
        <f t="shared" si="335"/>
        <v>0</v>
      </c>
      <c r="S227" s="93">
        <f t="shared" si="336"/>
        <v>0</v>
      </c>
      <c r="T227" s="93">
        <f t="shared" si="337"/>
        <v>0</v>
      </c>
      <c r="U227" s="93">
        <f t="shared" si="338"/>
        <v>0</v>
      </c>
      <c r="V227" s="92">
        <f t="shared" si="339"/>
        <v>0</v>
      </c>
    </row>
    <row r="228" s="164" customFormat="1" ht="15" customHeight="1">
      <c r="C228" s="204" t="s">
        <v>536</v>
      </c>
      <c r="D228" s="205"/>
      <c r="E228" s="206">
        <f>E223-E226</f>
        <v>-210880.14999999997</v>
      </c>
      <c r="F228" s="207">
        <f t="shared" ref="F228:P228" si="342">F223-F226</f>
        <v>-79884.840000000026</v>
      </c>
      <c r="G228" s="207">
        <f t="shared" si="342"/>
        <v>-62583.020000000019</v>
      </c>
      <c r="H228" s="207">
        <f t="shared" si="342"/>
        <v>-51632.549999999988</v>
      </c>
      <c r="I228" s="207">
        <f t="shared" si="342"/>
        <v>-17440.959999999963</v>
      </c>
      <c r="J228" s="207">
        <f t="shared" si="342"/>
        <v>-31576.330000000016</v>
      </c>
      <c r="K228" s="207">
        <f t="shared" si="342"/>
        <v>-39083.48000000004</v>
      </c>
      <c r="L228" s="207">
        <f t="shared" si="342"/>
        <v>-306415.56000000006</v>
      </c>
      <c r="M228" s="207">
        <f t="shared" si="342"/>
        <v>-2943.3000000001048</v>
      </c>
      <c r="N228" s="207">
        <f t="shared" si="342"/>
        <v>-182021.44999999998</v>
      </c>
      <c r="O228" s="207">
        <f t="shared" si="342"/>
        <v>-58053.039999999979</v>
      </c>
      <c r="P228" s="207">
        <f t="shared" si="342"/>
        <v>-1008191.3500000002</v>
      </c>
      <c r="Q228" s="210">
        <f t="shared" si="334"/>
        <v>-2050706.0300000003</v>
      </c>
      <c r="R228" s="208">
        <f t="shared" si="335"/>
        <v>-353348.01000000001</v>
      </c>
      <c r="S228" s="208">
        <f t="shared" si="336"/>
        <v>-100649.83999999997</v>
      </c>
      <c r="T228" s="208">
        <f t="shared" si="337"/>
        <v>-348442.3400000002</v>
      </c>
      <c r="U228" s="208">
        <f t="shared" si="338"/>
        <v>-1248265.8400000001</v>
      </c>
      <c r="V228" s="209">
        <f t="shared" si="339"/>
        <v>-2050706.0300000003</v>
      </c>
    </row>
    <row r="229" ht="15" customHeight="1"/>
    <row r="230" ht="15" customHeight="1"/>
    <row r="231" ht="15" customHeight="1"/>
    <row r="233" ht="15" customHeight="1"/>
    <row r="234" ht="15" customHeight="1"/>
    <row r="237" ht="15" customHeight="1"/>
    <row r="238" ht="15" customHeight="1"/>
    <row r="239" ht="15" customHeight="1"/>
  </sheetData>
  <mergeCells count="2">
    <mergeCell ref="C4:D5"/>
    <mergeCell ref="E4:V5"/>
  </mergeCells>
  <printOptions headings="0" gridLines="0"/>
  <pageMargins left="0.25" right="0.11944444444444396" top="0.59027777777777801" bottom="0.43263888888888891" header="0.29999999999999999" footer="0.078472222222222221"/>
  <pageSetup paperSize="9" scale="32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view="pageBreakPreview" topLeftCell="C1" zoomScale="55" workbookViewId="0">
      <pane ySplit="6" topLeftCell="A7" activePane="bottomLeft" state="frozen"/>
      <selection activeCell="C182" activeCellId="0" sqref="182:182"/>
    </sheetView>
  </sheetViews>
  <sheetFormatPr defaultColWidth="9" defaultRowHeight="14.5" outlineLevelRow="1"/>
  <cols>
    <col customWidth="1" hidden="1" min="1" max="1" width="47.1796875"/>
    <col customWidth="1" hidden="1" min="2" max="2" width="12.81640625"/>
    <col customWidth="1" min="3" max="3" width="39.453125"/>
    <col customWidth="1" min="4" max="4" width="11.36328125"/>
    <col customWidth="1" min="5" max="16" width="14.26953125"/>
    <col customWidth="1" min="17" max="17" width="14.08984375"/>
    <col customWidth="1" min="18" max="21" width="14.26953125"/>
    <col customWidth="1" min="22" max="22" width="14.08984375"/>
    <col customWidth="1" min="23" max="23" width="2.453125"/>
  </cols>
  <sheetData>
    <row r="1">
      <c r="C1" s="2" t="s">
        <v>0</v>
      </c>
    </row>
    <row r="2" ht="24.5">
      <c r="C2" s="3" t="s">
        <v>1</v>
      </c>
    </row>
    <row r="3" ht="15"/>
    <row r="4" ht="25.899999999999999" customHeight="1">
      <c r="C4" s="4" t="s">
        <v>2</v>
      </c>
      <c r="D4" s="5"/>
      <c r="E4" s="7" t="s">
        <v>3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9"/>
      <c r="S4" s="9"/>
      <c r="T4" s="9"/>
      <c r="U4" s="9"/>
      <c r="V4" s="10"/>
    </row>
    <row r="5" ht="25.5" customHeight="1">
      <c r="C5" s="11"/>
      <c r="D5" s="12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6"/>
      <c r="R5" s="16"/>
      <c r="S5" s="16"/>
      <c r="T5" s="16"/>
      <c r="U5" s="16"/>
      <c r="V5" s="17"/>
    </row>
    <row r="6" s="21" customFormat="1" ht="14.25" customHeight="1">
      <c r="C6" s="22"/>
      <c r="D6" s="23" t="s">
        <v>6</v>
      </c>
      <c r="E6" s="27">
        <v>45292</v>
      </c>
      <c r="F6" s="27">
        <v>45323</v>
      </c>
      <c r="G6" s="27">
        <v>45352</v>
      </c>
      <c r="H6" s="27">
        <v>45383</v>
      </c>
      <c r="I6" s="27">
        <v>45413</v>
      </c>
      <c r="J6" s="27">
        <v>45444</v>
      </c>
      <c r="K6" s="27">
        <v>45474</v>
      </c>
      <c r="L6" s="27">
        <v>45505</v>
      </c>
      <c r="M6" s="27">
        <v>45536</v>
      </c>
      <c r="N6" s="27">
        <v>45566</v>
      </c>
      <c r="O6" s="27">
        <v>45597</v>
      </c>
      <c r="P6" s="28">
        <v>45627</v>
      </c>
      <c r="Q6" s="29" t="s">
        <v>12</v>
      </c>
      <c r="R6" s="27" t="s">
        <v>13</v>
      </c>
      <c r="S6" s="27" t="s">
        <v>14</v>
      </c>
      <c r="T6" s="27" t="s">
        <v>15</v>
      </c>
      <c r="U6" s="28" t="s">
        <v>16</v>
      </c>
      <c r="V6" s="29" t="s">
        <v>12</v>
      </c>
    </row>
    <row r="7">
      <c r="C7" s="34"/>
      <c r="D7" s="35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40"/>
      <c r="Q7" s="41"/>
      <c r="R7" s="40"/>
      <c r="S7" s="40"/>
      <c r="T7" s="40"/>
      <c r="U7" s="40"/>
      <c r="V7" s="41"/>
    </row>
    <row r="8" ht="15.5">
      <c r="C8" s="44" t="s">
        <v>23</v>
      </c>
      <c r="D8" s="35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48"/>
      <c r="Q8" s="49"/>
      <c r="R8" s="48"/>
      <c r="S8" s="48"/>
      <c r="T8" s="48"/>
      <c r="U8" s="48"/>
      <c r="V8" s="49"/>
    </row>
    <row r="9">
      <c r="C9" s="34"/>
      <c r="D9" s="35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48"/>
      <c r="Q9" s="49"/>
      <c r="R9" s="48"/>
      <c r="S9" s="48"/>
      <c r="T9" s="48"/>
      <c r="U9" s="48"/>
      <c r="V9" s="49"/>
    </row>
    <row r="10">
      <c r="C10" s="52" t="s">
        <v>24</v>
      </c>
      <c r="D10" s="35"/>
      <c r="E10" s="56">
        <v>6727</v>
      </c>
      <c r="F10" s="57">
        <v>6293</v>
      </c>
      <c r="G10" s="57">
        <v>6727</v>
      </c>
      <c r="H10" s="57">
        <v>6510</v>
      </c>
      <c r="I10" s="57">
        <v>6727</v>
      </c>
      <c r="J10" s="57">
        <v>6510</v>
      </c>
      <c r="K10" s="57">
        <v>6727</v>
      </c>
      <c r="L10" s="57">
        <v>6727</v>
      </c>
      <c r="M10" s="57">
        <v>6510</v>
      </c>
      <c r="N10" s="57">
        <v>6727</v>
      </c>
      <c r="O10" s="57">
        <v>6510</v>
      </c>
      <c r="P10" s="58">
        <v>6727</v>
      </c>
      <c r="Q10" s="59">
        <f t="shared" ref="Q10:Q73" si="343">SUM(E10:P10)</f>
        <v>79422</v>
      </c>
      <c r="R10" s="58">
        <f t="shared" ref="R10:R73" si="344">SUM(E10:G10)</f>
        <v>19747</v>
      </c>
      <c r="S10" s="58">
        <f t="shared" ref="S10:S73" si="345">SUM(H10:J10)</f>
        <v>19747</v>
      </c>
      <c r="T10" s="58">
        <f t="shared" ref="T10:T73" si="346">SUM(K10:M10)</f>
        <v>19964</v>
      </c>
      <c r="U10" s="58">
        <f t="shared" ref="U10:U73" si="347">SUM(N10:P10)</f>
        <v>19964</v>
      </c>
      <c r="V10" s="59">
        <f t="shared" ref="V10:V73" si="348">SUM(R10:U10)</f>
        <v>79422</v>
      </c>
    </row>
    <row r="11">
      <c r="C11" s="52" t="s">
        <v>25</v>
      </c>
      <c r="D11" s="35"/>
      <c r="E11" s="56">
        <v>1500</v>
      </c>
      <c r="F11" s="57">
        <v>2279</v>
      </c>
      <c r="G11" s="57">
        <v>1846</v>
      </c>
      <c r="H11" s="57">
        <v>1665</v>
      </c>
      <c r="I11" s="57">
        <v>2319</v>
      </c>
      <c r="J11" s="57">
        <v>2266</v>
      </c>
      <c r="K11" s="57">
        <v>3006</v>
      </c>
      <c r="L11" s="57">
        <v>3005</v>
      </c>
      <c r="M11" s="57">
        <v>2535</v>
      </c>
      <c r="N11" s="57">
        <v>2460</v>
      </c>
      <c r="O11" s="57">
        <v>2538</v>
      </c>
      <c r="P11" s="58">
        <v>3117</v>
      </c>
      <c r="Q11" s="59">
        <f t="shared" si="343"/>
        <v>28536</v>
      </c>
      <c r="R11" s="58">
        <f t="shared" si="344"/>
        <v>5625</v>
      </c>
      <c r="S11" s="58">
        <f t="shared" si="345"/>
        <v>6250</v>
      </c>
      <c r="T11" s="58">
        <f t="shared" si="346"/>
        <v>8546</v>
      </c>
      <c r="U11" s="58">
        <f t="shared" si="347"/>
        <v>8115</v>
      </c>
      <c r="V11" s="59">
        <f t="shared" si="348"/>
        <v>28536</v>
      </c>
    </row>
    <row r="12" s="65" customFormat="1">
      <c r="C12" s="66" t="s">
        <v>26</v>
      </c>
      <c r="D12" s="67"/>
      <c r="E12" s="70">
        <f>E11/E10</f>
        <v>0.22298201278430207</v>
      </c>
      <c r="F12" s="69">
        <f t="shared" ref="F12:P12" si="349">F11/F10</f>
        <v>0.36214841887811855</v>
      </c>
      <c r="G12" s="69">
        <f t="shared" si="349"/>
        <v>0.27441653039988106</v>
      </c>
      <c r="H12" s="69">
        <f t="shared" si="349"/>
        <v>0.25576036866359447</v>
      </c>
      <c r="I12" s="69">
        <f t="shared" si="349"/>
        <v>0.34473019176453101</v>
      </c>
      <c r="J12" s="69">
        <f t="shared" si="349"/>
        <v>0.34807987711213517</v>
      </c>
      <c r="K12" s="69">
        <f t="shared" si="349"/>
        <v>0.44685595361974134</v>
      </c>
      <c r="L12" s="69">
        <f t="shared" si="349"/>
        <v>0.4467072989445518</v>
      </c>
      <c r="M12" s="69">
        <f t="shared" si="349"/>
        <v>0.38940092165898615</v>
      </c>
      <c r="N12" s="69">
        <f t="shared" si="349"/>
        <v>0.36569050096625538</v>
      </c>
      <c r="O12" s="69">
        <f t="shared" si="349"/>
        <v>0.38986175115207372</v>
      </c>
      <c r="P12" s="71">
        <f t="shared" si="349"/>
        <v>0.4633566225657797</v>
      </c>
      <c r="Q12" s="72">
        <f t="shared" si="343"/>
        <v>4.3099904485099501</v>
      </c>
      <c r="R12" s="71">
        <f>R11/R10</f>
        <v>0.28485339545247379</v>
      </c>
      <c r="S12" s="71">
        <f t="shared" ref="S12:V12" si="350">S11/S10</f>
        <v>0.31650377272497088</v>
      </c>
      <c r="T12" s="71">
        <f t="shared" si="350"/>
        <v>0.42807052694850733</v>
      </c>
      <c r="U12" s="71">
        <f t="shared" si="350"/>
        <v>0.40648166700060107</v>
      </c>
      <c r="V12" s="73">
        <f t="shared" si="350"/>
        <v>0.35929591297121705</v>
      </c>
      <c r="W12" s="65"/>
    </row>
    <row r="13">
      <c r="C13" s="52" t="s">
        <v>27</v>
      </c>
      <c r="D13" s="35"/>
      <c r="E13" s="56">
        <v>132.20000666666701</v>
      </c>
      <c r="F13" s="57">
        <v>135.93266344888099</v>
      </c>
      <c r="G13" s="57">
        <v>140.73535752979399</v>
      </c>
      <c r="H13" s="57">
        <v>139.35417417417401</v>
      </c>
      <c r="I13" s="57">
        <v>142.53888745148799</v>
      </c>
      <c r="J13" s="57">
        <v>139.043389232127</v>
      </c>
      <c r="K13" s="57">
        <v>137.756869594145</v>
      </c>
      <c r="L13" s="57">
        <v>137.87401663893499</v>
      </c>
      <c r="M13" s="57">
        <v>143.76784615384599</v>
      </c>
      <c r="N13" s="57">
        <v>140.60951219512199</v>
      </c>
      <c r="O13" s="57">
        <v>140.50317178880999</v>
      </c>
      <c r="P13" s="58">
        <v>153.242319538017</v>
      </c>
      <c r="Q13" s="59">
        <f t="shared" si="343"/>
        <v>1683.558214412006</v>
      </c>
      <c r="R13" s="58">
        <f t="shared" si="344"/>
        <v>408.86802764534195</v>
      </c>
      <c r="S13" s="58">
        <f t="shared" si="345"/>
        <v>420.93645085778894</v>
      </c>
      <c r="T13" s="58">
        <f t="shared" si="346"/>
        <v>419.39873238692599</v>
      </c>
      <c r="U13" s="58">
        <f t="shared" si="347"/>
        <v>434.35500352194902</v>
      </c>
      <c r="V13" s="59">
        <f t="shared" si="348"/>
        <v>1683.5582144120058</v>
      </c>
    </row>
    <row r="14">
      <c r="C14" s="52" t="s">
        <v>28</v>
      </c>
      <c r="D14" s="35"/>
      <c r="E14" s="56">
        <v>29.4782235766315</v>
      </c>
      <c r="F14" s="57">
        <v>49.227799141903702</v>
      </c>
      <c r="G14" s="57">
        <v>38.620108517912897</v>
      </c>
      <c r="H14" s="57">
        <v>35.641274961597503</v>
      </c>
      <c r="I14" s="57">
        <v>49.137458005054299</v>
      </c>
      <c r="J14" s="57">
        <v>48.398205837173599</v>
      </c>
      <c r="K14" s="57">
        <v>61.557477330162001</v>
      </c>
      <c r="L14" s="57">
        <v>61.5893295674149</v>
      </c>
      <c r="M14" s="57">
        <v>55.983331797235003</v>
      </c>
      <c r="N14" s="57">
        <v>51.419562955254897</v>
      </c>
      <c r="O14" s="57">
        <v>54.776812596006103</v>
      </c>
      <c r="P14" s="58">
        <v>71.005843615281705</v>
      </c>
      <c r="Q14" s="59">
        <f t="shared" si="343"/>
        <v>606.83542790162812</v>
      </c>
      <c r="R14" s="58">
        <f t="shared" si="344"/>
        <v>117.32613123644809</v>
      </c>
      <c r="S14" s="58">
        <f t="shared" si="345"/>
        <v>133.17693880382541</v>
      </c>
      <c r="T14" s="58">
        <f t="shared" si="346"/>
        <v>179.1301386948119</v>
      </c>
      <c r="U14" s="58">
        <f t="shared" si="347"/>
        <v>177.2022191665427</v>
      </c>
      <c r="V14" s="59">
        <f t="shared" si="348"/>
        <v>606.83542790162812</v>
      </c>
    </row>
    <row r="15" s="75" customFormat="1" ht="15">
      <c r="C15" s="76"/>
      <c r="D15" s="77"/>
      <c r="E15" s="81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3"/>
      <c r="Q15" s="84"/>
      <c r="R15" s="83">
        <f t="shared" si="344"/>
        <v>0</v>
      </c>
      <c r="S15" s="83">
        <f t="shared" si="345"/>
        <v>0</v>
      </c>
      <c r="T15" s="83">
        <f t="shared" si="346"/>
        <v>0</v>
      </c>
      <c r="U15" s="83">
        <f t="shared" si="347"/>
        <v>0</v>
      </c>
      <c r="V15" s="84"/>
      <c r="W15"/>
    </row>
    <row r="16">
      <c r="C16" s="87" t="s">
        <v>29</v>
      </c>
      <c r="D16" s="39"/>
      <c r="E16" s="91">
        <f t="shared" ref="E16:P16" si="351">E108+E221</f>
        <v>644636.48999999999</v>
      </c>
      <c r="F16" s="88">
        <f t="shared" si="351"/>
        <v>483942.80999999994</v>
      </c>
      <c r="G16" s="88">
        <f t="shared" si="351"/>
        <v>586857.15000000002</v>
      </c>
      <c r="H16" s="88">
        <f t="shared" si="351"/>
        <v>494401</v>
      </c>
      <c r="I16" s="88">
        <f t="shared" si="351"/>
        <v>563988.35999999999</v>
      </c>
      <c r="J16" s="88">
        <f t="shared" si="351"/>
        <v>531323.94999999995</v>
      </c>
      <c r="K16" s="88">
        <f t="shared" si="351"/>
        <v>767245.55000000005</v>
      </c>
      <c r="L16" s="88">
        <f t="shared" si="351"/>
        <v>690800.38</v>
      </c>
      <c r="M16" s="88">
        <f t="shared" si="351"/>
        <v>524095.96999999997</v>
      </c>
      <c r="N16" s="88">
        <f t="shared" si="351"/>
        <v>541861.98999999999</v>
      </c>
      <c r="O16" s="88">
        <f t="shared" si="351"/>
        <v>533356.21999999997</v>
      </c>
      <c r="P16" s="88">
        <f t="shared" si="351"/>
        <v>575262.78000000003</v>
      </c>
      <c r="Q16" s="92">
        <f t="shared" si="343"/>
        <v>6937772.6499999994</v>
      </c>
      <c r="R16" s="93">
        <f t="shared" si="344"/>
        <v>1715436.4499999997</v>
      </c>
      <c r="S16" s="93">
        <f t="shared" si="345"/>
        <v>1589713.3099999998</v>
      </c>
      <c r="T16" s="93">
        <f t="shared" si="346"/>
        <v>1982141.9000000001</v>
      </c>
      <c r="U16" s="93">
        <f t="shared" si="347"/>
        <v>1650480.99</v>
      </c>
      <c r="V16" s="92">
        <f t="shared" si="348"/>
        <v>6937772.6500000004</v>
      </c>
    </row>
    <row r="17" s="75" customFormat="1" ht="15">
      <c r="C17" s="95" t="s">
        <v>30</v>
      </c>
      <c r="D17" s="77"/>
      <c r="E17" s="100">
        <f t="shared" ref="E17:P17" si="352">E16/1</f>
        <v>644636.48999999999</v>
      </c>
      <c r="F17" s="96">
        <f t="shared" si="352"/>
        <v>483942.80999999994</v>
      </c>
      <c r="G17" s="96">
        <f t="shared" si="352"/>
        <v>586857.15000000002</v>
      </c>
      <c r="H17" s="96">
        <f t="shared" si="352"/>
        <v>494401</v>
      </c>
      <c r="I17" s="96">
        <f t="shared" si="352"/>
        <v>563988.35999999999</v>
      </c>
      <c r="J17" s="96">
        <f t="shared" si="352"/>
        <v>531323.94999999995</v>
      </c>
      <c r="K17" s="96">
        <f t="shared" si="352"/>
        <v>767245.55000000005</v>
      </c>
      <c r="L17" s="96">
        <f t="shared" si="352"/>
        <v>690800.38</v>
      </c>
      <c r="M17" s="96">
        <f t="shared" si="352"/>
        <v>524095.96999999997</v>
      </c>
      <c r="N17" s="96">
        <f t="shared" si="352"/>
        <v>541861.98999999999</v>
      </c>
      <c r="O17" s="96">
        <f t="shared" si="352"/>
        <v>533356.21999999997</v>
      </c>
      <c r="P17" s="96">
        <f t="shared" si="352"/>
        <v>575262.78000000003</v>
      </c>
      <c r="Q17" s="92">
        <f t="shared" si="343"/>
        <v>6937772.6499999994</v>
      </c>
      <c r="R17" s="93">
        <f t="shared" si="344"/>
        <v>1715436.4499999997</v>
      </c>
      <c r="S17" s="93">
        <f t="shared" si="345"/>
        <v>1589713.3099999998</v>
      </c>
      <c r="T17" s="93">
        <f t="shared" si="346"/>
        <v>1982141.9000000001</v>
      </c>
      <c r="U17" s="93">
        <f t="shared" si="347"/>
        <v>1650480.99</v>
      </c>
      <c r="V17" s="92">
        <f t="shared" si="348"/>
        <v>6937772.6500000004</v>
      </c>
      <c r="W17"/>
    </row>
    <row r="18">
      <c r="C18" s="103"/>
      <c r="D18" s="39"/>
      <c r="E18" s="107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8"/>
      <c r="R18" s="109"/>
      <c r="S18" s="109"/>
      <c r="T18" s="109"/>
      <c r="U18" s="109"/>
      <c r="V18" s="108"/>
    </row>
    <row r="19">
      <c r="C19" s="111" t="s">
        <v>31</v>
      </c>
      <c r="D19" s="39"/>
      <c r="E19" s="107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8"/>
      <c r="R19" s="109"/>
      <c r="S19" s="109"/>
      <c r="T19" s="109"/>
      <c r="U19" s="109"/>
      <c r="V19" s="108"/>
    </row>
    <row r="20">
      <c r="C20" s="103" t="s">
        <v>32</v>
      </c>
      <c r="D20" s="39"/>
      <c r="E20" s="91">
        <f t="shared" ref="E20:P20" si="353">E39+E41+E43+E47</f>
        <v>25359.379999999997</v>
      </c>
      <c r="F20" s="88">
        <f t="shared" si="353"/>
        <v>28424.25</v>
      </c>
      <c r="G20" s="88">
        <f t="shared" si="353"/>
        <v>97945.959999999992</v>
      </c>
      <c r="H20" s="88">
        <f t="shared" si="353"/>
        <v>70797.070000000007</v>
      </c>
      <c r="I20" s="88">
        <f t="shared" si="353"/>
        <v>33305.830000000002</v>
      </c>
      <c r="J20" s="88">
        <f t="shared" si="353"/>
        <v>29357.490000000002</v>
      </c>
      <c r="K20" s="88">
        <f t="shared" si="353"/>
        <v>36166</v>
      </c>
      <c r="L20" s="88">
        <f t="shared" si="353"/>
        <v>33224.160000000003</v>
      </c>
      <c r="M20" s="88">
        <f t="shared" si="353"/>
        <v>20405.27</v>
      </c>
      <c r="N20" s="88">
        <f t="shared" si="353"/>
        <v>15946.620000000001</v>
      </c>
      <c r="O20" s="88">
        <f t="shared" si="353"/>
        <v>10818.139999999999</v>
      </c>
      <c r="P20" s="88">
        <f t="shared" si="353"/>
        <v>19440.23</v>
      </c>
      <c r="Q20" s="92">
        <f t="shared" si="343"/>
        <v>421190.40000000002</v>
      </c>
      <c r="R20" s="93">
        <f t="shared" si="344"/>
        <v>151729.59</v>
      </c>
      <c r="S20" s="93">
        <f t="shared" si="345"/>
        <v>133460.39000000001</v>
      </c>
      <c r="T20" s="93">
        <f t="shared" si="346"/>
        <v>89795.430000000008</v>
      </c>
      <c r="U20" s="93">
        <f t="shared" si="347"/>
        <v>46204.990000000005</v>
      </c>
      <c r="V20" s="92">
        <f t="shared" si="348"/>
        <v>421190.39999999997</v>
      </c>
    </row>
    <row r="21" s="75" customFormat="1" ht="15">
      <c r="C21" s="76" t="s">
        <v>33</v>
      </c>
      <c r="D21" s="77"/>
      <c r="E21" s="100">
        <f t="shared" ref="E21:P21" si="354">E83+E88+E89+E90+E91+E84</f>
        <v>42651.259999999995</v>
      </c>
      <c r="F21" s="96">
        <f t="shared" si="354"/>
        <v>46548.979999999996</v>
      </c>
      <c r="G21" s="96">
        <f t="shared" si="354"/>
        <v>80476.089999999997</v>
      </c>
      <c r="H21" s="96">
        <f t="shared" si="354"/>
        <v>53120.159999999996</v>
      </c>
      <c r="I21" s="96">
        <f t="shared" si="354"/>
        <v>53325.880000000005</v>
      </c>
      <c r="J21" s="96">
        <f t="shared" si="354"/>
        <v>36857.889999999999</v>
      </c>
      <c r="K21" s="96">
        <f t="shared" si="354"/>
        <v>36605.5</v>
      </c>
      <c r="L21" s="96">
        <f t="shared" si="354"/>
        <v>50435.959999999999</v>
      </c>
      <c r="M21" s="96">
        <f t="shared" si="354"/>
        <v>37748.830000000002</v>
      </c>
      <c r="N21" s="96">
        <f t="shared" si="354"/>
        <v>44759.720000000001</v>
      </c>
      <c r="O21" s="96">
        <f t="shared" si="354"/>
        <v>52638.839999999997</v>
      </c>
      <c r="P21" s="96">
        <f t="shared" si="354"/>
        <v>37793.32</v>
      </c>
      <c r="Q21" s="92">
        <f t="shared" si="343"/>
        <v>572962.42999999993</v>
      </c>
      <c r="R21" s="93">
        <f t="shared" si="344"/>
        <v>169676.32999999999</v>
      </c>
      <c r="S21" s="93">
        <f t="shared" si="345"/>
        <v>143303.92999999999</v>
      </c>
      <c r="T21" s="93">
        <f t="shared" si="346"/>
        <v>124790.28999999999</v>
      </c>
      <c r="U21" s="93">
        <f t="shared" si="347"/>
        <v>135191.88</v>
      </c>
      <c r="V21" s="92">
        <f t="shared" si="348"/>
        <v>572962.42999999993</v>
      </c>
      <c r="W21"/>
    </row>
    <row r="22" s="114" customFormat="1" ht="15">
      <c r="C22" s="115" t="s">
        <v>34</v>
      </c>
      <c r="D22" s="116"/>
      <c r="E22" s="120">
        <f t="shared" ref="E22:P22" si="355">E20-E21</f>
        <v>-17291.879999999997</v>
      </c>
      <c r="F22" s="117">
        <f t="shared" si="355"/>
        <v>-18124.729999999996</v>
      </c>
      <c r="G22" s="117">
        <f t="shared" si="355"/>
        <v>17469.869999999995</v>
      </c>
      <c r="H22" s="117">
        <f t="shared" si="355"/>
        <v>17676.910000000011</v>
      </c>
      <c r="I22" s="117">
        <f t="shared" si="355"/>
        <v>-20020.050000000003</v>
      </c>
      <c r="J22" s="117">
        <f t="shared" si="355"/>
        <v>-7500.3999999999978</v>
      </c>
      <c r="K22" s="117">
        <f t="shared" si="355"/>
        <v>-439.5</v>
      </c>
      <c r="L22" s="117">
        <f t="shared" si="355"/>
        <v>-17211.799999999996</v>
      </c>
      <c r="M22" s="117">
        <f t="shared" si="355"/>
        <v>-17343.560000000001</v>
      </c>
      <c r="N22" s="117">
        <f t="shared" si="355"/>
        <v>-28813.099999999999</v>
      </c>
      <c r="O22" s="117">
        <f t="shared" si="355"/>
        <v>-41820.699999999997</v>
      </c>
      <c r="P22" s="117">
        <f t="shared" si="355"/>
        <v>-18353.09</v>
      </c>
      <c r="Q22" s="92">
        <f t="shared" si="343"/>
        <v>-151772.03</v>
      </c>
      <c r="R22" s="93">
        <f t="shared" si="344"/>
        <v>-17946.739999999998</v>
      </c>
      <c r="S22" s="93">
        <f t="shared" si="345"/>
        <v>-9843.53999999999</v>
      </c>
      <c r="T22" s="93">
        <f t="shared" si="346"/>
        <v>-34994.860000000001</v>
      </c>
      <c r="U22" s="93">
        <f t="shared" si="347"/>
        <v>-88986.889999999985</v>
      </c>
      <c r="V22" s="92">
        <f t="shared" si="348"/>
        <v>-151772.02999999997</v>
      </c>
      <c r="W22"/>
    </row>
    <row r="23">
      <c r="C23" s="103"/>
      <c r="D23" s="39"/>
      <c r="E23" s="123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09"/>
      <c r="Q23" s="108"/>
      <c r="R23" s="109"/>
      <c r="S23" s="109"/>
      <c r="T23" s="109"/>
      <c r="U23" s="109"/>
      <c r="V23" s="108"/>
    </row>
    <row r="24">
      <c r="C24" s="52"/>
      <c r="D24" s="35"/>
      <c r="E24" s="6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93"/>
      <c r="Q24" s="92"/>
      <c r="R24" s="93"/>
      <c r="S24" s="93"/>
      <c r="T24" s="93"/>
      <c r="U24" s="93"/>
      <c r="V24" s="92"/>
    </row>
    <row r="25" s="125" customFormat="1">
      <c r="C25" s="126" t="s">
        <v>35</v>
      </c>
      <c r="D25" s="127"/>
      <c r="E25" s="130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Q25" s="133"/>
      <c r="R25" s="132">
        <f t="shared" si="344"/>
        <v>0</v>
      </c>
      <c r="S25" s="132">
        <f t="shared" si="345"/>
        <v>0</v>
      </c>
      <c r="T25" s="132">
        <f t="shared" si="346"/>
        <v>0</v>
      </c>
      <c r="U25" s="132">
        <f t="shared" si="347"/>
        <v>0</v>
      </c>
      <c r="V25" s="133"/>
    </row>
    <row r="26">
      <c r="C26" s="136"/>
      <c r="D26" s="35"/>
      <c r="E26" s="6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93"/>
      <c r="Q26" s="92"/>
      <c r="R26" s="93">
        <f t="shared" si="344"/>
        <v>0</v>
      </c>
      <c r="S26" s="93">
        <f t="shared" si="345"/>
        <v>0</v>
      </c>
      <c r="T26" s="93">
        <f t="shared" si="346"/>
        <v>0</v>
      </c>
      <c r="U26" s="93">
        <f t="shared" si="347"/>
        <v>0</v>
      </c>
      <c r="V26" s="92"/>
    </row>
    <row r="27" s="137" customFormat="1">
      <c r="A27" s="137" t="s">
        <v>36</v>
      </c>
      <c r="B27" s="137" t="s">
        <v>37</v>
      </c>
      <c r="C27" s="138" t="s">
        <v>38</v>
      </c>
      <c r="D27" s="139" t="s">
        <v>37</v>
      </c>
      <c r="E27" s="145">
        <f>SUMIF('2024 AC'!$B$3:$B$250,"*"&amp;$D27&amp;"*",'2024 AC'!C$3:C$250)</f>
        <v>215086.38</v>
      </c>
      <c r="F27" s="146">
        <f>SUMIF('2024 AC'!$B$3:$B$250,"*"&amp;$D27&amp;"*",'2024 AC'!D$3:D$250)</f>
        <v>330522.98999999999</v>
      </c>
      <c r="G27" s="146">
        <f>SUMIF('2024 AC'!$B$3:$B$250,"*"&amp;$D27&amp;"*",'2024 AC'!E$3:E$250)</f>
        <v>267347.64000000001</v>
      </c>
      <c r="H27" s="146">
        <f>SUMIF('2024 AC'!$B$3:$B$250,"*"&amp;$D27&amp;"*",'2024 AC'!F$3:F$250)</f>
        <v>242849.09</v>
      </c>
      <c r="I27" s="146">
        <f>SUMIF('2024 AC'!$B$3:$B$250,"*"&amp;$D27&amp;"*",'2024 AC'!G$3:G$250)</f>
        <v>349112.35999999999</v>
      </c>
      <c r="J27" s="146">
        <f>SUMIF('2024 AC'!$B$3:$B$250,"*"&amp;$D27&amp;"*",'2024 AC'!H$3:H$250)</f>
        <v>329037.22999999998</v>
      </c>
      <c r="K27" s="146">
        <f>SUMIF('2024 AC'!$B$3:$B$250,"*"&amp;$D27&amp;"*",'2024 AC'!I$3:I$250)</f>
        <v>430480.71999999997</v>
      </c>
      <c r="L27" s="146">
        <f>SUMIF('2024 AC'!$B$3:$B$250,"*"&amp;$D27&amp;"*",'2024 AC'!J$3:J$250)</f>
        <v>440278.28000000003</v>
      </c>
      <c r="M27" s="146">
        <f>SUMIF('2024 AC'!$B$3:$B$250,"*"&amp;$D27&amp;"*",'2024 AC'!K$3:K$250)</f>
        <v>377089.65000000002</v>
      </c>
      <c r="N27" s="146">
        <f>SUMIF('2024 AC'!$B$3:$B$250,"*"&amp;$D27&amp;"*",'2024 AC'!L$3:L$250)</f>
        <v>361014</v>
      </c>
      <c r="O27" s="146">
        <f>SUMIF('2024 AC'!$B$3:$B$250,"*"&amp;$D27&amp;"*",'2024 AC'!M$3:M$250)</f>
        <v>378114.31</v>
      </c>
      <c r="P27" s="147">
        <f>SUMIF('2024 AC'!$B$3:$B$250,"*"&amp;$D27&amp;"*",'2024 AC'!N$3:N$250)</f>
        <v>489138.53999999998</v>
      </c>
      <c r="Q27" s="148">
        <f t="shared" si="343"/>
        <v>4210071.1900000004</v>
      </c>
      <c r="R27" s="147">
        <f t="shared" si="344"/>
        <v>812957.01000000001</v>
      </c>
      <c r="S27" s="147">
        <f t="shared" si="345"/>
        <v>920998.67999999993</v>
      </c>
      <c r="T27" s="147">
        <f t="shared" si="346"/>
        <v>1247848.6499999999</v>
      </c>
      <c r="U27" s="147">
        <f t="shared" si="347"/>
        <v>1228266.8500000001</v>
      </c>
      <c r="V27" s="148">
        <f t="shared" si="348"/>
        <v>4210071.1899999995</v>
      </c>
    </row>
    <row r="28" ht="15" customHeight="1" outlineLevel="1">
      <c r="A28" t="s">
        <v>39</v>
      </c>
      <c r="B28" t="s">
        <v>40</v>
      </c>
      <c r="C28" s="150" t="s">
        <v>41</v>
      </c>
      <c r="D28" s="35" t="s">
        <v>40</v>
      </c>
      <c r="E28" s="63">
        <f>SUMIF('2024 AC'!$B$3:$B$250,"*"&amp;$D28&amp;"*",'2024 AC'!C$3:C$250)</f>
        <v>91824.639999999999</v>
      </c>
      <c r="F28" s="53">
        <f>SUMIF('2024 AC'!$B$3:$B$250,"*"&amp;$D28&amp;"*",'2024 AC'!D$3:D$250)</f>
        <v>117113.12</v>
      </c>
      <c r="G28" s="53">
        <f>SUMIF('2024 AC'!$B$3:$B$250,"*"&amp;$D28&amp;"*",'2024 AC'!E$3:E$250)</f>
        <v>39065.599999999999</v>
      </c>
      <c r="H28" s="53">
        <f>SUMIF('2024 AC'!$B$3:$B$250,"*"&amp;$D28&amp;"*",'2024 AC'!F$3:F$250)</f>
        <v>49011.139999999999</v>
      </c>
      <c r="I28" s="53">
        <f>SUMIF('2024 AC'!$B$3:$B$250,"*"&amp;$D28&amp;"*",'2024 AC'!G$3:G$250)</f>
        <v>56140.470000000001</v>
      </c>
      <c r="J28" s="53">
        <f>SUMIF('2024 AC'!$B$3:$B$250,"*"&amp;$D28&amp;"*",'2024 AC'!H$3:H$250)</f>
        <v>53387.220000000001</v>
      </c>
      <c r="K28" s="53">
        <f>SUMIF('2024 AC'!$B$3:$B$250,"*"&amp;$D28&amp;"*",'2024 AC'!I$3:I$250)</f>
        <v>99876.809999999998</v>
      </c>
      <c r="L28" s="53">
        <f>SUMIF('2024 AC'!$B$3:$B$250,"*"&amp;$D28&amp;"*",'2024 AC'!J$3:J$250)</f>
        <v>94461.360000000001</v>
      </c>
      <c r="M28" s="53">
        <f>SUMIF('2024 AC'!$B$3:$B$250,"*"&amp;$D28&amp;"*",'2024 AC'!K$3:K$250)</f>
        <v>54834.709999999999</v>
      </c>
      <c r="N28" s="53">
        <f>SUMIF('2024 AC'!$B$3:$B$250,"*"&amp;$D28&amp;"*",'2024 AC'!L$3:L$250)</f>
        <v>61334.169999999998</v>
      </c>
      <c r="O28" s="53">
        <f>SUMIF('2024 AC'!$B$3:$B$250,"*"&amp;$D28&amp;"*",'2024 AC'!M$3:M$250)</f>
        <v>82683.059999999998</v>
      </c>
      <c r="P28" s="93">
        <f>SUMIF('2024 AC'!$B$3:$B$250,"*"&amp;$D28&amp;"*",'2024 AC'!N$3:N$250)</f>
        <v>41620.43</v>
      </c>
      <c r="Q28" s="92">
        <f t="shared" si="343"/>
        <v>841352.7300000001</v>
      </c>
      <c r="R28" s="93">
        <f t="shared" si="344"/>
        <v>248003.36000000002</v>
      </c>
      <c r="S28" s="93">
        <f t="shared" si="345"/>
        <v>158538.83000000002</v>
      </c>
      <c r="T28" s="93">
        <f t="shared" si="346"/>
        <v>249172.87999999998</v>
      </c>
      <c r="U28" s="93">
        <f t="shared" si="347"/>
        <v>185637.65999999997</v>
      </c>
      <c r="V28" s="92">
        <f t="shared" si="348"/>
        <v>841352.72999999998</v>
      </c>
    </row>
    <row r="29" ht="15" customHeight="1" outlineLevel="1">
      <c r="A29" t="s">
        <v>42</v>
      </c>
      <c r="B29" t="s">
        <v>43</v>
      </c>
      <c r="C29" s="150" t="s">
        <v>44</v>
      </c>
      <c r="D29" s="35" t="s">
        <v>43</v>
      </c>
      <c r="E29" s="63">
        <f>SUMIF('2024 AC'!$B$3:$B$250,"*"&amp;$D29&amp;"*",'2024 AC'!C$3:C$250)</f>
        <v>106475.37</v>
      </c>
      <c r="F29" s="53">
        <f>SUMIF('2024 AC'!$B$3:$B$250,"*"&amp;$D29&amp;"*",'2024 AC'!D$3:D$250)</f>
        <v>192677.42000000001</v>
      </c>
      <c r="G29" s="53">
        <f>SUMIF('2024 AC'!$B$3:$B$250,"*"&amp;$D29&amp;"*",'2024 AC'!E$3:E$250)</f>
        <v>220731.87</v>
      </c>
      <c r="H29" s="53">
        <f>SUMIF('2024 AC'!$B$3:$B$250,"*"&amp;$D29&amp;"*",'2024 AC'!F$3:F$250)</f>
        <v>183013.56</v>
      </c>
      <c r="I29" s="53">
        <f>SUMIF('2024 AC'!$B$3:$B$250,"*"&amp;$D29&amp;"*",'2024 AC'!G$3:G$250)</f>
        <v>274407.21000000002</v>
      </c>
      <c r="J29" s="53">
        <f>SUMIF('2024 AC'!$B$3:$B$250,"*"&amp;$D29&amp;"*",'2024 AC'!H$3:H$250)</f>
        <v>261685.10000000001</v>
      </c>
      <c r="K29" s="53">
        <f>SUMIF('2024 AC'!$B$3:$B$250,"*"&amp;$D29&amp;"*",'2024 AC'!I$3:I$250)</f>
        <v>314220.34000000003</v>
      </c>
      <c r="L29" s="53">
        <f>SUMIF('2024 AC'!$B$3:$B$250,"*"&amp;$D29&amp;"*",'2024 AC'!J$3:J$250)</f>
        <v>319850.06</v>
      </c>
      <c r="M29" s="53">
        <f>SUMIF('2024 AC'!$B$3:$B$250,"*"&amp;$D29&amp;"*",'2024 AC'!K$3:K$250)</f>
        <v>309616.78000000003</v>
      </c>
      <c r="N29" s="53">
        <f>SUMIF('2024 AC'!$B$3:$B$250,"*"&amp;$D29&amp;"*",'2024 AC'!L$3:L$250)</f>
        <v>284565.22999999998</v>
      </c>
      <c r="O29" s="53">
        <f>SUMIF('2024 AC'!$B$3:$B$250,"*"&amp;$D29&amp;"*",'2024 AC'!M$3:M$250)</f>
        <v>273913.98999999999</v>
      </c>
      <c r="P29" s="93">
        <f>SUMIF('2024 AC'!$B$3:$B$250,"*"&amp;$D29&amp;"*",'2024 AC'!N$3:N$250)</f>
        <v>436035.88</v>
      </c>
      <c r="Q29" s="92">
        <f t="shared" si="343"/>
        <v>3177192.8099999996</v>
      </c>
      <c r="R29" s="93">
        <f t="shared" si="344"/>
        <v>519884.66000000003</v>
      </c>
      <c r="S29" s="93">
        <f t="shared" si="345"/>
        <v>719105.87</v>
      </c>
      <c r="T29" s="93">
        <f t="shared" si="346"/>
        <v>943687.18000000005</v>
      </c>
      <c r="U29" s="93">
        <f t="shared" si="347"/>
        <v>994515.09999999998</v>
      </c>
      <c r="V29" s="92">
        <f t="shared" si="348"/>
        <v>3177192.8100000001</v>
      </c>
    </row>
    <row r="30" ht="15" customHeight="1" outlineLevel="1">
      <c r="A30" t="s">
        <v>45</v>
      </c>
      <c r="B30" t="s">
        <v>46</v>
      </c>
      <c r="C30" s="34" t="s">
        <v>47</v>
      </c>
      <c r="D30" s="35" t="s">
        <v>46</v>
      </c>
      <c r="E30" s="63">
        <f>SUMIF('2024 AC'!$B$3:$B$250,"*"&amp;$D30&amp;"*",'2024 AC'!C$3:C$250)</f>
        <v>0</v>
      </c>
      <c r="F30" s="53">
        <f>SUMIF('2024 AC'!$B$3:$B$250,"*"&amp;$D30&amp;"*",'2024 AC'!D$3:D$250)</f>
        <v>0</v>
      </c>
      <c r="G30" s="53">
        <f>SUMIF('2024 AC'!$B$3:$B$250,"*"&amp;$D30&amp;"*",'2024 AC'!E$3:E$250)</f>
        <v>0</v>
      </c>
      <c r="H30" s="53">
        <f>SUMIF('2024 AC'!$B$3:$B$250,"*"&amp;$D30&amp;"*",'2024 AC'!F$3:F$250)</f>
        <v>0</v>
      </c>
      <c r="I30" s="53">
        <f>SUMIF('2024 AC'!$B$3:$B$250,"*"&amp;$D30&amp;"*",'2024 AC'!G$3:G$250)</f>
        <v>0</v>
      </c>
      <c r="J30" s="53">
        <f>SUMIF('2024 AC'!$B$3:$B$250,"*"&amp;$D30&amp;"*",'2024 AC'!H$3:H$250)</f>
        <v>0</v>
      </c>
      <c r="K30" s="53">
        <f>SUMIF('2024 AC'!$B$3:$B$250,"*"&amp;$D30&amp;"*",'2024 AC'!I$3:I$250)</f>
        <v>0</v>
      </c>
      <c r="L30" s="53">
        <f>SUMIF('2024 AC'!$B$3:$B$250,"*"&amp;$D30&amp;"*",'2024 AC'!J$3:J$250)</f>
        <v>0</v>
      </c>
      <c r="M30" s="53">
        <f>SUMIF('2024 AC'!$B$3:$B$250,"*"&amp;$D30&amp;"*",'2024 AC'!K$3:K$250)</f>
        <v>0</v>
      </c>
      <c r="N30" s="53">
        <f>SUMIF('2024 AC'!$B$3:$B$250,"*"&amp;$D30&amp;"*",'2024 AC'!L$3:L$250)</f>
        <v>0</v>
      </c>
      <c r="O30" s="53">
        <f>SUMIF('2024 AC'!$B$3:$B$250,"*"&amp;$D30&amp;"*",'2024 AC'!M$3:M$250)</f>
        <v>0</v>
      </c>
      <c r="P30" s="93">
        <f>SUMIF('2024 AC'!$B$3:$B$250,"*"&amp;$D30&amp;"*",'2024 AC'!N$3:N$250)</f>
        <v>0</v>
      </c>
      <c r="Q30" s="92">
        <f t="shared" si="343"/>
        <v>0</v>
      </c>
      <c r="R30" s="93">
        <f t="shared" si="344"/>
        <v>0</v>
      </c>
      <c r="S30" s="93">
        <f t="shared" si="345"/>
        <v>0</v>
      </c>
      <c r="T30" s="93">
        <f t="shared" si="346"/>
        <v>0</v>
      </c>
      <c r="U30" s="93">
        <f t="shared" si="347"/>
        <v>0</v>
      </c>
      <c r="V30" s="92">
        <f t="shared" si="348"/>
        <v>0</v>
      </c>
    </row>
    <row r="31" ht="15" customHeight="1" outlineLevel="1">
      <c r="A31" t="s">
        <v>48</v>
      </c>
      <c r="B31" t="s">
        <v>49</v>
      </c>
      <c r="C31" s="150" t="s">
        <v>50</v>
      </c>
      <c r="D31" s="35" t="s">
        <v>49</v>
      </c>
      <c r="E31" s="63">
        <f>SUMIF('2024 AC'!$B$3:$B$250,"*"&amp;$D31&amp;"*",'2024 AC'!C$3:C$250)</f>
        <v>0</v>
      </c>
      <c r="F31" s="53">
        <f>SUMIF('2024 AC'!$B$3:$B$250,"*"&amp;$D31&amp;"*",'2024 AC'!D$3:D$250)</f>
        <v>0</v>
      </c>
      <c r="G31" s="53">
        <f>SUMIF('2024 AC'!$B$3:$B$250,"*"&amp;$D31&amp;"*",'2024 AC'!E$3:E$250)</f>
        <v>0</v>
      </c>
      <c r="H31" s="53">
        <f>SUMIF('2024 AC'!$B$3:$B$250,"*"&amp;$D31&amp;"*",'2024 AC'!F$3:F$250)</f>
        <v>0</v>
      </c>
      <c r="I31" s="53">
        <f>SUMIF('2024 AC'!$B$3:$B$250,"*"&amp;$D31&amp;"*",'2024 AC'!G$3:G$250)</f>
        <v>0</v>
      </c>
      <c r="J31" s="53">
        <f>SUMIF('2024 AC'!$B$3:$B$250,"*"&amp;$D31&amp;"*",'2024 AC'!H$3:H$250)</f>
        <v>0</v>
      </c>
      <c r="K31" s="53">
        <f>SUMIF('2024 AC'!$B$3:$B$250,"*"&amp;$D31&amp;"*",'2024 AC'!I$3:I$250)</f>
        <v>0</v>
      </c>
      <c r="L31" s="53">
        <f>SUMIF('2024 AC'!$B$3:$B$250,"*"&amp;$D31&amp;"*",'2024 AC'!J$3:J$250)</f>
        <v>0</v>
      </c>
      <c r="M31" s="53">
        <f>SUMIF('2024 AC'!$B$3:$B$250,"*"&amp;$D31&amp;"*",'2024 AC'!K$3:K$250)</f>
        <v>0</v>
      </c>
      <c r="N31" s="53">
        <f>SUMIF('2024 AC'!$B$3:$B$250,"*"&amp;$D31&amp;"*",'2024 AC'!L$3:L$250)</f>
        <v>47.5</v>
      </c>
      <c r="O31" s="53">
        <f>SUMIF('2024 AC'!$B$3:$B$250,"*"&amp;$D31&amp;"*",'2024 AC'!M$3:M$250)</f>
        <v>0</v>
      </c>
      <c r="P31" s="93">
        <f>SUMIF('2024 AC'!$B$3:$B$250,"*"&amp;$D31&amp;"*",'2024 AC'!N$3:N$250)</f>
        <v>739.75</v>
      </c>
      <c r="Q31" s="92">
        <f t="shared" si="343"/>
        <v>787.25</v>
      </c>
      <c r="R31" s="93">
        <f t="shared" si="344"/>
        <v>0</v>
      </c>
      <c r="S31" s="93">
        <f t="shared" si="345"/>
        <v>0</v>
      </c>
      <c r="T31" s="93">
        <f t="shared" si="346"/>
        <v>0</v>
      </c>
      <c r="U31" s="93">
        <f t="shared" si="347"/>
        <v>787.25</v>
      </c>
      <c r="V31" s="92">
        <f t="shared" si="348"/>
        <v>787.25</v>
      </c>
    </row>
    <row r="32" ht="15" customHeight="1" outlineLevel="1">
      <c r="A32" t="s">
        <v>51</v>
      </c>
      <c r="B32" t="s">
        <v>52</v>
      </c>
      <c r="C32" s="150" t="s">
        <v>53</v>
      </c>
      <c r="D32" s="35" t="s">
        <v>52</v>
      </c>
      <c r="E32" s="63">
        <f>SUMIF('2024 AC'!$B$3:$B$250,"*"&amp;$D32&amp;"*",'2024 AC'!C$3:C$250)</f>
        <v>0</v>
      </c>
      <c r="F32" s="53">
        <f>SUMIF('2024 AC'!$B$3:$B$250,"*"&amp;$D32&amp;"*",'2024 AC'!D$3:D$250)</f>
        <v>0</v>
      </c>
      <c r="G32" s="53">
        <f>SUMIF('2024 AC'!$B$3:$B$250,"*"&amp;$D32&amp;"*",'2024 AC'!E$3:E$250)</f>
        <v>0</v>
      </c>
      <c r="H32" s="53">
        <f>SUMIF('2024 AC'!$B$3:$B$250,"*"&amp;$D32&amp;"*",'2024 AC'!F$3:F$250)</f>
        <v>0</v>
      </c>
      <c r="I32" s="53">
        <f>SUMIF('2024 AC'!$B$3:$B$250,"*"&amp;$D32&amp;"*",'2024 AC'!G$3:G$250)</f>
        <v>416.67000000000002</v>
      </c>
      <c r="J32" s="53">
        <f>SUMIF('2024 AC'!$B$3:$B$250,"*"&amp;$D32&amp;"*",'2024 AC'!H$3:H$250)</f>
        <v>0</v>
      </c>
      <c r="K32" s="53">
        <f>SUMIF('2024 AC'!$B$3:$B$250,"*"&amp;$D32&amp;"*",'2024 AC'!I$3:I$250)</f>
        <v>127.12</v>
      </c>
      <c r="L32" s="53">
        <f>SUMIF('2024 AC'!$B$3:$B$250,"*"&amp;$D32&amp;"*",'2024 AC'!J$3:J$250)</f>
        <v>127.12</v>
      </c>
      <c r="M32" s="53">
        <f>SUMIF('2024 AC'!$B$3:$B$250,"*"&amp;$D32&amp;"*",'2024 AC'!K$3:K$250)</f>
        <v>129.66999999999999</v>
      </c>
      <c r="N32" s="53">
        <f>SUMIF('2024 AC'!$B$3:$B$250,"*"&amp;$D32&amp;"*",'2024 AC'!L$3:L$250)</f>
        <v>0</v>
      </c>
      <c r="O32" s="53">
        <f>SUMIF('2024 AC'!$B$3:$B$250,"*"&amp;$D32&amp;"*",'2024 AC'!M$3:M$250)</f>
        <v>0</v>
      </c>
      <c r="P32" s="93">
        <f>SUMIF('2024 AC'!$B$3:$B$250,"*"&amp;$D32&amp;"*",'2024 AC'!N$3:N$250)</f>
        <v>260.62</v>
      </c>
      <c r="Q32" s="92">
        <f t="shared" si="343"/>
        <v>1061.1999999999998</v>
      </c>
      <c r="R32" s="93">
        <f t="shared" si="344"/>
        <v>0</v>
      </c>
      <c r="S32" s="93">
        <f t="shared" si="345"/>
        <v>416.67000000000002</v>
      </c>
      <c r="T32" s="93">
        <f t="shared" si="346"/>
        <v>383.90999999999997</v>
      </c>
      <c r="U32" s="93">
        <f t="shared" si="347"/>
        <v>260.62</v>
      </c>
      <c r="V32" s="92">
        <f t="shared" si="348"/>
        <v>1061.1999999999998</v>
      </c>
    </row>
    <row r="33" ht="15" customHeight="1" outlineLevel="1">
      <c r="A33" t="s">
        <v>54</v>
      </c>
      <c r="B33" t="s">
        <v>55</v>
      </c>
      <c r="C33" s="150" t="s">
        <v>56</v>
      </c>
      <c r="D33" s="35" t="s">
        <v>55</v>
      </c>
      <c r="E33" s="63">
        <f>SUMIF('2024 AC'!$B$3:$B$250,"*"&amp;$D33&amp;"*",'2024 AC'!C$3:C$250)</f>
        <v>232.75</v>
      </c>
      <c r="F33" s="53">
        <f>SUMIF('2024 AC'!$B$3:$B$250,"*"&amp;$D33&amp;"*",'2024 AC'!D$3:D$250)</f>
        <v>0</v>
      </c>
      <c r="G33" s="53">
        <f>SUMIF('2024 AC'!$B$3:$B$250,"*"&amp;$D33&amp;"*",'2024 AC'!E$3:E$250)</f>
        <v>0</v>
      </c>
      <c r="H33" s="53">
        <f>SUMIF('2024 AC'!$B$3:$B$250,"*"&amp;$D33&amp;"*",'2024 AC'!F$3:F$250)</f>
        <v>0</v>
      </c>
      <c r="I33" s="53">
        <f>SUMIF('2024 AC'!$B$3:$B$250,"*"&amp;$D33&amp;"*",'2024 AC'!G$3:G$250)</f>
        <v>0</v>
      </c>
      <c r="J33" s="53">
        <f>SUMIF('2024 AC'!$B$3:$B$250,"*"&amp;$D33&amp;"*",'2024 AC'!H$3:H$250)</f>
        <v>0</v>
      </c>
      <c r="K33" s="53">
        <f>SUMIF('2024 AC'!$B$3:$B$250,"*"&amp;$D33&amp;"*",'2024 AC'!I$3:I$250)</f>
        <v>0</v>
      </c>
      <c r="L33" s="53">
        <f>SUMIF('2024 AC'!$B$3:$B$250,"*"&amp;$D33&amp;"*",'2024 AC'!J$3:J$250)</f>
        <v>0</v>
      </c>
      <c r="M33" s="53">
        <f>SUMIF('2024 AC'!$B$3:$B$250,"*"&amp;$D33&amp;"*",'2024 AC'!K$3:K$250)</f>
        <v>0</v>
      </c>
      <c r="N33" s="53">
        <f>SUMIF('2024 AC'!$B$3:$B$250,"*"&amp;$D33&amp;"*",'2024 AC'!L$3:L$250)</f>
        <v>0</v>
      </c>
      <c r="O33" s="53">
        <f>SUMIF('2024 AC'!$B$3:$B$250,"*"&amp;$D33&amp;"*",'2024 AC'!M$3:M$250)</f>
        <v>0</v>
      </c>
      <c r="P33" s="93">
        <f>SUMIF('2024 AC'!$B$3:$B$250,"*"&amp;$D33&amp;"*",'2024 AC'!N$3:N$250)</f>
        <v>0</v>
      </c>
      <c r="Q33" s="92">
        <f t="shared" si="343"/>
        <v>232.75</v>
      </c>
      <c r="R33" s="93">
        <f t="shared" si="344"/>
        <v>232.75</v>
      </c>
      <c r="S33" s="93">
        <f t="shared" si="345"/>
        <v>0</v>
      </c>
      <c r="T33" s="93">
        <f t="shared" si="346"/>
        <v>0</v>
      </c>
      <c r="U33" s="93">
        <f t="shared" si="347"/>
        <v>0</v>
      </c>
      <c r="V33" s="92">
        <f t="shared" si="348"/>
        <v>232.75</v>
      </c>
    </row>
    <row r="34" ht="15" customHeight="1" outlineLevel="1">
      <c r="A34" t="s">
        <v>57</v>
      </c>
      <c r="B34" t="s">
        <v>58</v>
      </c>
      <c r="C34" s="150" t="s">
        <v>59</v>
      </c>
      <c r="D34" s="35" t="s">
        <v>58</v>
      </c>
      <c r="E34" s="63">
        <f>SUMIF('2024 AC'!$B$3:$B$250,"*"&amp;$D34&amp;"*",'2024 AC'!C$3:C$250)</f>
        <v>0</v>
      </c>
      <c r="F34" s="53">
        <f>SUMIF('2024 AC'!$B$3:$B$250,"*"&amp;$D34&amp;"*",'2024 AC'!D$3:D$250)</f>
        <v>0</v>
      </c>
      <c r="G34" s="53">
        <f>SUMIF('2024 AC'!$B$3:$B$250,"*"&amp;$D34&amp;"*",'2024 AC'!E$3:E$250)</f>
        <v>0</v>
      </c>
      <c r="H34" s="53">
        <f>SUMIF('2024 AC'!$B$3:$B$250,"*"&amp;$D34&amp;"*",'2024 AC'!F$3:F$250)</f>
        <v>0</v>
      </c>
      <c r="I34" s="53">
        <f>SUMIF('2024 AC'!$B$3:$B$250,"*"&amp;$D34&amp;"*",'2024 AC'!G$3:G$250)</f>
        <v>0</v>
      </c>
      <c r="J34" s="53">
        <f>SUMIF('2024 AC'!$B$3:$B$250,"*"&amp;$D34&amp;"*",'2024 AC'!H$3:H$250)</f>
        <v>0</v>
      </c>
      <c r="K34" s="53">
        <f>SUMIF('2024 AC'!$B$3:$B$250,"*"&amp;$D34&amp;"*",'2024 AC'!I$3:I$250)</f>
        <v>0</v>
      </c>
      <c r="L34" s="53">
        <f>SUMIF('2024 AC'!$B$3:$B$250,"*"&amp;$D34&amp;"*",'2024 AC'!J$3:J$250)</f>
        <v>0</v>
      </c>
      <c r="M34" s="53">
        <f>SUMIF('2024 AC'!$B$3:$B$250,"*"&amp;$D34&amp;"*",'2024 AC'!K$3:K$250)</f>
        <v>0</v>
      </c>
      <c r="N34" s="53">
        <f>SUMIF('2024 AC'!$B$3:$B$250,"*"&amp;$D34&amp;"*",'2024 AC'!L$3:L$250)</f>
        <v>0</v>
      </c>
      <c r="O34" s="53">
        <f>SUMIF('2024 AC'!$B$3:$B$250,"*"&amp;$D34&amp;"*",'2024 AC'!M$3:M$250)</f>
        <v>0</v>
      </c>
      <c r="P34" s="93">
        <f>SUMIF('2024 AC'!$B$3:$B$250,"*"&amp;$D34&amp;"*",'2024 AC'!N$3:N$250)</f>
        <v>0</v>
      </c>
      <c r="Q34" s="92">
        <f t="shared" si="343"/>
        <v>0</v>
      </c>
      <c r="R34" s="93">
        <f t="shared" si="344"/>
        <v>0</v>
      </c>
      <c r="S34" s="93">
        <f t="shared" si="345"/>
        <v>0</v>
      </c>
      <c r="T34" s="93">
        <f t="shared" si="346"/>
        <v>0</v>
      </c>
      <c r="U34" s="93">
        <f t="shared" si="347"/>
        <v>0</v>
      </c>
      <c r="V34" s="92">
        <f t="shared" si="348"/>
        <v>0</v>
      </c>
    </row>
    <row r="35" ht="15" customHeight="1" outlineLevel="1">
      <c r="A35" t="s">
        <v>60</v>
      </c>
      <c r="B35" t="s">
        <v>61</v>
      </c>
      <c r="C35" s="150" t="s">
        <v>62</v>
      </c>
      <c r="D35" s="35" t="s">
        <v>61</v>
      </c>
      <c r="E35" s="63">
        <f>SUMIF('2024 AC'!$B$3:$B$250,"*"&amp;$D35&amp;"*",'2024 AC'!C$3:C$250)</f>
        <v>0</v>
      </c>
      <c r="F35" s="53">
        <f>SUMIF('2024 AC'!$B$3:$B$250,"*"&amp;$D35&amp;"*",'2024 AC'!D$3:D$250)</f>
        <v>172.41999999999999</v>
      </c>
      <c r="G35" s="53">
        <f>SUMIF('2024 AC'!$B$3:$B$250,"*"&amp;$D35&amp;"*",'2024 AC'!E$3:E$250)</f>
        <v>0</v>
      </c>
      <c r="H35" s="53">
        <f>SUMIF('2024 AC'!$B$3:$B$250,"*"&amp;$D35&amp;"*",'2024 AC'!F$3:F$250)</f>
        <v>84.75</v>
      </c>
      <c r="I35" s="53">
        <f>SUMIF('2024 AC'!$B$3:$B$250,"*"&amp;$D35&amp;"*",'2024 AC'!G$3:G$250)</f>
        <v>338.99000000000001</v>
      </c>
      <c r="J35" s="53">
        <f>SUMIF('2024 AC'!$B$3:$B$250,"*"&amp;$D35&amp;"*",'2024 AC'!H$3:H$250)</f>
        <v>169.5</v>
      </c>
      <c r="K35" s="53">
        <f>SUMIF('2024 AC'!$B$3:$B$250,"*"&amp;$D35&amp;"*",'2024 AC'!I$3:I$250)</f>
        <v>0</v>
      </c>
      <c r="L35" s="53">
        <f>SUMIF('2024 AC'!$B$3:$B$250,"*"&amp;$D35&amp;"*",'2024 AC'!J$3:J$250)</f>
        <v>169.5</v>
      </c>
      <c r="M35" s="53">
        <f>SUMIF('2024 AC'!$B$3:$B$250,"*"&amp;$D35&amp;"*",'2024 AC'!K$3:K$250)</f>
        <v>84.75</v>
      </c>
      <c r="N35" s="53">
        <f>SUMIF('2024 AC'!$B$3:$B$250,"*"&amp;$D35&amp;"*",'2024 AC'!L$3:L$250)</f>
        <v>0</v>
      </c>
      <c r="O35" s="53">
        <f>SUMIF('2024 AC'!$B$3:$B$250,"*"&amp;$D35&amp;"*",'2024 AC'!M$3:M$250)</f>
        <v>151.87</v>
      </c>
      <c r="P35" s="93">
        <f>SUMIF('2024 AC'!$B$3:$B$250,"*"&amp;$D35&amp;"*",'2024 AC'!N$3:N$250)</f>
        <v>292.38</v>
      </c>
      <c r="Q35" s="92">
        <f t="shared" si="343"/>
        <v>1464.1599999999999</v>
      </c>
      <c r="R35" s="93">
        <f t="shared" si="344"/>
        <v>172.41999999999999</v>
      </c>
      <c r="S35" s="93">
        <f t="shared" si="345"/>
        <v>593.24000000000001</v>
      </c>
      <c r="T35" s="93">
        <f t="shared" si="346"/>
        <v>254.25</v>
      </c>
      <c r="U35" s="93">
        <f t="shared" si="347"/>
        <v>444.25</v>
      </c>
      <c r="V35" s="92">
        <f t="shared" si="348"/>
        <v>1464.1599999999999</v>
      </c>
    </row>
    <row r="36" ht="15" customHeight="1" outlineLevel="1">
      <c r="A36" t="s">
        <v>63</v>
      </c>
      <c r="B36" t="s">
        <v>64</v>
      </c>
      <c r="C36" s="150" t="s">
        <v>65</v>
      </c>
      <c r="D36" s="35" t="s">
        <v>64</v>
      </c>
      <c r="E36" s="63">
        <f>SUMIF('2024 AC'!$B$3:$B$250,"*"&amp;$D36&amp;"*",'2024 AC'!C$3:C$250)</f>
        <v>0</v>
      </c>
      <c r="F36" s="53">
        <f>SUMIF('2024 AC'!$B$3:$B$250,"*"&amp;$D36&amp;"*",'2024 AC'!D$3:D$250)</f>
        <v>0</v>
      </c>
      <c r="G36" s="53">
        <f>SUMIF('2024 AC'!$B$3:$B$250,"*"&amp;$D36&amp;"*",'2024 AC'!E$3:E$250)</f>
        <v>0</v>
      </c>
      <c r="H36" s="53">
        <f>SUMIF('2024 AC'!$B$3:$B$250,"*"&amp;$D36&amp;"*",'2024 AC'!F$3:F$250)</f>
        <v>0</v>
      </c>
      <c r="I36" s="53">
        <f>SUMIF('2024 AC'!$B$3:$B$250,"*"&amp;$D36&amp;"*",'2024 AC'!G$3:G$250)</f>
        <v>0</v>
      </c>
      <c r="J36" s="53">
        <f>SUMIF('2024 AC'!$B$3:$B$250,"*"&amp;$D36&amp;"*",'2024 AC'!H$3:H$250)</f>
        <v>0</v>
      </c>
      <c r="K36" s="53">
        <f>SUMIF('2024 AC'!$B$3:$B$250,"*"&amp;$D36&amp;"*",'2024 AC'!I$3:I$250)</f>
        <v>0</v>
      </c>
      <c r="L36" s="53">
        <f>SUMIF('2024 AC'!$B$3:$B$250,"*"&amp;$D36&amp;"*",'2024 AC'!J$3:J$250)</f>
        <v>0</v>
      </c>
      <c r="M36" s="53">
        <f>SUMIF('2024 AC'!$B$3:$B$250,"*"&amp;$D36&amp;"*",'2024 AC'!K$3:K$250)</f>
        <v>10</v>
      </c>
      <c r="N36" s="53">
        <f>SUMIF('2024 AC'!$B$3:$B$250,"*"&amp;$D36&amp;"*",'2024 AC'!L$3:L$250)</f>
        <v>0</v>
      </c>
      <c r="O36" s="53">
        <f>SUMIF('2024 AC'!$B$3:$B$250,"*"&amp;$D36&amp;"*",'2024 AC'!M$3:M$250)</f>
        <v>10</v>
      </c>
      <c r="P36" s="93">
        <f>SUMIF('2024 AC'!$B$3:$B$250,"*"&amp;$D36&amp;"*",'2024 AC'!N$3:N$250)</f>
        <v>0</v>
      </c>
      <c r="Q36" s="92">
        <f t="shared" si="343"/>
        <v>20</v>
      </c>
      <c r="R36" s="93">
        <f t="shared" si="344"/>
        <v>0</v>
      </c>
      <c r="S36" s="93">
        <f t="shared" si="345"/>
        <v>0</v>
      </c>
      <c r="T36" s="93">
        <f t="shared" si="346"/>
        <v>10</v>
      </c>
      <c r="U36" s="93">
        <f t="shared" si="347"/>
        <v>10</v>
      </c>
      <c r="V36" s="92">
        <f t="shared" si="348"/>
        <v>20</v>
      </c>
    </row>
    <row r="37" ht="15" customHeight="1" outlineLevel="1">
      <c r="A37" t="s">
        <v>66</v>
      </c>
      <c r="B37" t="s">
        <v>67</v>
      </c>
      <c r="C37" s="150" t="s">
        <v>68</v>
      </c>
      <c r="D37" s="156" t="s">
        <v>67</v>
      </c>
      <c r="E37" s="63">
        <f>SUMIF('2024 AC'!$B$3:$B$250,"*"&amp;$D37&amp;"*",'2024 AC'!C$3:C$250)</f>
        <v>16553.619999999999</v>
      </c>
      <c r="F37" s="53">
        <f>SUMIF('2024 AC'!$B$3:$B$250,"*"&amp;$D37&amp;"*",'2024 AC'!D$3:D$250)</f>
        <v>20560.029999999999</v>
      </c>
      <c r="G37" s="53">
        <f>SUMIF('2024 AC'!$B$3:$B$250,"*"&amp;$D37&amp;"*",'2024 AC'!E$3:E$250)</f>
        <v>7550.1700000000001</v>
      </c>
      <c r="H37" s="53">
        <f>SUMIF('2024 AC'!$B$3:$B$250,"*"&amp;$D37&amp;"*",'2024 AC'!F$3:F$250)</f>
        <v>10739.639999999999</v>
      </c>
      <c r="I37" s="53">
        <f>SUMIF('2024 AC'!$B$3:$B$250,"*"&amp;$D37&amp;"*",'2024 AC'!G$3:G$250)</f>
        <v>17809.02</v>
      </c>
      <c r="J37" s="53">
        <f>SUMIF('2024 AC'!$B$3:$B$250,"*"&amp;$D37&amp;"*",'2024 AC'!H$3:H$250)</f>
        <v>13795.41</v>
      </c>
      <c r="K37" s="53">
        <f>SUMIF('2024 AC'!$B$3:$B$250,"*"&amp;$D37&amp;"*",'2024 AC'!I$3:I$250)</f>
        <v>16256.450000000001</v>
      </c>
      <c r="L37" s="53">
        <f>SUMIF('2024 AC'!$B$3:$B$250,"*"&amp;$D37&amp;"*",'2024 AC'!J$3:J$250)</f>
        <v>25670.240000000002</v>
      </c>
      <c r="M37" s="53">
        <f>SUMIF('2024 AC'!$B$3:$B$250,"*"&amp;$D37&amp;"*",'2024 AC'!K$3:K$250)</f>
        <v>12413.74</v>
      </c>
      <c r="N37" s="53">
        <f>SUMIF('2024 AC'!$B$3:$B$250,"*"&amp;$D37&amp;"*",'2024 AC'!L$3:L$250)</f>
        <v>15067.1</v>
      </c>
      <c r="O37" s="53">
        <f>SUMIF('2024 AC'!$B$3:$B$250,"*"&amp;$D37&amp;"*",'2024 AC'!M$3:M$250)</f>
        <v>21355.389999999999</v>
      </c>
      <c r="P37" s="93">
        <f>SUMIF('2024 AC'!$B$3:$B$250,"*"&amp;$D37&amp;"*",'2024 AC'!N$3:N$250)</f>
        <v>10189.48</v>
      </c>
      <c r="Q37" s="92">
        <f t="shared" si="343"/>
        <v>187960.29000000001</v>
      </c>
      <c r="R37" s="93">
        <f t="shared" si="344"/>
        <v>44663.819999999992</v>
      </c>
      <c r="S37" s="93">
        <f t="shared" si="345"/>
        <v>42344.07</v>
      </c>
      <c r="T37" s="93">
        <f t="shared" si="346"/>
        <v>54340.43</v>
      </c>
      <c r="U37" s="93">
        <f t="shared" si="347"/>
        <v>46611.970000000001</v>
      </c>
      <c r="V37" s="92">
        <f t="shared" si="348"/>
        <v>187960.28999999998</v>
      </c>
    </row>
    <row r="38" s="137" customFormat="1">
      <c r="A38" s="137" t="s">
        <v>69</v>
      </c>
      <c r="B38" s="137" t="s">
        <v>70</v>
      </c>
      <c r="C38" s="138" t="s">
        <v>71</v>
      </c>
      <c r="D38" s="139" t="s">
        <v>70</v>
      </c>
      <c r="E38" s="145">
        <f>SUMIF('2024 AC'!$B$3:$B$250,"*"&amp;$D38&amp;"*",'2024 AC'!C$3:C$250)</f>
        <v>25359.380000000001</v>
      </c>
      <c r="F38" s="146">
        <f>SUMIF('2024 AC'!$B$3:$B$250,"*"&amp;$D38&amp;"*",'2024 AC'!D$3:D$250)</f>
        <v>28424.25</v>
      </c>
      <c r="G38" s="146">
        <f>SUMIF('2024 AC'!$B$3:$B$250,"*"&amp;$D38&amp;"*",'2024 AC'!E$3:E$250)</f>
        <v>97945.960000000006</v>
      </c>
      <c r="H38" s="146">
        <f>SUMIF('2024 AC'!$B$3:$B$250,"*"&amp;$D38&amp;"*",'2024 AC'!F$3:F$250)</f>
        <v>70797.070000000007</v>
      </c>
      <c r="I38" s="146">
        <f>SUMIF('2024 AC'!$B$3:$B$250,"*"&amp;$D38&amp;"*",'2024 AC'!G$3:G$250)</f>
        <v>33305.830000000002</v>
      </c>
      <c r="J38" s="146">
        <f>SUMIF('2024 AC'!$B$3:$B$250,"*"&amp;$D38&amp;"*",'2024 AC'!H$3:H$250)</f>
        <v>29357.490000000002</v>
      </c>
      <c r="K38" s="146">
        <f>SUMIF('2024 AC'!$B$3:$B$250,"*"&amp;$D38&amp;"*",'2024 AC'!I$3:I$250)</f>
        <v>36166</v>
      </c>
      <c r="L38" s="146">
        <f>SUMIF('2024 AC'!$B$3:$B$250,"*"&amp;$D38&amp;"*",'2024 AC'!J$3:J$250)</f>
        <v>33224.160000000003</v>
      </c>
      <c r="M38" s="146">
        <f>SUMIF('2024 AC'!$B$3:$B$250,"*"&amp;$D38&amp;"*",'2024 AC'!K$3:K$250)</f>
        <v>20405.27</v>
      </c>
      <c r="N38" s="146">
        <f>SUMIF('2024 AC'!$B$3:$B$250,"*"&amp;$D38&amp;"*",'2024 AC'!L$3:L$250)</f>
        <v>15946.620000000001</v>
      </c>
      <c r="O38" s="146">
        <f>SUMIF('2024 AC'!$B$3:$B$250,"*"&amp;$D38&amp;"*",'2024 AC'!M$3:M$250)</f>
        <v>10818.139999999999</v>
      </c>
      <c r="P38" s="147">
        <f>SUMIF('2024 AC'!$B$3:$B$250,"*"&amp;$D38&amp;"*",'2024 AC'!N$3:N$250)</f>
        <v>19440.23</v>
      </c>
      <c r="Q38" s="148">
        <f t="shared" si="343"/>
        <v>421190.40000000002</v>
      </c>
      <c r="R38" s="147">
        <f t="shared" si="344"/>
        <v>151729.59000000003</v>
      </c>
      <c r="S38" s="147">
        <f t="shared" si="345"/>
        <v>133460.39000000001</v>
      </c>
      <c r="T38" s="147">
        <f t="shared" si="346"/>
        <v>89795.430000000008</v>
      </c>
      <c r="U38" s="147">
        <f t="shared" si="347"/>
        <v>46204.990000000005</v>
      </c>
      <c r="V38" s="148">
        <f t="shared" si="348"/>
        <v>421190.40000000002</v>
      </c>
    </row>
    <row r="39" ht="15" customHeight="1" outlineLevel="1">
      <c r="A39" t="s">
        <v>72</v>
      </c>
      <c r="B39" t="s">
        <v>73</v>
      </c>
      <c r="C39" s="34" t="s">
        <v>74</v>
      </c>
      <c r="D39" s="35" t="s">
        <v>73</v>
      </c>
      <c r="E39" s="63">
        <f>SUMIF('2024 AC'!$B$3:$B$250,"*"&amp;$D39&amp;"*",'2024 AC'!C$3:C$250)</f>
        <v>1164.1900000000001</v>
      </c>
      <c r="F39" s="53">
        <f>SUMIF('2024 AC'!$B$3:$B$250,"*"&amp;$D39&amp;"*",'2024 AC'!D$3:D$250)</f>
        <v>978.67999999999995</v>
      </c>
      <c r="G39" s="53">
        <f>SUMIF('2024 AC'!$B$3:$B$250,"*"&amp;$D39&amp;"*",'2024 AC'!E$3:E$250)</f>
        <v>3076.3699999999999</v>
      </c>
      <c r="H39" s="53">
        <f>SUMIF('2024 AC'!$B$3:$B$250,"*"&amp;$D39&amp;"*",'2024 AC'!F$3:F$250)</f>
        <v>2724.5599999999999</v>
      </c>
      <c r="I39" s="53">
        <f>SUMIF('2024 AC'!$B$3:$B$250,"*"&amp;$D39&amp;"*",'2024 AC'!G$3:G$250)</f>
        <v>1949.1099999999999</v>
      </c>
      <c r="J39" s="53">
        <f>SUMIF('2024 AC'!$B$3:$B$250,"*"&amp;$D39&amp;"*",'2024 AC'!H$3:H$250)</f>
        <v>3364.6999999999998</v>
      </c>
      <c r="K39" s="53">
        <f>SUMIF('2024 AC'!$B$3:$B$250,"*"&amp;$D39&amp;"*",'2024 AC'!I$3:I$250)</f>
        <v>14121.59</v>
      </c>
      <c r="L39" s="53">
        <f>SUMIF('2024 AC'!$B$3:$B$250,"*"&amp;$D39&amp;"*",'2024 AC'!J$3:J$250)</f>
        <v>4190.8500000000004</v>
      </c>
      <c r="M39" s="53">
        <f>SUMIF('2024 AC'!$B$3:$B$250,"*"&amp;$D39&amp;"*",'2024 AC'!K$3:K$250)</f>
        <v>11251.299999999999</v>
      </c>
      <c r="N39" s="53">
        <f>SUMIF('2024 AC'!$B$3:$B$250,"*"&amp;$D39&amp;"*",'2024 AC'!L$3:L$250)</f>
        <v>15946.620000000001</v>
      </c>
      <c r="O39" s="53">
        <f>SUMIF('2024 AC'!$B$3:$B$250,"*"&amp;$D39&amp;"*",'2024 AC'!M$3:M$250)</f>
        <v>10818.139999999999</v>
      </c>
      <c r="P39" s="93">
        <f>SUMIF('2024 AC'!$B$3:$B$250,"*"&amp;$D39&amp;"*",'2024 AC'!N$3:N$250)</f>
        <v>13585.1</v>
      </c>
      <c r="Q39" s="92">
        <f t="shared" si="343"/>
        <v>83171.210000000021</v>
      </c>
      <c r="R39" s="93">
        <f t="shared" si="344"/>
        <v>5219.2399999999998</v>
      </c>
      <c r="S39" s="93">
        <f t="shared" si="345"/>
        <v>8038.3699999999999</v>
      </c>
      <c r="T39" s="93">
        <f t="shared" si="346"/>
        <v>29563.740000000002</v>
      </c>
      <c r="U39" s="93">
        <f t="shared" si="347"/>
        <v>40349.860000000001</v>
      </c>
      <c r="V39" s="92">
        <f t="shared" si="348"/>
        <v>83171.210000000006</v>
      </c>
    </row>
    <row r="40" ht="15" customHeight="1" outlineLevel="1">
      <c r="A40" t="s">
        <v>75</v>
      </c>
      <c r="B40" t="s">
        <v>76</v>
      </c>
      <c r="C40" s="157" t="s">
        <v>77</v>
      </c>
      <c r="D40" s="156" t="s">
        <v>76</v>
      </c>
      <c r="E40" s="63">
        <f>SUMIF('2024 AC'!$B$3:$B$250,"*"&amp;$D40&amp;"*",'2024 AC'!C$3:C$250)</f>
        <v>0</v>
      </c>
      <c r="F40" s="53">
        <f>SUMIF('2024 AC'!$B$3:$B$250,"*"&amp;$D40&amp;"*",'2024 AC'!D$3:D$250)</f>
        <v>0</v>
      </c>
      <c r="G40" s="53">
        <f>SUMIF('2024 AC'!$B$3:$B$250,"*"&amp;$D40&amp;"*",'2024 AC'!E$3:E$250)</f>
        <v>0</v>
      </c>
      <c r="H40" s="53">
        <f>SUMIF('2024 AC'!$B$3:$B$250,"*"&amp;$D40&amp;"*",'2024 AC'!F$3:F$250)</f>
        <v>0</v>
      </c>
      <c r="I40" s="53">
        <f>SUMIF('2024 AC'!$B$3:$B$250,"*"&amp;$D40&amp;"*",'2024 AC'!G$3:G$250)</f>
        <v>0</v>
      </c>
      <c r="J40" s="53">
        <f>SUMIF('2024 AC'!$B$3:$B$250,"*"&amp;$D40&amp;"*",'2024 AC'!H$3:H$250)</f>
        <v>0</v>
      </c>
      <c r="K40" s="53">
        <f>SUMIF('2024 AC'!$B$3:$B$250,"*"&amp;$D40&amp;"*",'2024 AC'!I$3:I$250)</f>
        <v>0</v>
      </c>
      <c r="L40" s="53">
        <f>SUMIF('2024 AC'!$B$3:$B$250,"*"&amp;$D40&amp;"*",'2024 AC'!J$3:J$250)</f>
        <v>0</v>
      </c>
      <c r="M40" s="53">
        <f>SUMIF('2024 AC'!$B$3:$B$250,"*"&amp;$D40&amp;"*",'2024 AC'!K$3:K$250)</f>
        <v>0</v>
      </c>
      <c r="N40" s="53">
        <f>SUMIF('2024 AC'!$B$3:$B$250,"*"&amp;$D40&amp;"*",'2024 AC'!L$3:L$250)</f>
        <v>0</v>
      </c>
      <c r="O40" s="53">
        <f>SUMIF('2024 AC'!$B$3:$B$250,"*"&amp;$D40&amp;"*",'2024 AC'!M$3:M$250)</f>
        <v>0</v>
      </c>
      <c r="P40" s="93">
        <f>SUMIF('2024 AC'!$B$3:$B$250,"*"&amp;$D40&amp;"*",'2024 AC'!N$3:N$250)</f>
        <v>0</v>
      </c>
      <c r="Q40" s="92">
        <f t="shared" si="343"/>
        <v>0</v>
      </c>
      <c r="R40" s="93">
        <f t="shared" si="344"/>
        <v>0</v>
      </c>
      <c r="S40" s="93">
        <f t="shared" si="345"/>
        <v>0</v>
      </c>
      <c r="T40" s="93">
        <f t="shared" si="346"/>
        <v>0</v>
      </c>
      <c r="U40" s="93">
        <f t="shared" si="347"/>
        <v>0</v>
      </c>
      <c r="V40" s="92">
        <f t="shared" si="348"/>
        <v>0</v>
      </c>
    </row>
    <row r="41" ht="15" customHeight="1" outlineLevel="1">
      <c r="A41" t="s">
        <v>78</v>
      </c>
      <c r="B41" t="s">
        <v>79</v>
      </c>
      <c r="C41" s="34" t="s">
        <v>80</v>
      </c>
      <c r="D41" s="35" t="s">
        <v>79</v>
      </c>
      <c r="E41" s="63">
        <f>SUMIF('2024 AC'!$B$3:$B$250,"*"&amp;$D41&amp;"*",'2024 AC'!C$3:C$250)</f>
        <v>23782.009999999998</v>
      </c>
      <c r="F41" s="53">
        <f>SUMIF('2024 AC'!$B$3:$B$250,"*"&amp;$D41&amp;"*",'2024 AC'!D$3:D$250)</f>
        <v>27010.689999999999</v>
      </c>
      <c r="G41" s="53">
        <f>SUMIF('2024 AC'!$B$3:$B$250,"*"&amp;$D41&amp;"*",'2024 AC'!E$3:E$250)</f>
        <v>23209.669999999998</v>
      </c>
      <c r="H41" s="53">
        <f>SUMIF('2024 AC'!$B$3:$B$250,"*"&amp;$D41&amp;"*",'2024 AC'!F$3:F$250)</f>
        <v>25166.68</v>
      </c>
      <c r="I41" s="53">
        <f>SUMIF('2024 AC'!$B$3:$B$250,"*"&amp;$D41&amp;"*",'2024 AC'!G$3:G$250)</f>
        <v>30536.720000000001</v>
      </c>
      <c r="J41" s="53">
        <f>SUMIF('2024 AC'!$B$3:$B$250,"*"&amp;$D41&amp;"*",'2024 AC'!H$3:H$250)</f>
        <v>23923.830000000002</v>
      </c>
      <c r="K41" s="53">
        <f>SUMIF('2024 AC'!$B$3:$B$250,"*"&amp;$D41&amp;"*",'2024 AC'!I$3:I$250)</f>
        <v>21747.259999999998</v>
      </c>
      <c r="L41" s="53">
        <f>SUMIF('2024 AC'!$B$3:$B$250,"*"&amp;$D41&amp;"*",'2024 AC'!J$3:J$250)</f>
        <v>28948.41</v>
      </c>
      <c r="M41" s="53">
        <f>SUMIF('2024 AC'!$B$3:$B$250,"*"&amp;$D41&amp;"*",'2024 AC'!K$3:K$250)</f>
        <v>9135.1000000000004</v>
      </c>
      <c r="N41" s="53">
        <f>SUMIF('2024 AC'!$B$3:$B$250,"*"&amp;$D41&amp;"*",'2024 AC'!L$3:L$250)</f>
        <v>0</v>
      </c>
      <c r="O41" s="53">
        <f>SUMIF('2024 AC'!$B$3:$B$250,"*"&amp;$D41&amp;"*",'2024 AC'!M$3:M$250)</f>
        <v>0</v>
      </c>
      <c r="P41" s="93">
        <f>SUMIF('2024 AC'!$B$3:$B$250,"*"&amp;$D41&amp;"*",'2024 AC'!N$3:N$250)</f>
        <v>0</v>
      </c>
      <c r="Q41" s="92">
        <f t="shared" si="343"/>
        <v>213460.37</v>
      </c>
      <c r="R41" s="93">
        <f t="shared" si="344"/>
        <v>74002.369999999995</v>
      </c>
      <c r="S41" s="93">
        <f t="shared" si="345"/>
        <v>79627.23000000001</v>
      </c>
      <c r="T41" s="93">
        <f t="shared" si="346"/>
        <v>59830.769999999997</v>
      </c>
      <c r="U41" s="93">
        <f t="shared" si="347"/>
        <v>0</v>
      </c>
      <c r="V41" s="92">
        <f t="shared" si="348"/>
        <v>213460.37</v>
      </c>
    </row>
    <row r="42" ht="15" customHeight="1" outlineLevel="1">
      <c r="A42" t="s">
        <v>81</v>
      </c>
      <c r="B42" t="s">
        <v>82</v>
      </c>
      <c r="C42" s="34" t="s">
        <v>83</v>
      </c>
      <c r="D42" s="35" t="s">
        <v>82</v>
      </c>
      <c r="E42" s="63">
        <f>SUMIF('2024 AC'!$B$3:$B$250,"*"&amp;$D42&amp;"*",'2024 AC'!C$3:C$250)</f>
        <v>0</v>
      </c>
      <c r="F42" s="53">
        <f>SUMIF('2024 AC'!$B$3:$B$250,"*"&amp;$D42&amp;"*",'2024 AC'!D$3:D$250)</f>
        <v>0</v>
      </c>
      <c r="G42" s="53">
        <f>SUMIF('2024 AC'!$B$3:$B$250,"*"&amp;$D42&amp;"*",'2024 AC'!E$3:E$250)</f>
        <v>0</v>
      </c>
      <c r="H42" s="53">
        <f>SUMIF('2024 AC'!$B$3:$B$250,"*"&amp;$D42&amp;"*",'2024 AC'!F$3:F$250)</f>
        <v>0</v>
      </c>
      <c r="I42" s="53">
        <f>SUMIF('2024 AC'!$B$3:$B$250,"*"&amp;$D42&amp;"*",'2024 AC'!G$3:G$250)</f>
        <v>0</v>
      </c>
      <c r="J42" s="53">
        <f>SUMIF('2024 AC'!$B$3:$B$250,"*"&amp;$D42&amp;"*",'2024 AC'!H$3:H$250)</f>
        <v>0</v>
      </c>
      <c r="K42" s="53">
        <f>SUMIF('2024 AC'!$B$3:$B$250,"*"&amp;$D42&amp;"*",'2024 AC'!I$3:I$250)</f>
        <v>0</v>
      </c>
      <c r="L42" s="53">
        <f>SUMIF('2024 AC'!$B$3:$B$250,"*"&amp;$D42&amp;"*",'2024 AC'!J$3:J$250)</f>
        <v>0</v>
      </c>
      <c r="M42" s="53">
        <f>SUMIF('2024 AC'!$B$3:$B$250,"*"&amp;$D42&amp;"*",'2024 AC'!K$3:K$250)</f>
        <v>0</v>
      </c>
      <c r="N42" s="53">
        <f>SUMIF('2024 AC'!$B$3:$B$250,"*"&amp;$D42&amp;"*",'2024 AC'!L$3:L$250)</f>
        <v>0</v>
      </c>
      <c r="O42" s="53">
        <f>SUMIF('2024 AC'!$B$3:$B$250,"*"&amp;$D42&amp;"*",'2024 AC'!M$3:M$250)</f>
        <v>0</v>
      </c>
      <c r="P42" s="93">
        <f>SUMIF('2024 AC'!$B$3:$B$250,"*"&amp;$D42&amp;"*",'2024 AC'!N$3:N$250)</f>
        <v>0</v>
      </c>
      <c r="Q42" s="92">
        <f t="shared" si="343"/>
        <v>0</v>
      </c>
      <c r="R42" s="93">
        <f t="shared" si="344"/>
        <v>0</v>
      </c>
      <c r="S42" s="93">
        <f t="shared" si="345"/>
        <v>0</v>
      </c>
      <c r="T42" s="93">
        <f t="shared" si="346"/>
        <v>0</v>
      </c>
      <c r="U42" s="93">
        <f t="shared" si="347"/>
        <v>0</v>
      </c>
      <c r="V42" s="92">
        <f t="shared" si="348"/>
        <v>0</v>
      </c>
    </row>
    <row r="43" ht="15" customHeight="1" outlineLevel="1">
      <c r="A43" t="s">
        <v>84</v>
      </c>
      <c r="B43" t="s">
        <v>85</v>
      </c>
      <c r="C43" s="34" t="s">
        <v>86</v>
      </c>
      <c r="D43" s="35" t="s">
        <v>85</v>
      </c>
      <c r="E43" s="63">
        <f>SUMIF('2024 AC'!$B$3:$B$250,"*"&amp;$D43&amp;"*",'2024 AC'!C$3:C$250)</f>
        <v>413.18000000000001</v>
      </c>
      <c r="F43" s="53">
        <f>SUMIF('2024 AC'!$B$3:$B$250,"*"&amp;$D43&amp;"*",'2024 AC'!D$3:D$250)</f>
        <v>434.88</v>
      </c>
      <c r="G43" s="53">
        <f>SUMIF('2024 AC'!$B$3:$B$250,"*"&amp;$D43&amp;"*",'2024 AC'!E$3:E$250)</f>
        <v>71659.919999999998</v>
      </c>
      <c r="H43" s="53">
        <f>SUMIF('2024 AC'!$B$3:$B$250,"*"&amp;$D43&amp;"*",'2024 AC'!F$3:F$250)</f>
        <v>42905.830000000002</v>
      </c>
      <c r="I43" s="53">
        <f>SUMIF('2024 AC'!$B$3:$B$250,"*"&amp;$D43&amp;"*",'2024 AC'!G$3:G$250)</f>
        <v>820</v>
      </c>
      <c r="J43" s="53">
        <f>SUMIF('2024 AC'!$B$3:$B$250,"*"&amp;$D43&amp;"*",'2024 AC'!H$3:H$250)</f>
        <v>2068.96</v>
      </c>
      <c r="K43" s="53">
        <f>SUMIF('2024 AC'!$B$3:$B$250,"*"&amp;$D43&amp;"*",'2024 AC'!I$3:I$250)</f>
        <v>297.14999999999998</v>
      </c>
      <c r="L43" s="53">
        <f>SUMIF('2024 AC'!$B$3:$B$250,"*"&amp;$D43&amp;"*",'2024 AC'!J$3:J$250)</f>
        <v>84.900000000000006</v>
      </c>
      <c r="M43" s="53">
        <f>SUMIF('2024 AC'!$B$3:$B$250,"*"&amp;$D43&amp;"*",'2024 AC'!K$3:K$250)</f>
        <v>18.870000000000001</v>
      </c>
      <c r="N43" s="53">
        <f>SUMIF('2024 AC'!$B$3:$B$250,"*"&amp;$D43&amp;"*",'2024 AC'!L$3:L$250)</f>
        <v>0</v>
      </c>
      <c r="O43" s="53">
        <f>SUMIF('2024 AC'!$B$3:$B$250,"*"&amp;$D43&amp;"*",'2024 AC'!M$3:M$250)</f>
        <v>0</v>
      </c>
      <c r="P43" s="93">
        <f>SUMIF('2024 AC'!$B$3:$B$250,"*"&amp;$D43&amp;"*",'2024 AC'!N$3:N$250)</f>
        <v>5855.1300000000001</v>
      </c>
      <c r="Q43" s="92">
        <f t="shared" si="343"/>
        <v>124558.81999999999</v>
      </c>
      <c r="R43" s="93">
        <f t="shared" si="344"/>
        <v>72507.979999999996</v>
      </c>
      <c r="S43" s="93">
        <f t="shared" si="345"/>
        <v>45794.790000000001</v>
      </c>
      <c r="T43" s="93">
        <f t="shared" si="346"/>
        <v>400.91999999999996</v>
      </c>
      <c r="U43" s="93">
        <f t="shared" si="347"/>
        <v>5855.1300000000001</v>
      </c>
      <c r="V43" s="92">
        <f t="shared" si="348"/>
        <v>124558.81999999999</v>
      </c>
    </row>
    <row r="44" ht="15" customHeight="1" outlineLevel="1">
      <c r="A44" t="s">
        <v>87</v>
      </c>
      <c r="B44" t="s">
        <v>88</v>
      </c>
      <c r="C44" s="34" t="s">
        <v>89</v>
      </c>
      <c r="D44" s="156" t="s">
        <v>88</v>
      </c>
      <c r="E44" s="63">
        <f>SUMIF('2024 AC'!$B$3:$B$250,"*"&amp;$D44&amp;"*",'2024 AC'!C$3:C$250)</f>
        <v>0</v>
      </c>
      <c r="F44" s="53">
        <f>SUMIF('2024 AC'!$B$3:$B$250,"*"&amp;$D44&amp;"*",'2024 AC'!D$3:D$250)</f>
        <v>0</v>
      </c>
      <c r="G44" s="53">
        <f>SUMIF('2024 AC'!$B$3:$B$250,"*"&amp;$D44&amp;"*",'2024 AC'!E$3:E$250)</f>
        <v>0</v>
      </c>
      <c r="H44" s="53">
        <f>SUMIF('2024 AC'!$B$3:$B$250,"*"&amp;$D44&amp;"*",'2024 AC'!F$3:F$250)</f>
        <v>0</v>
      </c>
      <c r="I44" s="53">
        <f>SUMIF('2024 AC'!$B$3:$B$250,"*"&amp;$D44&amp;"*",'2024 AC'!G$3:G$250)</f>
        <v>0</v>
      </c>
      <c r="J44" s="53">
        <f>SUMIF('2024 AC'!$B$3:$B$250,"*"&amp;$D44&amp;"*",'2024 AC'!H$3:H$250)</f>
        <v>0</v>
      </c>
      <c r="K44" s="53">
        <f>SUMIF('2024 AC'!$B$3:$B$250,"*"&amp;$D44&amp;"*",'2024 AC'!I$3:I$250)</f>
        <v>0</v>
      </c>
      <c r="L44" s="53">
        <f>SUMIF('2024 AC'!$B$3:$B$250,"*"&amp;$D44&amp;"*",'2024 AC'!J$3:J$250)</f>
        <v>0</v>
      </c>
      <c r="M44" s="53">
        <f>SUMIF('2024 AC'!$B$3:$B$250,"*"&amp;$D44&amp;"*",'2024 AC'!K$3:K$250)</f>
        <v>0</v>
      </c>
      <c r="N44" s="53">
        <f>SUMIF('2024 AC'!$B$3:$B$250,"*"&amp;$D44&amp;"*",'2024 AC'!L$3:L$250)</f>
        <v>0</v>
      </c>
      <c r="O44" s="53">
        <f>SUMIF('2024 AC'!$B$3:$B$250,"*"&amp;$D44&amp;"*",'2024 AC'!M$3:M$250)</f>
        <v>0</v>
      </c>
      <c r="P44" s="93">
        <f>SUMIF('2024 AC'!$B$3:$B$250,"*"&amp;$D44&amp;"*",'2024 AC'!N$3:N$250)</f>
        <v>0</v>
      </c>
      <c r="Q44" s="92">
        <f t="shared" si="343"/>
        <v>0</v>
      </c>
      <c r="R44" s="93">
        <f t="shared" si="344"/>
        <v>0</v>
      </c>
      <c r="S44" s="93">
        <f t="shared" si="345"/>
        <v>0</v>
      </c>
      <c r="T44" s="93">
        <f t="shared" si="346"/>
        <v>0</v>
      </c>
      <c r="U44" s="93">
        <f t="shared" si="347"/>
        <v>0</v>
      </c>
      <c r="V44" s="92">
        <f t="shared" si="348"/>
        <v>0</v>
      </c>
    </row>
    <row r="45" s="137" customFormat="1">
      <c r="A45" s="137" t="s">
        <v>90</v>
      </c>
      <c r="B45" s="137" t="s">
        <v>91</v>
      </c>
      <c r="C45" s="158" t="s">
        <v>92</v>
      </c>
      <c r="D45" s="139" t="s">
        <v>91</v>
      </c>
      <c r="E45" s="145">
        <f>SUMIF('2024 AC'!$B$3:$B$250,"*"&amp;$D45&amp;"*",'2024 AC'!C$3:C$250)</f>
        <v>71987.210000000006</v>
      </c>
      <c r="F45" s="146">
        <f>SUMIF('2024 AC'!$B$3:$B$250,"*"&amp;$D45&amp;"*",'2024 AC'!D$3:D$250)</f>
        <v>87343.130000000005</v>
      </c>
      <c r="G45" s="146">
        <f>SUMIF('2024 AC'!$B$3:$B$250,"*"&amp;$D45&amp;"*",'2024 AC'!E$3:E$250)</f>
        <v>32957.639999999999</v>
      </c>
      <c r="H45" s="146">
        <f>SUMIF('2024 AC'!$B$3:$B$250,"*"&amp;$D45&amp;"*",'2024 AC'!F$3:F$250)</f>
        <v>55593.209999999999</v>
      </c>
      <c r="I45" s="146">
        <f>SUMIF('2024 AC'!$B$3:$B$250,"*"&amp;$D45&amp;"*",'2024 AC'!G$3:G$250)</f>
        <v>119618.67999999999</v>
      </c>
      <c r="J45" s="146">
        <f>SUMIF('2024 AC'!$B$3:$B$250,"*"&amp;$D45&amp;"*",'2024 AC'!H$3:H$250)</f>
        <v>78987.380000000005</v>
      </c>
      <c r="K45" s="146">
        <f>SUMIF('2024 AC'!$B$3:$B$250,"*"&amp;$D45&amp;"*",'2024 AC'!I$3:I$250)</f>
        <v>48453.389999999999</v>
      </c>
      <c r="L45" s="146">
        <f>SUMIF('2024 AC'!$B$3:$B$250,"*"&amp;$D45&amp;"*",'2024 AC'!J$3:J$250)</f>
        <v>157775.54000000001</v>
      </c>
      <c r="M45" s="146">
        <f>SUMIF('2024 AC'!$B$3:$B$250,"*"&amp;$D45&amp;"*",'2024 AC'!K$3:K$250)</f>
        <v>57856.010000000002</v>
      </c>
      <c r="N45" s="146">
        <f>SUMIF('2024 AC'!$B$3:$B$250,"*"&amp;$D45&amp;"*",'2024 AC'!L$3:L$250)</f>
        <v>73360.169999999998</v>
      </c>
      <c r="O45" s="146">
        <f>SUMIF('2024 AC'!$B$3:$B$250,"*"&amp;$D45&amp;"*",'2024 AC'!M$3:M$250)</f>
        <v>119923.88</v>
      </c>
      <c r="P45" s="147">
        <f>SUMIF('2024 AC'!$B$3:$B$250,"*"&amp;$D45&amp;"*",'2024 AC'!N$3:N$250)</f>
        <v>45184.379999999997</v>
      </c>
      <c r="Q45" s="148">
        <f t="shared" si="343"/>
        <v>949040.62000000011</v>
      </c>
      <c r="R45" s="147">
        <f t="shared" si="344"/>
        <v>192287.98000000004</v>
      </c>
      <c r="S45" s="147">
        <f t="shared" si="345"/>
        <v>254199.26999999999</v>
      </c>
      <c r="T45" s="147">
        <f t="shared" si="346"/>
        <v>264084.94</v>
      </c>
      <c r="U45" s="147">
        <f t="shared" si="347"/>
        <v>238468.42999999999</v>
      </c>
      <c r="V45" s="148">
        <f t="shared" si="348"/>
        <v>949040.61999999988</v>
      </c>
    </row>
    <row r="46" outlineLevel="1">
      <c r="A46" t="s">
        <v>93</v>
      </c>
      <c r="B46" t="s">
        <v>94</v>
      </c>
      <c r="C46" s="52" t="s">
        <v>92</v>
      </c>
      <c r="D46" s="35" t="s">
        <v>94</v>
      </c>
      <c r="E46" s="63">
        <f>SUMIF('2024 AC'!$B$3:$B$250,"*"&amp;$D46&amp;"*",'2024 AC'!C$3:C$250)</f>
        <v>71987.210000000006</v>
      </c>
      <c r="F46" s="53">
        <f>SUMIF('2024 AC'!$B$3:$B$250,"*"&amp;$D46&amp;"*",'2024 AC'!D$3:D$250)</f>
        <v>87343.130000000005</v>
      </c>
      <c r="G46" s="53">
        <f>SUMIF('2024 AC'!$B$3:$B$250,"*"&amp;$D46&amp;"*",'2024 AC'!E$3:E$250)</f>
        <v>32957.639999999999</v>
      </c>
      <c r="H46" s="53">
        <f>SUMIF('2024 AC'!$B$3:$B$250,"*"&amp;$D46&amp;"*",'2024 AC'!F$3:F$250)</f>
        <v>55593.209999999999</v>
      </c>
      <c r="I46" s="53">
        <f>SUMIF('2024 AC'!$B$3:$B$250,"*"&amp;$D46&amp;"*",'2024 AC'!G$3:G$250)</f>
        <v>119618.67999999999</v>
      </c>
      <c r="J46" s="53">
        <f>SUMIF('2024 AC'!$B$3:$B$250,"*"&amp;$D46&amp;"*",'2024 AC'!H$3:H$250)</f>
        <v>78987.380000000005</v>
      </c>
      <c r="K46" s="53">
        <f>SUMIF('2024 AC'!$B$3:$B$250,"*"&amp;$D46&amp;"*",'2024 AC'!I$3:I$250)</f>
        <v>48453.389999999999</v>
      </c>
      <c r="L46" s="53">
        <f>SUMIF('2024 AC'!$B$3:$B$250,"*"&amp;$D46&amp;"*",'2024 AC'!J$3:J$250)</f>
        <v>157775.54000000001</v>
      </c>
      <c r="M46" s="53">
        <f>SUMIF('2024 AC'!$B$3:$B$250,"*"&amp;$D46&amp;"*",'2024 AC'!K$3:K$250)</f>
        <v>57856.010000000002</v>
      </c>
      <c r="N46" s="53">
        <f>SUMIF('2024 AC'!$B$3:$B$250,"*"&amp;$D46&amp;"*",'2024 AC'!L$3:L$250)</f>
        <v>73360.169999999998</v>
      </c>
      <c r="O46" s="53">
        <f>SUMIF('2024 AC'!$B$3:$B$250,"*"&amp;$D46&amp;"*",'2024 AC'!M$3:M$250)</f>
        <v>119923.88</v>
      </c>
      <c r="P46" s="93">
        <f>SUMIF('2024 AC'!$B$3:$B$250,"*"&amp;$D46&amp;"*",'2024 AC'!N$3:N$250)</f>
        <v>45184.379999999997</v>
      </c>
      <c r="Q46" s="92">
        <f t="shared" si="343"/>
        <v>949040.62000000011</v>
      </c>
      <c r="R46" s="93">
        <f t="shared" si="344"/>
        <v>192287.98000000004</v>
      </c>
      <c r="S46" s="93">
        <f t="shared" si="345"/>
        <v>254199.26999999999</v>
      </c>
      <c r="T46" s="93">
        <f t="shared" si="346"/>
        <v>264084.94</v>
      </c>
      <c r="U46" s="93">
        <f t="shared" si="347"/>
        <v>238468.42999999999</v>
      </c>
      <c r="V46" s="92">
        <f t="shared" si="348"/>
        <v>949040.61999999988</v>
      </c>
    </row>
    <row r="47" ht="15" customHeight="1" outlineLevel="1">
      <c r="A47" t="s">
        <v>95</v>
      </c>
      <c r="B47" t="s">
        <v>96</v>
      </c>
      <c r="C47" s="52" t="s">
        <v>97</v>
      </c>
      <c r="D47" s="35" t="s">
        <v>98</v>
      </c>
      <c r="E47" s="63">
        <f>SUMIF('2024 AC'!$B$3:$B$250,"*"&amp;$D47&amp;"*",'2024 AC'!C$3:C$250)</f>
        <v>0</v>
      </c>
      <c r="F47" s="53">
        <f>SUMIF('2024 AC'!$B$3:$B$250,"*"&amp;$D47&amp;"*",'2024 AC'!D$3:D$250)</f>
        <v>0</v>
      </c>
      <c r="G47" s="53">
        <f>SUMIF('2024 AC'!$B$3:$B$250,"*"&amp;$D47&amp;"*",'2024 AC'!E$3:E$250)</f>
        <v>0</v>
      </c>
      <c r="H47" s="53">
        <f>SUMIF('2024 AC'!$B$3:$B$250,"*"&amp;$D47&amp;"*",'2024 AC'!F$3:F$250)</f>
        <v>0</v>
      </c>
      <c r="I47" s="53">
        <f>SUMIF('2024 AC'!$B$3:$B$250,"*"&amp;$D47&amp;"*",'2024 AC'!G$3:G$250)</f>
        <v>0</v>
      </c>
      <c r="J47" s="53">
        <f>SUMIF('2024 AC'!$B$3:$B$250,"*"&amp;$D47&amp;"*",'2024 AC'!H$3:H$250)</f>
        <v>0</v>
      </c>
      <c r="K47" s="53">
        <f>SUMIF('2024 AC'!$B$3:$B$250,"*"&amp;$D47&amp;"*",'2024 AC'!I$3:I$250)</f>
        <v>0</v>
      </c>
      <c r="L47" s="53">
        <f>SUMIF('2024 AC'!$B$3:$B$250,"*"&amp;$D47&amp;"*",'2024 AC'!J$3:J$250)</f>
        <v>0</v>
      </c>
      <c r="M47" s="53">
        <f>SUMIF('2024 AC'!$B$3:$B$250,"*"&amp;$D47&amp;"*",'2024 AC'!K$3:K$250)</f>
        <v>0</v>
      </c>
      <c r="N47" s="53">
        <f>SUMIF('2024 AC'!$B$3:$B$250,"*"&amp;$D47&amp;"*",'2024 AC'!L$3:L$250)</f>
        <v>0</v>
      </c>
      <c r="O47" s="53">
        <f>SUMIF('2024 AC'!$B$3:$B$250,"*"&amp;$D47&amp;"*",'2024 AC'!M$3:M$250)</f>
        <v>0</v>
      </c>
      <c r="P47" s="93">
        <f>SUMIF('2024 AC'!$B$3:$B$250,"*"&amp;$D47&amp;"*",'2024 AC'!N$3:N$250)</f>
        <v>0</v>
      </c>
      <c r="Q47" s="92">
        <f t="shared" si="343"/>
        <v>0</v>
      </c>
      <c r="R47" s="93">
        <f t="shared" si="344"/>
        <v>0</v>
      </c>
      <c r="S47" s="93">
        <f t="shared" si="345"/>
        <v>0</v>
      </c>
      <c r="T47" s="93">
        <f t="shared" si="346"/>
        <v>0</v>
      </c>
      <c r="U47" s="93">
        <f t="shared" si="347"/>
        <v>0</v>
      </c>
      <c r="V47" s="92">
        <f t="shared" si="348"/>
        <v>0</v>
      </c>
    </row>
    <row r="48" ht="15" customHeight="1" outlineLevel="1">
      <c r="A48" t="s">
        <v>95</v>
      </c>
      <c r="B48" t="s">
        <v>96</v>
      </c>
      <c r="C48" s="52" t="s">
        <v>99</v>
      </c>
      <c r="D48" s="35" t="s">
        <v>100</v>
      </c>
      <c r="E48" s="63">
        <f>SUMIF('2024 AC'!$B$3:$B$250,"*"&amp;$D48&amp;"*",'2024 AC'!C$3:C$250)</f>
        <v>0</v>
      </c>
      <c r="F48" s="53">
        <f>SUMIF('2024 AC'!$B$3:$B$250,"*"&amp;$D48&amp;"*",'2024 AC'!D$3:D$250)</f>
        <v>0</v>
      </c>
      <c r="G48" s="53">
        <f>SUMIF('2024 AC'!$B$3:$B$250,"*"&amp;$D48&amp;"*",'2024 AC'!E$3:E$250)</f>
        <v>0</v>
      </c>
      <c r="H48" s="53">
        <f>SUMIF('2024 AC'!$B$3:$B$250,"*"&amp;$D48&amp;"*",'2024 AC'!F$3:F$250)</f>
        <v>0</v>
      </c>
      <c r="I48" s="53">
        <f>SUMIF('2024 AC'!$B$3:$B$250,"*"&amp;$D48&amp;"*",'2024 AC'!G$3:G$250)</f>
        <v>0</v>
      </c>
      <c r="J48" s="53">
        <f>SUMIF('2024 AC'!$B$3:$B$250,"*"&amp;$D48&amp;"*",'2024 AC'!H$3:H$250)</f>
        <v>0</v>
      </c>
      <c r="K48" s="53">
        <f>SUMIF('2024 AC'!$B$3:$B$250,"*"&amp;$D48&amp;"*",'2024 AC'!I$3:I$250)</f>
        <v>0</v>
      </c>
      <c r="L48" s="53">
        <f>SUMIF('2024 AC'!$B$3:$B$250,"*"&amp;$D48&amp;"*",'2024 AC'!J$3:J$250)</f>
        <v>0</v>
      </c>
      <c r="M48" s="53">
        <f>SUMIF('2024 AC'!$B$3:$B$250,"*"&amp;$D48&amp;"*",'2024 AC'!K$3:K$250)</f>
        <v>0</v>
      </c>
      <c r="N48" s="53">
        <f>SUMIF('2024 AC'!$B$3:$B$250,"*"&amp;$D48&amp;"*",'2024 AC'!L$3:L$250)</f>
        <v>0</v>
      </c>
      <c r="O48" s="53">
        <f>SUMIF('2024 AC'!$B$3:$B$250,"*"&amp;$D48&amp;"*",'2024 AC'!M$3:M$250)</f>
        <v>0</v>
      </c>
      <c r="P48" s="93">
        <f>SUMIF('2024 AC'!$B$3:$B$250,"*"&amp;$D48&amp;"*",'2024 AC'!N$3:N$250)</f>
        <v>0</v>
      </c>
      <c r="Q48" s="92">
        <f t="shared" si="343"/>
        <v>0</v>
      </c>
      <c r="R48" s="93">
        <f t="shared" si="344"/>
        <v>0</v>
      </c>
      <c r="S48" s="93">
        <f t="shared" si="345"/>
        <v>0</v>
      </c>
      <c r="T48" s="93">
        <f t="shared" si="346"/>
        <v>0</v>
      </c>
      <c r="U48" s="93">
        <f t="shared" si="347"/>
        <v>0</v>
      </c>
      <c r="V48" s="92">
        <f t="shared" si="348"/>
        <v>0</v>
      </c>
    </row>
    <row r="49" ht="15" customHeight="1" outlineLevel="1">
      <c r="A49" t="s">
        <v>95</v>
      </c>
      <c r="B49" t="s">
        <v>96</v>
      </c>
      <c r="C49" s="52" t="s">
        <v>101</v>
      </c>
      <c r="D49" s="35" t="s">
        <v>102</v>
      </c>
      <c r="E49" s="63">
        <f>SUMIF('2024 AC'!$B$3:$B$250,"*"&amp;$D49&amp;"*",'2024 AC'!C$3:C$250)</f>
        <v>0</v>
      </c>
      <c r="F49" s="53">
        <f>SUMIF('2024 AC'!$B$3:$B$250,"*"&amp;$D49&amp;"*",'2024 AC'!D$3:D$250)</f>
        <v>0</v>
      </c>
      <c r="G49" s="53">
        <f>SUMIF('2024 AC'!$B$3:$B$250,"*"&amp;$D49&amp;"*",'2024 AC'!E$3:E$250)</f>
        <v>0</v>
      </c>
      <c r="H49" s="53">
        <f>SUMIF('2024 AC'!$B$3:$B$250,"*"&amp;$D49&amp;"*",'2024 AC'!F$3:F$250)</f>
        <v>0</v>
      </c>
      <c r="I49" s="53">
        <f>SUMIF('2024 AC'!$B$3:$B$250,"*"&amp;$D49&amp;"*",'2024 AC'!G$3:G$250)</f>
        <v>0</v>
      </c>
      <c r="J49" s="53">
        <f>SUMIF('2024 AC'!$B$3:$B$250,"*"&amp;$D49&amp;"*",'2024 AC'!H$3:H$250)</f>
        <v>0</v>
      </c>
      <c r="K49" s="53">
        <f>SUMIF('2024 AC'!$B$3:$B$250,"*"&amp;$D49&amp;"*",'2024 AC'!I$3:I$250)</f>
        <v>0</v>
      </c>
      <c r="L49" s="53">
        <f>SUMIF('2024 AC'!$B$3:$B$250,"*"&amp;$D49&amp;"*",'2024 AC'!J$3:J$250)</f>
        <v>0</v>
      </c>
      <c r="M49" s="53">
        <f>SUMIF('2024 AC'!$B$3:$B$250,"*"&amp;$D49&amp;"*",'2024 AC'!K$3:K$250)</f>
        <v>0</v>
      </c>
      <c r="N49" s="53">
        <f>SUMIF('2024 AC'!$B$3:$B$250,"*"&amp;$D49&amp;"*",'2024 AC'!L$3:L$250)</f>
        <v>0</v>
      </c>
      <c r="O49" s="53">
        <f>SUMIF('2024 AC'!$B$3:$B$250,"*"&amp;$D49&amp;"*",'2024 AC'!M$3:M$250)</f>
        <v>0</v>
      </c>
      <c r="P49" s="93">
        <f>SUMIF('2024 AC'!$B$3:$B$250,"*"&amp;$D49&amp;"*",'2024 AC'!N$3:N$250)</f>
        <v>0</v>
      </c>
      <c r="Q49" s="92">
        <f t="shared" si="343"/>
        <v>0</v>
      </c>
      <c r="R49" s="93">
        <f t="shared" si="344"/>
        <v>0</v>
      </c>
      <c r="S49" s="93">
        <f t="shared" si="345"/>
        <v>0</v>
      </c>
      <c r="T49" s="93">
        <f t="shared" si="346"/>
        <v>0</v>
      </c>
      <c r="U49" s="93">
        <f t="shared" si="347"/>
        <v>0</v>
      </c>
      <c r="V49" s="92">
        <f t="shared" si="348"/>
        <v>0</v>
      </c>
    </row>
    <row r="50" ht="15" customHeight="1" outlineLevel="1">
      <c r="A50" t="s">
        <v>95</v>
      </c>
      <c r="B50" t="s">
        <v>96</v>
      </c>
      <c r="C50" s="52" t="s">
        <v>103</v>
      </c>
      <c r="D50" s="35" t="s">
        <v>104</v>
      </c>
      <c r="E50" s="63">
        <f>SUMIF('2024 AC'!$B$3:$B$250,"*"&amp;$D50&amp;"*",'2024 AC'!C$3:C$250)</f>
        <v>0</v>
      </c>
      <c r="F50" s="53">
        <f>SUMIF('2024 AC'!$B$3:$B$250,"*"&amp;$D50&amp;"*",'2024 AC'!D$3:D$250)</f>
        <v>0</v>
      </c>
      <c r="G50" s="53">
        <f>SUMIF('2024 AC'!$B$3:$B$250,"*"&amp;$D50&amp;"*",'2024 AC'!E$3:E$250)</f>
        <v>0</v>
      </c>
      <c r="H50" s="53">
        <f>SUMIF('2024 AC'!$B$3:$B$250,"*"&amp;$D50&amp;"*",'2024 AC'!F$3:F$250)</f>
        <v>0</v>
      </c>
      <c r="I50" s="53">
        <f>SUMIF('2024 AC'!$B$3:$B$250,"*"&amp;$D50&amp;"*",'2024 AC'!G$3:G$250)</f>
        <v>0</v>
      </c>
      <c r="J50" s="53">
        <f>SUMIF('2024 AC'!$B$3:$B$250,"*"&amp;$D50&amp;"*",'2024 AC'!H$3:H$250)</f>
        <v>0</v>
      </c>
      <c r="K50" s="53">
        <f>SUMIF('2024 AC'!$B$3:$B$250,"*"&amp;$D50&amp;"*",'2024 AC'!I$3:I$250)</f>
        <v>0</v>
      </c>
      <c r="L50" s="53">
        <f>SUMIF('2024 AC'!$B$3:$B$250,"*"&amp;$D50&amp;"*",'2024 AC'!J$3:J$250)</f>
        <v>0</v>
      </c>
      <c r="M50" s="53">
        <f>SUMIF('2024 AC'!$B$3:$B$250,"*"&amp;$D50&amp;"*",'2024 AC'!K$3:K$250)</f>
        <v>0</v>
      </c>
      <c r="N50" s="53">
        <f>SUMIF('2024 AC'!$B$3:$B$250,"*"&amp;$D50&amp;"*",'2024 AC'!L$3:L$250)</f>
        <v>0</v>
      </c>
      <c r="O50" s="53">
        <f>SUMIF('2024 AC'!$B$3:$B$250,"*"&amp;$D50&amp;"*",'2024 AC'!M$3:M$250)</f>
        <v>0</v>
      </c>
      <c r="P50" s="93">
        <f>SUMIF('2024 AC'!$B$3:$B$250,"*"&amp;$D50&amp;"*",'2024 AC'!N$3:N$250)</f>
        <v>0</v>
      </c>
      <c r="Q50" s="92">
        <f t="shared" si="343"/>
        <v>0</v>
      </c>
      <c r="R50" s="93">
        <f t="shared" si="344"/>
        <v>0</v>
      </c>
      <c r="S50" s="93">
        <f t="shared" si="345"/>
        <v>0</v>
      </c>
      <c r="T50" s="93">
        <f t="shared" si="346"/>
        <v>0</v>
      </c>
      <c r="U50" s="93">
        <f t="shared" si="347"/>
        <v>0</v>
      </c>
      <c r="V50" s="92">
        <f t="shared" si="348"/>
        <v>0</v>
      </c>
    </row>
    <row r="51" ht="15" customHeight="1" outlineLevel="1">
      <c r="A51" t="s">
        <v>95</v>
      </c>
      <c r="B51" t="s">
        <v>96</v>
      </c>
      <c r="C51" s="52" t="s">
        <v>105</v>
      </c>
      <c r="D51" s="35" t="s">
        <v>96</v>
      </c>
      <c r="E51" s="63">
        <f>SUMIF('2024 AC'!$B$3:$B$250,"*"&amp;$D51&amp;"*",'2024 AC'!C$3:C$250)</f>
        <v>0</v>
      </c>
      <c r="F51" s="53">
        <f>SUMIF('2024 AC'!$B$3:$B$250,"*"&amp;$D51&amp;"*",'2024 AC'!D$3:D$250)</f>
        <v>0</v>
      </c>
      <c r="G51" s="53">
        <f>SUMIF('2024 AC'!$B$3:$B$250,"*"&amp;$D51&amp;"*",'2024 AC'!E$3:E$250)</f>
        <v>0</v>
      </c>
      <c r="H51" s="53">
        <f>SUMIF('2024 AC'!$B$3:$B$250,"*"&amp;$D51&amp;"*",'2024 AC'!F$3:F$250)</f>
        <v>0</v>
      </c>
      <c r="I51" s="53">
        <f>SUMIF('2024 AC'!$B$3:$B$250,"*"&amp;$D51&amp;"*",'2024 AC'!G$3:G$250)</f>
        <v>0</v>
      </c>
      <c r="J51" s="53">
        <f>SUMIF('2024 AC'!$B$3:$B$250,"*"&amp;$D51&amp;"*",'2024 AC'!H$3:H$250)</f>
        <v>0</v>
      </c>
      <c r="K51" s="53">
        <f>SUMIF('2024 AC'!$B$3:$B$250,"*"&amp;$D51&amp;"*",'2024 AC'!I$3:I$250)</f>
        <v>0</v>
      </c>
      <c r="L51" s="53">
        <f>SUMIF('2024 AC'!$B$3:$B$250,"*"&amp;$D51&amp;"*",'2024 AC'!J$3:J$250)</f>
        <v>0</v>
      </c>
      <c r="M51" s="53">
        <f>SUMIF('2024 AC'!$B$3:$B$250,"*"&amp;$D51&amp;"*",'2024 AC'!K$3:K$250)</f>
        <v>0</v>
      </c>
      <c r="N51" s="53">
        <f>SUMIF('2024 AC'!$B$3:$B$250,"*"&amp;$D51&amp;"*",'2024 AC'!L$3:L$250)</f>
        <v>0</v>
      </c>
      <c r="O51" s="53">
        <f>SUMIF('2024 AC'!$B$3:$B$250,"*"&amp;$D51&amp;"*",'2024 AC'!M$3:M$250)</f>
        <v>0</v>
      </c>
      <c r="P51" s="93">
        <f>SUMIF('2024 AC'!$B$3:$B$250,"*"&amp;$D51&amp;"*",'2024 AC'!N$3:N$250)</f>
        <v>0</v>
      </c>
      <c r="Q51" s="92">
        <f t="shared" si="343"/>
        <v>0</v>
      </c>
      <c r="R51" s="93">
        <f t="shared" si="344"/>
        <v>0</v>
      </c>
      <c r="S51" s="93">
        <f t="shared" si="345"/>
        <v>0</v>
      </c>
      <c r="T51" s="93">
        <f t="shared" si="346"/>
        <v>0</v>
      </c>
      <c r="U51" s="93">
        <f t="shared" si="347"/>
        <v>0</v>
      </c>
      <c r="V51" s="92">
        <f t="shared" si="348"/>
        <v>0</v>
      </c>
    </row>
    <row r="52" s="137" customFormat="1">
      <c r="A52" s="137" t="s">
        <v>106</v>
      </c>
      <c r="B52" s="137" t="s">
        <v>107</v>
      </c>
      <c r="C52" s="138" t="s">
        <v>108</v>
      </c>
      <c r="D52" s="139" t="s">
        <v>107</v>
      </c>
      <c r="E52" s="145">
        <f>SUMIF('2024 AC'!$B$3:$B$250,"*"&amp;$D52&amp;"*",'2024 AC'!C$3:C$250)</f>
        <v>6601.8800000000001</v>
      </c>
      <c r="F52" s="146">
        <f>SUMIF('2024 AC'!$B$3:$B$250,"*"&amp;$D52&amp;"*",'2024 AC'!D$3:D$250)</f>
        <v>5480.1999999999998</v>
      </c>
      <c r="G52" s="146">
        <f>SUMIF('2024 AC'!$B$3:$B$250,"*"&amp;$D52&amp;"*",'2024 AC'!E$3:E$250)</f>
        <v>5224.5299999999997</v>
      </c>
      <c r="H52" s="146">
        <f>SUMIF('2024 AC'!$B$3:$B$250,"*"&amp;$D52&amp;"*",'2024 AC'!F$3:F$250)</f>
        <v>5225.4700000000003</v>
      </c>
      <c r="I52" s="146">
        <f>SUMIF('2024 AC'!$B$3:$B$250,"*"&amp;$D52&amp;"*",'2024 AC'!G$3:G$250)</f>
        <v>10327.370000000001</v>
      </c>
      <c r="J52" s="146">
        <f>SUMIF('2024 AC'!$B$3:$B$250,"*"&amp;$D52&amp;"*",'2024 AC'!H$3:H$250)</f>
        <v>4571.6999999999998</v>
      </c>
      <c r="K52" s="146">
        <f>SUMIF('2024 AC'!$B$3:$B$250,"*"&amp;$D52&amp;"*",'2024 AC'!I$3:I$250)</f>
        <v>5440.5799999999999</v>
      </c>
      <c r="L52" s="146">
        <f>SUMIF('2024 AC'!$B$3:$B$250,"*"&amp;$D52&amp;"*",'2024 AC'!J$3:J$250)</f>
        <v>4824.5299999999997</v>
      </c>
      <c r="M52" s="146">
        <f>SUMIF('2024 AC'!$B$3:$B$250,"*"&amp;$D52&amp;"*",'2024 AC'!K$3:K$250)</f>
        <v>5854.7200000000003</v>
      </c>
      <c r="N52" s="146">
        <f>SUMIF('2024 AC'!$B$3:$B$250,"*"&amp;$D52&amp;"*",'2024 AC'!L$3:L$250)</f>
        <v>3661.3200000000002</v>
      </c>
      <c r="O52" s="146">
        <f>SUMIF('2024 AC'!$B$3:$B$250,"*"&amp;$D52&amp;"*",'2024 AC'!M$3:M$250)</f>
        <v>5448.1099999999997</v>
      </c>
      <c r="P52" s="147">
        <f>SUMIF('2024 AC'!$B$3:$B$250,"*"&amp;$D52&amp;"*",'2024 AC'!N$3:N$250)</f>
        <v>9457.5599999999995</v>
      </c>
      <c r="Q52" s="148">
        <f t="shared" si="343"/>
        <v>72117.970000000001</v>
      </c>
      <c r="R52" s="147">
        <f t="shared" si="344"/>
        <v>17306.610000000001</v>
      </c>
      <c r="S52" s="147">
        <f t="shared" si="345"/>
        <v>20124.540000000001</v>
      </c>
      <c r="T52" s="147">
        <f t="shared" si="346"/>
        <v>16119.830000000002</v>
      </c>
      <c r="U52" s="147">
        <f t="shared" si="347"/>
        <v>18566.989999999998</v>
      </c>
      <c r="V52" s="148">
        <f t="shared" si="348"/>
        <v>72117.970000000001</v>
      </c>
    </row>
    <row r="53" outlineLevel="1">
      <c r="A53" t="s">
        <v>106</v>
      </c>
      <c r="B53" t="s">
        <v>107</v>
      </c>
      <c r="C53" s="160" t="s">
        <v>109</v>
      </c>
      <c r="D53" s="35" t="s">
        <v>110</v>
      </c>
      <c r="E53" s="63">
        <f>SUMIF('2024 AC'!$B$3:$B$250,"*"&amp;$D53&amp;"*",'2024 AC'!C$3:C$250)</f>
        <v>6601.8800000000001</v>
      </c>
      <c r="F53" s="53">
        <f>SUMIF('2024 AC'!$B$3:$B$250,"*"&amp;$D53&amp;"*",'2024 AC'!D$3:D$250)</f>
        <v>5480.1999999999998</v>
      </c>
      <c r="G53" s="53">
        <f>SUMIF('2024 AC'!$B$3:$B$250,"*"&amp;$D53&amp;"*",'2024 AC'!E$3:E$250)</f>
        <v>5224.5299999999997</v>
      </c>
      <c r="H53" s="53">
        <f>SUMIF('2024 AC'!$B$3:$B$250,"*"&amp;$D53&amp;"*",'2024 AC'!F$3:F$250)</f>
        <v>5225.4700000000003</v>
      </c>
      <c r="I53" s="53">
        <f>SUMIF('2024 AC'!$B$3:$B$250,"*"&amp;$D53&amp;"*",'2024 AC'!G$3:G$250)</f>
        <v>10327.370000000001</v>
      </c>
      <c r="J53" s="53">
        <f>SUMIF('2024 AC'!$B$3:$B$250,"*"&amp;$D53&amp;"*",'2024 AC'!H$3:H$250)</f>
        <v>4571.6999999999998</v>
      </c>
      <c r="K53" s="53">
        <f>SUMIF('2024 AC'!$B$3:$B$250,"*"&amp;$D53&amp;"*",'2024 AC'!I$3:I$250)</f>
        <v>5440.5799999999999</v>
      </c>
      <c r="L53" s="53">
        <f>SUMIF('2024 AC'!$B$3:$B$250,"*"&amp;$D53&amp;"*",'2024 AC'!J$3:J$250)</f>
        <v>4824.5299999999997</v>
      </c>
      <c r="M53" s="53">
        <f>SUMIF('2024 AC'!$B$3:$B$250,"*"&amp;$D53&amp;"*",'2024 AC'!K$3:K$250)</f>
        <v>5854.7200000000003</v>
      </c>
      <c r="N53" s="53">
        <f>SUMIF('2024 AC'!$B$3:$B$250,"*"&amp;$D53&amp;"*",'2024 AC'!L$3:L$250)</f>
        <v>3661.3200000000002</v>
      </c>
      <c r="O53" s="53">
        <f>SUMIF('2024 AC'!$B$3:$B$250,"*"&amp;$D53&amp;"*",'2024 AC'!M$3:M$250)</f>
        <v>5448.1099999999997</v>
      </c>
      <c r="P53" s="93">
        <f>SUMIF('2024 AC'!$B$3:$B$250,"*"&amp;$D53&amp;"*",'2024 AC'!N$3:N$250)</f>
        <v>9457.5599999999995</v>
      </c>
      <c r="Q53" s="92">
        <f t="shared" si="343"/>
        <v>72117.970000000001</v>
      </c>
      <c r="R53" s="93">
        <f t="shared" si="344"/>
        <v>17306.610000000001</v>
      </c>
      <c r="S53" s="93">
        <f t="shared" si="345"/>
        <v>20124.540000000001</v>
      </c>
      <c r="T53" s="93">
        <f t="shared" si="346"/>
        <v>16119.830000000002</v>
      </c>
      <c r="U53" s="93">
        <f t="shared" si="347"/>
        <v>18566.989999999998</v>
      </c>
      <c r="V53" s="92">
        <f t="shared" si="348"/>
        <v>72117.970000000001</v>
      </c>
    </row>
    <row r="54" outlineLevel="1">
      <c r="A54" t="s">
        <v>106</v>
      </c>
      <c r="B54" t="s">
        <v>107</v>
      </c>
      <c r="C54" s="160" t="s">
        <v>111</v>
      </c>
      <c r="D54" s="35" t="s">
        <v>112</v>
      </c>
      <c r="E54" s="63">
        <f>SUMIF('2024 AC'!$B$3:$B$250,"*"&amp;$D54&amp;"*",'2024 AC'!C$3:C$250)</f>
        <v>0</v>
      </c>
      <c r="F54" s="53">
        <f>SUMIF('2024 AC'!$B$3:$B$250,"*"&amp;$D54&amp;"*",'2024 AC'!D$3:D$250)</f>
        <v>0</v>
      </c>
      <c r="G54" s="53">
        <f>SUMIF('2024 AC'!$B$3:$B$250,"*"&amp;$D54&amp;"*",'2024 AC'!E$3:E$250)</f>
        <v>0</v>
      </c>
      <c r="H54" s="53">
        <f>SUMIF('2024 AC'!$B$3:$B$250,"*"&amp;$D54&amp;"*",'2024 AC'!F$3:F$250)</f>
        <v>0</v>
      </c>
      <c r="I54" s="53">
        <f>SUMIF('2024 AC'!$B$3:$B$250,"*"&amp;$D54&amp;"*",'2024 AC'!G$3:G$250)</f>
        <v>0</v>
      </c>
      <c r="J54" s="53">
        <f>SUMIF('2024 AC'!$B$3:$B$250,"*"&amp;$D54&amp;"*",'2024 AC'!H$3:H$250)</f>
        <v>0</v>
      </c>
      <c r="K54" s="53">
        <f>SUMIF('2024 AC'!$B$3:$B$250,"*"&amp;$D54&amp;"*",'2024 AC'!I$3:I$250)</f>
        <v>0</v>
      </c>
      <c r="L54" s="53">
        <f>SUMIF('2024 AC'!$B$3:$B$250,"*"&amp;$D54&amp;"*",'2024 AC'!J$3:J$250)</f>
        <v>0</v>
      </c>
      <c r="M54" s="53">
        <f>SUMIF('2024 AC'!$B$3:$B$250,"*"&amp;$D54&amp;"*",'2024 AC'!K$3:K$250)</f>
        <v>0</v>
      </c>
      <c r="N54" s="53">
        <f>SUMIF('2024 AC'!$B$3:$B$250,"*"&amp;$D54&amp;"*",'2024 AC'!L$3:L$250)</f>
        <v>0</v>
      </c>
      <c r="O54" s="53">
        <f>SUMIF('2024 AC'!$B$3:$B$250,"*"&amp;$D54&amp;"*",'2024 AC'!M$3:M$250)</f>
        <v>0</v>
      </c>
      <c r="P54" s="93">
        <f>SUMIF('2024 AC'!$B$3:$B$250,"*"&amp;$D54&amp;"*",'2024 AC'!N$3:N$250)</f>
        <v>0</v>
      </c>
      <c r="Q54" s="92">
        <f t="shared" si="343"/>
        <v>0</v>
      </c>
      <c r="R54" s="93">
        <f t="shared" si="344"/>
        <v>0</v>
      </c>
      <c r="S54" s="93">
        <f t="shared" si="345"/>
        <v>0</v>
      </c>
      <c r="T54" s="93">
        <f t="shared" si="346"/>
        <v>0</v>
      </c>
      <c r="U54" s="93">
        <f t="shared" si="347"/>
        <v>0</v>
      </c>
      <c r="V54" s="92">
        <f t="shared" si="348"/>
        <v>0</v>
      </c>
    </row>
    <row r="55" s="137" customFormat="1">
      <c r="A55" s="137" t="s">
        <v>113</v>
      </c>
      <c r="B55" s="137" t="s">
        <v>110</v>
      </c>
      <c r="C55" s="158" t="s">
        <v>114</v>
      </c>
      <c r="D55" s="139" t="s">
        <v>115</v>
      </c>
      <c r="E55" s="145">
        <f>SUMIF('2024 AC'!$B$3:$B$250,"*"&amp;$D55&amp;"*",'2024 AC'!C$3:C$250)</f>
        <v>2599.0599999999999</v>
      </c>
      <c r="F55" s="146">
        <f>SUMIF('2024 AC'!$B$3:$B$250,"*"&amp;$D55&amp;"*",'2024 AC'!D$3:D$250)</f>
        <v>715.80999999999995</v>
      </c>
      <c r="G55" s="146">
        <f>SUMIF('2024 AC'!$B$3:$B$250,"*"&amp;$D55&amp;"*",'2024 AC'!E$3:E$250)</f>
        <v>129.63</v>
      </c>
      <c r="H55" s="146">
        <f>SUMIF('2024 AC'!$B$3:$B$250,"*"&amp;$D55&amp;"*",'2024 AC'!F$3:F$250)</f>
        <v>0</v>
      </c>
      <c r="I55" s="146">
        <f>SUMIF('2024 AC'!$B$3:$B$250,"*"&amp;$D55&amp;"*",'2024 AC'!G$3:G$250)</f>
        <v>0</v>
      </c>
      <c r="J55" s="146">
        <f>SUMIF('2024 AC'!$B$3:$B$250,"*"&amp;$D55&amp;"*",'2024 AC'!H$3:H$250)</f>
        <v>0</v>
      </c>
      <c r="K55" s="146">
        <f>SUMIF('2024 AC'!$B$3:$B$250,"*"&amp;$D55&amp;"*",'2024 AC'!I$3:I$250)</f>
        <v>0</v>
      </c>
      <c r="L55" s="146">
        <f>SUMIF('2024 AC'!$B$3:$B$250,"*"&amp;$D55&amp;"*",'2024 AC'!J$3:J$250)</f>
        <v>0</v>
      </c>
      <c r="M55" s="146">
        <f>SUMIF('2024 AC'!$B$3:$B$250,"*"&amp;$D55&amp;"*",'2024 AC'!K$3:K$250)</f>
        <v>259.25999999999999</v>
      </c>
      <c r="N55" s="146">
        <f>SUMIF('2024 AC'!$B$3:$B$250,"*"&amp;$D55&amp;"*",'2024 AC'!L$3:L$250)</f>
        <v>0</v>
      </c>
      <c r="O55" s="146">
        <f>SUMIF('2024 AC'!$B$3:$B$250,"*"&amp;$D55&amp;"*",'2024 AC'!M$3:M$250)</f>
        <v>0</v>
      </c>
      <c r="P55" s="147">
        <f>SUMIF('2024 AC'!$B$3:$B$250,"*"&amp;$D55&amp;"*",'2024 AC'!N$3:N$250)</f>
        <v>0</v>
      </c>
      <c r="Q55" s="148">
        <f t="shared" si="343"/>
        <v>3703.7600000000002</v>
      </c>
      <c r="R55" s="147">
        <f t="shared" si="344"/>
        <v>3444.5</v>
      </c>
      <c r="S55" s="147">
        <f t="shared" si="345"/>
        <v>0</v>
      </c>
      <c r="T55" s="147">
        <f t="shared" si="346"/>
        <v>259.25999999999999</v>
      </c>
      <c r="U55" s="147">
        <f t="shared" si="347"/>
        <v>0</v>
      </c>
      <c r="V55" s="148">
        <f t="shared" si="348"/>
        <v>3703.7600000000002</v>
      </c>
    </row>
    <row r="56" ht="15" customHeight="1" outlineLevel="1">
      <c r="A56" t="s">
        <v>116</v>
      </c>
      <c r="B56" t="s">
        <v>117</v>
      </c>
      <c r="C56" s="150" t="s">
        <v>114</v>
      </c>
      <c r="D56" s="35" t="s">
        <v>117</v>
      </c>
      <c r="E56" s="63">
        <f>SUMIF('2024 AC'!$B$3:$B$250,"*"&amp;$D56&amp;"*",'2024 AC'!C$3:C$250)</f>
        <v>2599.0599999999999</v>
      </c>
      <c r="F56" s="53">
        <f>SUMIF('2024 AC'!$B$3:$B$250,"*"&amp;$D56&amp;"*",'2024 AC'!D$3:D$250)</f>
        <v>715.80999999999995</v>
      </c>
      <c r="G56" s="53">
        <f>SUMIF('2024 AC'!$B$3:$B$250,"*"&amp;$D56&amp;"*",'2024 AC'!E$3:E$250)</f>
        <v>129.63</v>
      </c>
      <c r="H56" s="53">
        <f>SUMIF('2024 AC'!$B$3:$B$250,"*"&amp;$D56&amp;"*",'2024 AC'!F$3:F$250)</f>
        <v>0</v>
      </c>
      <c r="I56" s="53">
        <f>SUMIF('2024 AC'!$B$3:$B$250,"*"&amp;$D56&amp;"*",'2024 AC'!G$3:G$250)</f>
        <v>0</v>
      </c>
      <c r="J56" s="53">
        <f>SUMIF('2024 AC'!$B$3:$B$250,"*"&amp;$D56&amp;"*",'2024 AC'!H$3:H$250)</f>
        <v>0</v>
      </c>
      <c r="K56" s="53">
        <f>SUMIF('2024 AC'!$B$3:$B$250,"*"&amp;$D56&amp;"*",'2024 AC'!I$3:I$250)</f>
        <v>0</v>
      </c>
      <c r="L56" s="53">
        <f>SUMIF('2024 AC'!$B$3:$B$250,"*"&amp;$D56&amp;"*",'2024 AC'!J$3:J$250)</f>
        <v>0</v>
      </c>
      <c r="M56" s="53">
        <f>SUMIF('2024 AC'!$B$3:$B$250,"*"&amp;$D56&amp;"*",'2024 AC'!K$3:K$250)</f>
        <v>259.25999999999999</v>
      </c>
      <c r="N56" s="53">
        <f>SUMIF('2024 AC'!$B$3:$B$250,"*"&amp;$D56&amp;"*",'2024 AC'!L$3:L$250)</f>
        <v>0</v>
      </c>
      <c r="O56" s="53">
        <f>SUMIF('2024 AC'!$B$3:$B$250,"*"&amp;$D56&amp;"*",'2024 AC'!M$3:M$250)</f>
        <v>0</v>
      </c>
      <c r="P56" s="93">
        <f>SUMIF('2024 AC'!$B$3:$B$250,"*"&amp;$D56&amp;"*",'2024 AC'!N$3:N$250)</f>
        <v>0</v>
      </c>
      <c r="Q56" s="92">
        <f t="shared" si="343"/>
        <v>3703.7600000000002</v>
      </c>
      <c r="R56" s="93">
        <f t="shared" si="344"/>
        <v>3444.5</v>
      </c>
      <c r="S56" s="93">
        <f t="shared" si="345"/>
        <v>0</v>
      </c>
      <c r="T56" s="93">
        <f t="shared" si="346"/>
        <v>259.25999999999999</v>
      </c>
      <c r="U56" s="93">
        <f t="shared" si="347"/>
        <v>0</v>
      </c>
      <c r="V56" s="92">
        <f t="shared" si="348"/>
        <v>3703.7600000000002</v>
      </c>
    </row>
    <row r="57" s="137" customFormat="1" ht="15" customHeight="1">
      <c r="A57" s="137" t="s">
        <v>118</v>
      </c>
      <c r="B57" s="137" t="s">
        <v>115</v>
      </c>
      <c r="C57" s="138" t="s">
        <v>119</v>
      </c>
      <c r="D57" s="139" t="s">
        <v>120</v>
      </c>
      <c r="E57" s="145">
        <f>SUMIF('2024 AC'!$B$3:$B$250,"*"&amp;$D57&amp;"*",'2024 AC'!C$3:C$250)</f>
        <v>1335.5999999999999</v>
      </c>
      <c r="F57" s="146">
        <f>SUMIF('2024 AC'!$B$3:$B$250,"*"&amp;$D57&amp;"*",'2024 AC'!D$3:D$250)</f>
        <v>349.06</v>
      </c>
      <c r="G57" s="146">
        <f>SUMIF('2024 AC'!$B$3:$B$250,"*"&amp;$D57&amp;"*",'2024 AC'!E$3:E$250)</f>
        <v>381.36000000000001</v>
      </c>
      <c r="H57" s="146">
        <f>SUMIF('2024 AC'!$B$3:$B$250,"*"&amp;$D57&amp;"*",'2024 AC'!F$3:F$250)</f>
        <v>0</v>
      </c>
      <c r="I57" s="146">
        <f>SUMIF('2024 AC'!$B$3:$B$250,"*"&amp;$D57&amp;"*",'2024 AC'!G$3:G$250)</f>
        <v>0</v>
      </c>
      <c r="J57" s="146">
        <f>SUMIF('2024 AC'!$B$3:$B$250,"*"&amp;$D57&amp;"*",'2024 AC'!H$3:H$250)</f>
        <v>0</v>
      </c>
      <c r="K57" s="146">
        <f>SUMIF('2024 AC'!$B$3:$B$250,"*"&amp;$D57&amp;"*",'2024 AC'!I$3:I$250)</f>
        <v>0</v>
      </c>
      <c r="L57" s="146">
        <f>SUMIF('2024 AC'!$B$3:$B$250,"*"&amp;$D57&amp;"*",'2024 AC'!J$3:J$250)</f>
        <v>0</v>
      </c>
      <c r="M57" s="146">
        <f>SUMIF('2024 AC'!$B$3:$B$250,"*"&amp;$D57&amp;"*",'2024 AC'!K$3:K$250)</f>
        <v>0</v>
      </c>
      <c r="N57" s="146">
        <f>SUMIF('2024 AC'!$B$3:$B$250,"*"&amp;$D57&amp;"*",'2024 AC'!L$3:L$250)</f>
        <v>0</v>
      </c>
      <c r="O57" s="146">
        <f>SUMIF('2024 AC'!$B$3:$B$250,"*"&amp;$D57&amp;"*",'2024 AC'!M$3:M$250)</f>
        <v>360</v>
      </c>
      <c r="P57" s="147">
        <f>SUMIF('2024 AC'!$B$3:$B$250,"*"&amp;$D57&amp;"*",'2024 AC'!N$3:N$250)</f>
        <v>30</v>
      </c>
      <c r="Q57" s="148">
        <f t="shared" si="343"/>
        <v>2456.02</v>
      </c>
      <c r="R57" s="147">
        <f t="shared" si="344"/>
        <v>2066.02</v>
      </c>
      <c r="S57" s="147">
        <f t="shared" si="345"/>
        <v>0</v>
      </c>
      <c r="T57" s="147">
        <f t="shared" si="346"/>
        <v>0</v>
      </c>
      <c r="U57" s="147">
        <f t="shared" si="347"/>
        <v>390</v>
      </c>
      <c r="V57" s="148">
        <f t="shared" si="348"/>
        <v>2456.02</v>
      </c>
    </row>
    <row r="58" ht="15" customHeight="1" outlineLevel="1">
      <c r="A58" t="s">
        <v>121</v>
      </c>
      <c r="B58" t="s">
        <v>122</v>
      </c>
      <c r="C58" s="150" t="s">
        <v>123</v>
      </c>
      <c r="D58" s="35" t="s">
        <v>122</v>
      </c>
      <c r="E58" s="63">
        <f>SUMIF('2024 AC'!$B$3:$B$250,"*"&amp;$D58&amp;"*",'2024 AC'!C$3:C$250)</f>
        <v>1335.5999999999999</v>
      </c>
      <c r="F58" s="53">
        <f>SUMIF('2024 AC'!$B$3:$B$250,"*"&amp;$D58&amp;"*",'2024 AC'!D$3:D$250)</f>
        <v>349.06</v>
      </c>
      <c r="G58" s="53">
        <f>SUMIF('2024 AC'!$B$3:$B$250,"*"&amp;$D58&amp;"*",'2024 AC'!E$3:E$250)</f>
        <v>0</v>
      </c>
      <c r="H58" s="53">
        <f>SUMIF('2024 AC'!$B$3:$B$250,"*"&amp;$D58&amp;"*",'2024 AC'!F$3:F$250)</f>
        <v>0</v>
      </c>
      <c r="I58" s="53">
        <f>SUMIF('2024 AC'!$B$3:$B$250,"*"&amp;$D58&amp;"*",'2024 AC'!G$3:G$250)</f>
        <v>0</v>
      </c>
      <c r="J58" s="53">
        <f>SUMIF('2024 AC'!$B$3:$B$250,"*"&amp;$D58&amp;"*",'2024 AC'!H$3:H$250)</f>
        <v>0</v>
      </c>
      <c r="K58" s="53">
        <f>SUMIF('2024 AC'!$B$3:$B$250,"*"&amp;$D58&amp;"*",'2024 AC'!I$3:I$250)</f>
        <v>0</v>
      </c>
      <c r="L58" s="53">
        <f>SUMIF('2024 AC'!$B$3:$B$250,"*"&amp;$D58&amp;"*",'2024 AC'!J$3:J$250)</f>
        <v>0</v>
      </c>
      <c r="M58" s="53">
        <f>SUMIF('2024 AC'!$B$3:$B$250,"*"&amp;$D58&amp;"*",'2024 AC'!K$3:K$250)</f>
        <v>0</v>
      </c>
      <c r="N58" s="53">
        <f>SUMIF('2024 AC'!$B$3:$B$250,"*"&amp;$D58&amp;"*",'2024 AC'!L$3:L$250)</f>
        <v>0</v>
      </c>
      <c r="O58" s="53">
        <f>SUMIF('2024 AC'!$B$3:$B$250,"*"&amp;$D58&amp;"*",'2024 AC'!M$3:M$250)</f>
        <v>0</v>
      </c>
      <c r="P58" s="93">
        <f>SUMIF('2024 AC'!$B$3:$B$250,"*"&amp;$D58&amp;"*",'2024 AC'!N$3:N$250)</f>
        <v>0</v>
      </c>
      <c r="Q58" s="92">
        <f t="shared" si="343"/>
        <v>1684.6599999999999</v>
      </c>
      <c r="R58" s="93">
        <f t="shared" si="344"/>
        <v>1684.6599999999999</v>
      </c>
      <c r="S58" s="93">
        <f t="shared" si="345"/>
        <v>0</v>
      </c>
      <c r="T58" s="93">
        <f t="shared" si="346"/>
        <v>0</v>
      </c>
      <c r="U58" s="93">
        <f t="shared" si="347"/>
        <v>0</v>
      </c>
      <c r="V58" s="92">
        <f t="shared" si="348"/>
        <v>1684.6599999999999</v>
      </c>
    </row>
    <row r="59" ht="15" customHeight="1" outlineLevel="1">
      <c r="A59" t="s">
        <v>124</v>
      </c>
      <c r="B59" t="s">
        <v>125</v>
      </c>
      <c r="C59" s="150" t="s">
        <v>126</v>
      </c>
      <c r="D59" s="35" t="s">
        <v>125</v>
      </c>
      <c r="E59" s="63">
        <f>SUMIF('2024 AC'!$B$3:$B$250,"*"&amp;$D59&amp;"*",'2024 AC'!C$3:C$250)</f>
        <v>0</v>
      </c>
      <c r="F59" s="53">
        <f>SUMIF('2024 AC'!$B$3:$B$250,"*"&amp;$D59&amp;"*",'2024 AC'!D$3:D$250)</f>
        <v>0</v>
      </c>
      <c r="G59" s="53">
        <f>SUMIF('2024 AC'!$B$3:$B$250,"*"&amp;$D59&amp;"*",'2024 AC'!E$3:E$250)</f>
        <v>381.36000000000001</v>
      </c>
      <c r="H59" s="53">
        <f>SUMIF('2024 AC'!$B$3:$B$250,"*"&amp;$D59&amp;"*",'2024 AC'!F$3:F$250)</f>
        <v>0</v>
      </c>
      <c r="I59" s="53">
        <f>SUMIF('2024 AC'!$B$3:$B$250,"*"&amp;$D59&amp;"*",'2024 AC'!G$3:G$250)</f>
        <v>0</v>
      </c>
      <c r="J59" s="53">
        <f>SUMIF('2024 AC'!$B$3:$B$250,"*"&amp;$D59&amp;"*",'2024 AC'!H$3:H$250)</f>
        <v>0</v>
      </c>
      <c r="K59" s="53">
        <f>SUMIF('2024 AC'!$B$3:$B$250,"*"&amp;$D59&amp;"*",'2024 AC'!I$3:I$250)</f>
        <v>0</v>
      </c>
      <c r="L59" s="53">
        <f>SUMIF('2024 AC'!$B$3:$B$250,"*"&amp;$D59&amp;"*",'2024 AC'!J$3:J$250)</f>
        <v>0</v>
      </c>
      <c r="M59" s="53">
        <f>SUMIF('2024 AC'!$B$3:$B$250,"*"&amp;$D59&amp;"*",'2024 AC'!K$3:K$250)</f>
        <v>0</v>
      </c>
      <c r="N59" s="53">
        <f>SUMIF('2024 AC'!$B$3:$B$250,"*"&amp;$D59&amp;"*",'2024 AC'!L$3:L$250)</f>
        <v>0</v>
      </c>
      <c r="O59" s="53">
        <f>SUMIF('2024 AC'!$B$3:$B$250,"*"&amp;$D59&amp;"*",'2024 AC'!M$3:M$250)</f>
        <v>360</v>
      </c>
      <c r="P59" s="93">
        <f>SUMIF('2024 AC'!$B$3:$B$250,"*"&amp;$D59&amp;"*",'2024 AC'!N$3:N$250)</f>
        <v>30</v>
      </c>
      <c r="Q59" s="92">
        <f t="shared" si="343"/>
        <v>771.36000000000001</v>
      </c>
      <c r="R59" s="93">
        <f t="shared" si="344"/>
        <v>381.36000000000001</v>
      </c>
      <c r="S59" s="93">
        <f t="shared" si="345"/>
        <v>0</v>
      </c>
      <c r="T59" s="93">
        <f t="shared" si="346"/>
        <v>0</v>
      </c>
      <c r="U59" s="93">
        <f t="shared" si="347"/>
        <v>390</v>
      </c>
      <c r="V59" s="92">
        <f t="shared" si="348"/>
        <v>771.36000000000001</v>
      </c>
    </row>
    <row r="60" s="137" customFormat="1" ht="15" customHeight="1">
      <c r="A60" s="137" t="s">
        <v>118</v>
      </c>
      <c r="B60" s="137" t="s">
        <v>115</v>
      </c>
      <c r="C60" s="138" t="s">
        <v>127</v>
      </c>
      <c r="D60" s="139" t="s">
        <v>128</v>
      </c>
      <c r="E60" s="145">
        <f>SUMIF('2024 AC'!$B$3:$B$250,"*"&amp;$D60&amp;"*",'2024 AC'!C$3:C$250)</f>
        <v>0</v>
      </c>
      <c r="F60" s="146">
        <f>SUMIF('2024 AC'!$B$3:$B$250,"*"&amp;$D60&amp;"*",'2024 AC'!D$3:D$250)</f>
        <v>0</v>
      </c>
      <c r="G60" s="146">
        <f>SUMIF('2024 AC'!$B$3:$B$250,"*"&amp;$D60&amp;"*",'2024 AC'!E$3:E$250)</f>
        <v>0</v>
      </c>
      <c r="H60" s="146">
        <f>SUMIF('2024 AC'!$B$3:$B$250,"*"&amp;$D60&amp;"*",'2024 AC'!F$3:F$250)</f>
        <v>0</v>
      </c>
      <c r="I60" s="146">
        <f>SUMIF('2024 AC'!$B$3:$B$250,"*"&amp;$D60&amp;"*",'2024 AC'!G$3:G$250)</f>
        <v>0</v>
      </c>
      <c r="J60" s="146">
        <f>SUMIF('2024 AC'!$B$3:$B$250,"*"&amp;$D60&amp;"*",'2024 AC'!H$3:H$250)</f>
        <v>0</v>
      </c>
      <c r="K60" s="146">
        <f>SUMIF('2024 AC'!$B$3:$B$250,"*"&amp;$D60&amp;"*",'2024 AC'!I$3:I$250)</f>
        <v>0</v>
      </c>
      <c r="L60" s="146">
        <f>SUMIF('2024 AC'!$B$3:$B$250,"*"&amp;$D60&amp;"*",'2024 AC'!J$3:J$250)</f>
        <v>0</v>
      </c>
      <c r="M60" s="146">
        <f>SUMIF('2024 AC'!$B$3:$B$250,"*"&amp;$D60&amp;"*",'2024 AC'!K$3:K$250)</f>
        <v>0</v>
      </c>
      <c r="N60" s="146">
        <f>SUMIF('2024 AC'!$B$3:$B$250,"*"&amp;$D60&amp;"*",'2024 AC'!L$3:L$250)</f>
        <v>0</v>
      </c>
      <c r="O60" s="146">
        <f>SUMIF('2024 AC'!$B$3:$B$250,"*"&amp;$D60&amp;"*",'2024 AC'!M$3:M$250)</f>
        <v>0</v>
      </c>
      <c r="P60" s="147">
        <f>SUMIF('2024 AC'!$B$3:$B$250,"*"&amp;$D60&amp;"*",'2024 AC'!N$3:N$250)</f>
        <v>0</v>
      </c>
      <c r="Q60" s="148">
        <f t="shared" si="343"/>
        <v>0</v>
      </c>
      <c r="R60" s="147">
        <f t="shared" si="344"/>
        <v>0</v>
      </c>
      <c r="S60" s="147">
        <f t="shared" si="345"/>
        <v>0</v>
      </c>
      <c r="T60" s="147">
        <f t="shared" si="346"/>
        <v>0</v>
      </c>
      <c r="U60" s="147">
        <f t="shared" si="347"/>
        <v>0</v>
      </c>
      <c r="V60" s="148">
        <f t="shared" si="348"/>
        <v>0</v>
      </c>
    </row>
    <row r="61" outlineLevel="1">
      <c r="C61" s="34" t="s">
        <v>129</v>
      </c>
      <c r="D61" s="35" t="s">
        <v>130</v>
      </c>
      <c r="E61" s="63">
        <f>SUMIF('2024 AC'!$B$3:$B$250,"*"&amp;$D61&amp;"*",'2024 AC'!C$3:C$250)</f>
        <v>0</v>
      </c>
      <c r="F61" s="53">
        <f>SUMIF('2024 AC'!$B$3:$B$250,"*"&amp;$D61&amp;"*",'2024 AC'!D$3:D$250)</f>
        <v>0</v>
      </c>
      <c r="G61" s="53">
        <f>SUMIF('2024 AC'!$B$3:$B$250,"*"&amp;$D61&amp;"*",'2024 AC'!E$3:E$250)</f>
        <v>0</v>
      </c>
      <c r="H61" s="53">
        <f>SUMIF('2024 AC'!$B$3:$B$250,"*"&amp;$D61&amp;"*",'2024 AC'!F$3:F$250)</f>
        <v>0</v>
      </c>
      <c r="I61" s="53">
        <f>SUMIF('2024 AC'!$B$3:$B$250,"*"&amp;$D61&amp;"*",'2024 AC'!G$3:G$250)</f>
        <v>0</v>
      </c>
      <c r="J61" s="53">
        <f>SUMIF('2024 AC'!$B$3:$B$250,"*"&amp;$D61&amp;"*",'2024 AC'!H$3:H$250)</f>
        <v>0</v>
      </c>
      <c r="K61" s="53">
        <f>SUMIF('2024 AC'!$B$3:$B$250,"*"&amp;$D61&amp;"*",'2024 AC'!I$3:I$250)</f>
        <v>0</v>
      </c>
      <c r="L61" s="53">
        <f>SUMIF('2024 AC'!$B$3:$B$250,"*"&amp;$D61&amp;"*",'2024 AC'!J$3:J$250)</f>
        <v>0</v>
      </c>
      <c r="M61" s="53">
        <f>SUMIF('2024 AC'!$B$3:$B$250,"*"&amp;$D61&amp;"*",'2024 AC'!K$3:K$250)</f>
        <v>0</v>
      </c>
      <c r="N61" s="53">
        <f>SUMIF('2024 AC'!$B$3:$B$250,"*"&amp;$D61&amp;"*",'2024 AC'!L$3:L$250)</f>
        <v>0</v>
      </c>
      <c r="O61" s="53">
        <f>SUMIF('2024 AC'!$B$3:$B$250,"*"&amp;$D61&amp;"*",'2024 AC'!M$3:M$250)</f>
        <v>0</v>
      </c>
      <c r="P61" s="93">
        <f>SUMIF('2024 AC'!$B$3:$B$250,"*"&amp;$D61&amp;"*",'2024 AC'!N$3:N$250)</f>
        <v>0</v>
      </c>
      <c r="Q61" s="92">
        <f t="shared" si="343"/>
        <v>0</v>
      </c>
      <c r="R61" s="93">
        <f t="shared" si="344"/>
        <v>0</v>
      </c>
      <c r="S61" s="93">
        <f t="shared" si="345"/>
        <v>0</v>
      </c>
      <c r="T61" s="93">
        <f t="shared" si="346"/>
        <v>0</v>
      </c>
      <c r="U61" s="93">
        <f t="shared" si="347"/>
        <v>0</v>
      </c>
      <c r="V61" s="92">
        <f t="shared" si="348"/>
        <v>0</v>
      </c>
    </row>
    <row r="62">
      <c r="C62" s="34"/>
      <c r="D62" s="35"/>
      <c r="E62" s="6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93"/>
      <c r="Q62" s="92">
        <f t="shared" si="343"/>
        <v>0</v>
      </c>
      <c r="R62" s="93">
        <f t="shared" si="344"/>
        <v>0</v>
      </c>
      <c r="S62" s="93">
        <f t="shared" si="345"/>
        <v>0</v>
      </c>
      <c r="T62" s="93">
        <f t="shared" si="346"/>
        <v>0</v>
      </c>
      <c r="U62" s="93">
        <f t="shared" si="347"/>
        <v>0</v>
      </c>
      <c r="V62" s="92">
        <f t="shared" si="348"/>
        <v>0</v>
      </c>
    </row>
    <row r="63" s="164" customFormat="1">
      <c r="C63" s="165" t="s">
        <v>131</v>
      </c>
      <c r="D63" s="166"/>
      <c r="E63" s="168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70"/>
      <c r="Q63" s="171">
        <f t="shared" si="343"/>
        <v>0</v>
      </c>
      <c r="R63" s="170">
        <f t="shared" si="344"/>
        <v>0</v>
      </c>
      <c r="S63" s="170">
        <f t="shared" si="345"/>
        <v>0</v>
      </c>
      <c r="T63" s="170">
        <f t="shared" si="346"/>
        <v>0</v>
      </c>
      <c r="U63" s="170">
        <f t="shared" si="347"/>
        <v>0</v>
      </c>
      <c r="V63" s="171">
        <f t="shared" si="348"/>
        <v>0</v>
      </c>
    </row>
    <row r="64" s="164" customFormat="1">
      <c r="C64" s="165"/>
      <c r="D64" s="166"/>
      <c r="E64" s="168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70"/>
      <c r="Q64" s="171">
        <f t="shared" si="343"/>
        <v>0</v>
      </c>
      <c r="R64" s="170">
        <f t="shared" si="344"/>
        <v>0</v>
      </c>
      <c r="S64" s="170">
        <f t="shared" si="345"/>
        <v>0</v>
      </c>
      <c r="T64" s="170">
        <f t="shared" si="346"/>
        <v>0</v>
      </c>
      <c r="U64" s="170">
        <f t="shared" si="347"/>
        <v>0</v>
      </c>
      <c r="V64" s="171">
        <f t="shared" si="348"/>
        <v>0</v>
      </c>
    </row>
    <row r="65" s="137" customFormat="1">
      <c r="C65" s="173" t="s">
        <v>132</v>
      </c>
      <c r="D65" s="139" t="s">
        <v>133</v>
      </c>
      <c r="E65" s="145">
        <f>SUMIF('2024 AC'!$B$3:$B$250,"*"&amp;$D65&amp;"*",'2024 AC'!C$3:C$250)</f>
        <v>0</v>
      </c>
      <c r="F65" s="146">
        <f>SUMIF('2024 AC'!$B$3:$B$250,"*"&amp;$D65&amp;"*",'2024 AC'!D$3:D$250)</f>
        <v>0</v>
      </c>
      <c r="G65" s="146">
        <f>SUMIF('2024 AC'!$B$3:$B$250,"*"&amp;$D65&amp;"*",'2024 AC'!E$3:E$250)</f>
        <v>0</v>
      </c>
      <c r="H65" s="146">
        <f>SUMIF('2024 AC'!$B$3:$B$250,"*"&amp;$D65&amp;"*",'2024 AC'!F$3:F$250)</f>
        <v>0</v>
      </c>
      <c r="I65" s="146">
        <f>SUMIF('2024 AC'!$B$3:$B$250,"*"&amp;$D65&amp;"*",'2024 AC'!G$3:G$250)</f>
        <v>0</v>
      </c>
      <c r="J65" s="146">
        <f>SUMIF('2024 AC'!$B$3:$B$250,"*"&amp;$D65&amp;"*",'2024 AC'!H$3:H$250)</f>
        <v>0</v>
      </c>
      <c r="K65" s="146">
        <f>SUMIF('2024 AC'!$B$3:$B$250,"*"&amp;$D65&amp;"*",'2024 AC'!I$3:I$250)</f>
        <v>0</v>
      </c>
      <c r="L65" s="146">
        <f>SUMIF('2024 AC'!$B$3:$B$250,"*"&amp;$D65&amp;"*",'2024 AC'!J$3:J$250)</f>
        <v>0</v>
      </c>
      <c r="M65" s="146">
        <f>SUMIF('2024 AC'!$B$3:$B$250,"*"&amp;$D65&amp;"*",'2024 AC'!K$3:K$250)</f>
        <v>0</v>
      </c>
      <c r="N65" s="146">
        <f>SUMIF('2024 AC'!$B$3:$B$250,"*"&amp;$D65&amp;"*",'2024 AC'!L$3:L$250)</f>
        <v>0</v>
      </c>
      <c r="O65" s="146">
        <f>SUMIF('2024 AC'!$B$3:$B$250,"*"&amp;$D65&amp;"*",'2024 AC'!M$3:M$250)</f>
        <v>0</v>
      </c>
      <c r="P65" s="147">
        <f>SUMIF('2024 AC'!$B$3:$B$250,"*"&amp;$D65&amp;"*",'2024 AC'!N$3:N$250)</f>
        <v>0</v>
      </c>
      <c r="Q65" s="148">
        <f t="shared" si="343"/>
        <v>0</v>
      </c>
      <c r="R65" s="147">
        <f t="shared" si="344"/>
        <v>0</v>
      </c>
      <c r="S65" s="147">
        <f t="shared" si="345"/>
        <v>0</v>
      </c>
      <c r="T65" s="147">
        <f t="shared" si="346"/>
        <v>0</v>
      </c>
      <c r="U65" s="147">
        <f t="shared" si="347"/>
        <v>0</v>
      </c>
      <c r="V65" s="148">
        <f t="shared" si="348"/>
        <v>0</v>
      </c>
    </row>
    <row r="66" s="137" customFormat="1">
      <c r="C66" s="173" t="s">
        <v>134</v>
      </c>
      <c r="D66" s="139" t="s">
        <v>135</v>
      </c>
      <c r="E66" s="145">
        <f>SUMIF('2024 AC'!$B$3:$B$250,"*"&amp;$D66&amp;"*",'2024 AC'!C$3:C$250)</f>
        <v>0</v>
      </c>
      <c r="F66" s="146">
        <f>SUMIF('2024 AC'!$B$3:$B$250,"*"&amp;$D66&amp;"*",'2024 AC'!D$3:D$250)</f>
        <v>0</v>
      </c>
      <c r="G66" s="146">
        <f>SUMIF('2024 AC'!$B$3:$B$250,"*"&amp;$D66&amp;"*",'2024 AC'!E$3:E$250)</f>
        <v>0</v>
      </c>
      <c r="H66" s="146">
        <f>SUMIF('2024 AC'!$B$3:$B$250,"*"&amp;$D66&amp;"*",'2024 AC'!F$3:F$250)</f>
        <v>0</v>
      </c>
      <c r="I66" s="146">
        <f>SUMIF('2024 AC'!$B$3:$B$250,"*"&amp;$D66&amp;"*",'2024 AC'!G$3:G$250)</f>
        <v>0</v>
      </c>
      <c r="J66" s="146">
        <f>SUMIF('2024 AC'!$B$3:$B$250,"*"&amp;$D66&amp;"*",'2024 AC'!H$3:H$250)</f>
        <v>0</v>
      </c>
      <c r="K66" s="146">
        <f>SUMIF('2024 AC'!$B$3:$B$250,"*"&amp;$D66&amp;"*",'2024 AC'!I$3:I$250)</f>
        <v>0</v>
      </c>
      <c r="L66" s="146">
        <f>SUMIF('2024 AC'!$B$3:$B$250,"*"&amp;$D66&amp;"*",'2024 AC'!J$3:J$250)</f>
        <v>0</v>
      </c>
      <c r="M66" s="146">
        <f>SUMIF('2024 AC'!$B$3:$B$250,"*"&amp;$D66&amp;"*",'2024 AC'!K$3:K$250)</f>
        <v>0</v>
      </c>
      <c r="N66" s="146">
        <f>SUMIF('2024 AC'!$B$3:$B$250,"*"&amp;$D66&amp;"*",'2024 AC'!L$3:L$250)</f>
        <v>0</v>
      </c>
      <c r="O66" s="146">
        <f>SUMIF('2024 AC'!$B$3:$B$250,"*"&amp;$D66&amp;"*",'2024 AC'!M$3:M$250)</f>
        <v>0</v>
      </c>
      <c r="P66" s="147">
        <f>SUMIF('2024 AC'!$B$3:$B$250,"*"&amp;$D66&amp;"*",'2024 AC'!N$3:N$250)</f>
        <v>0</v>
      </c>
      <c r="Q66" s="148">
        <f t="shared" si="343"/>
        <v>0</v>
      </c>
      <c r="R66" s="147">
        <f t="shared" si="344"/>
        <v>0</v>
      </c>
      <c r="S66" s="147">
        <f t="shared" si="345"/>
        <v>0</v>
      </c>
      <c r="T66" s="147">
        <f t="shared" si="346"/>
        <v>0</v>
      </c>
      <c r="U66" s="147">
        <f t="shared" si="347"/>
        <v>0</v>
      </c>
      <c r="V66" s="148">
        <f t="shared" si="348"/>
        <v>0</v>
      </c>
    </row>
    <row r="67" outlineLevel="1">
      <c r="C67" s="34" t="s">
        <v>136</v>
      </c>
      <c r="D67" s="35" t="s">
        <v>137</v>
      </c>
      <c r="E67" s="63">
        <f>SUMIF('2024 AC'!$B$3:$B$250,"*"&amp;$D67&amp;"*",'2024 AC'!C$3:C$250)</f>
        <v>0</v>
      </c>
      <c r="F67" s="53">
        <f>SUMIF('2024 AC'!$B$3:$B$250,"*"&amp;$D67&amp;"*",'2024 AC'!D$3:D$250)</f>
        <v>0</v>
      </c>
      <c r="G67" s="53">
        <f>SUMIF('2024 AC'!$B$3:$B$250,"*"&amp;$D67&amp;"*",'2024 AC'!E$3:E$250)</f>
        <v>0</v>
      </c>
      <c r="H67" s="53">
        <f>SUMIF('2024 AC'!$B$3:$B$250,"*"&amp;$D67&amp;"*",'2024 AC'!F$3:F$250)</f>
        <v>0</v>
      </c>
      <c r="I67" s="53">
        <f>SUMIF('2024 AC'!$B$3:$B$250,"*"&amp;$D67&amp;"*",'2024 AC'!G$3:G$250)</f>
        <v>0</v>
      </c>
      <c r="J67" s="53">
        <f>SUMIF('2024 AC'!$B$3:$B$250,"*"&amp;$D67&amp;"*",'2024 AC'!H$3:H$250)</f>
        <v>0</v>
      </c>
      <c r="K67" s="53">
        <f>SUMIF('2024 AC'!$B$3:$B$250,"*"&amp;$D67&amp;"*",'2024 AC'!I$3:I$250)</f>
        <v>0</v>
      </c>
      <c r="L67" s="53">
        <f>SUMIF('2024 AC'!$B$3:$B$250,"*"&amp;$D67&amp;"*",'2024 AC'!J$3:J$250)</f>
        <v>0</v>
      </c>
      <c r="M67" s="53">
        <f>SUMIF('2024 AC'!$B$3:$B$250,"*"&amp;$D67&amp;"*",'2024 AC'!K$3:K$250)</f>
        <v>0</v>
      </c>
      <c r="N67" s="53">
        <f>SUMIF('2024 AC'!$B$3:$B$250,"*"&amp;$D67&amp;"*",'2024 AC'!L$3:L$250)</f>
        <v>0</v>
      </c>
      <c r="O67" s="53">
        <f>SUMIF('2024 AC'!$B$3:$B$250,"*"&amp;$D67&amp;"*",'2024 AC'!M$3:M$250)</f>
        <v>0</v>
      </c>
      <c r="P67" s="93">
        <f>SUMIF('2024 AC'!$B$3:$B$250,"*"&amp;$D67&amp;"*",'2024 AC'!N$3:N$250)</f>
        <v>0</v>
      </c>
      <c r="Q67" s="92">
        <f t="shared" si="343"/>
        <v>0</v>
      </c>
      <c r="R67" s="93">
        <f t="shared" si="344"/>
        <v>0</v>
      </c>
      <c r="S67" s="93">
        <f t="shared" si="345"/>
        <v>0</v>
      </c>
      <c r="T67" s="93">
        <f t="shared" si="346"/>
        <v>0</v>
      </c>
      <c r="U67" s="93">
        <f t="shared" si="347"/>
        <v>0</v>
      </c>
      <c r="V67" s="92">
        <f t="shared" si="348"/>
        <v>0</v>
      </c>
    </row>
    <row r="68" outlineLevel="1">
      <c r="C68" s="34" t="s">
        <v>138</v>
      </c>
      <c r="D68" s="35" t="s">
        <v>139</v>
      </c>
      <c r="E68" s="63">
        <f>SUMIF('2024 AC'!$B$3:$B$250,"*"&amp;$D68&amp;"*",'2024 AC'!C$3:C$250)</f>
        <v>0</v>
      </c>
      <c r="F68" s="53">
        <f>SUMIF('2024 AC'!$B$3:$B$250,"*"&amp;$D68&amp;"*",'2024 AC'!D$3:D$250)</f>
        <v>0</v>
      </c>
      <c r="G68" s="53">
        <f>SUMIF('2024 AC'!$B$3:$B$250,"*"&amp;$D68&amp;"*",'2024 AC'!E$3:E$250)</f>
        <v>0</v>
      </c>
      <c r="H68" s="53">
        <f>SUMIF('2024 AC'!$B$3:$B$250,"*"&amp;$D68&amp;"*",'2024 AC'!F$3:F$250)</f>
        <v>0</v>
      </c>
      <c r="I68" s="53">
        <f>SUMIF('2024 AC'!$B$3:$B$250,"*"&amp;$D68&amp;"*",'2024 AC'!G$3:G$250)</f>
        <v>0</v>
      </c>
      <c r="J68" s="53">
        <f>SUMIF('2024 AC'!$B$3:$B$250,"*"&amp;$D68&amp;"*",'2024 AC'!H$3:H$250)</f>
        <v>0</v>
      </c>
      <c r="K68" s="53">
        <f>SUMIF('2024 AC'!$B$3:$B$250,"*"&amp;$D68&amp;"*",'2024 AC'!I$3:I$250)</f>
        <v>0</v>
      </c>
      <c r="L68" s="53">
        <f>SUMIF('2024 AC'!$B$3:$B$250,"*"&amp;$D68&amp;"*",'2024 AC'!J$3:J$250)</f>
        <v>0</v>
      </c>
      <c r="M68" s="53">
        <f>SUMIF('2024 AC'!$B$3:$B$250,"*"&amp;$D68&amp;"*",'2024 AC'!K$3:K$250)</f>
        <v>0</v>
      </c>
      <c r="N68" s="53">
        <f>SUMIF('2024 AC'!$B$3:$B$250,"*"&amp;$D68&amp;"*",'2024 AC'!L$3:L$250)</f>
        <v>0</v>
      </c>
      <c r="O68" s="53">
        <f>SUMIF('2024 AC'!$B$3:$B$250,"*"&amp;$D68&amp;"*",'2024 AC'!M$3:M$250)</f>
        <v>0</v>
      </c>
      <c r="P68" s="93">
        <f>SUMIF('2024 AC'!$B$3:$B$250,"*"&amp;$D68&amp;"*",'2024 AC'!N$3:N$250)</f>
        <v>0</v>
      </c>
      <c r="Q68" s="92">
        <f t="shared" si="343"/>
        <v>0</v>
      </c>
      <c r="R68" s="93">
        <f t="shared" si="344"/>
        <v>0</v>
      </c>
      <c r="S68" s="93">
        <f t="shared" si="345"/>
        <v>0</v>
      </c>
      <c r="T68" s="93">
        <f t="shared" si="346"/>
        <v>0</v>
      </c>
      <c r="U68" s="93">
        <f t="shared" si="347"/>
        <v>0</v>
      </c>
      <c r="V68" s="92">
        <f t="shared" si="348"/>
        <v>0</v>
      </c>
    </row>
    <row r="69">
      <c r="A69" t="s">
        <v>140</v>
      </c>
      <c r="B69" t="s">
        <v>130</v>
      </c>
      <c r="C69" s="34"/>
      <c r="D69" s="35"/>
      <c r="E69" s="6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93"/>
      <c r="Q69" s="92"/>
      <c r="R69" s="93">
        <f t="shared" si="344"/>
        <v>0</v>
      </c>
      <c r="S69" s="93">
        <f t="shared" si="345"/>
        <v>0</v>
      </c>
      <c r="T69" s="93">
        <f t="shared" si="346"/>
        <v>0</v>
      </c>
      <c r="U69" s="93">
        <f t="shared" si="347"/>
        <v>0</v>
      </c>
      <c r="V69" s="92">
        <f t="shared" si="348"/>
        <v>0</v>
      </c>
    </row>
    <row r="70" s="125" customFormat="1">
      <c r="A70" s="174"/>
      <c r="C70" s="175" t="s">
        <v>141</v>
      </c>
      <c r="D70" s="127"/>
      <c r="E70" s="180">
        <f t="shared" ref="E70:P70" si="356">E27+E38+E45+E52+E55+E57+E60+E65+E66</f>
        <v>322969.51000000001</v>
      </c>
      <c r="F70" s="181">
        <f t="shared" si="356"/>
        <v>452835.44</v>
      </c>
      <c r="G70" s="181">
        <f t="shared" si="356"/>
        <v>403986.76000000007</v>
      </c>
      <c r="H70" s="181">
        <f t="shared" si="356"/>
        <v>374464.84000000003</v>
      </c>
      <c r="I70" s="181">
        <f t="shared" si="356"/>
        <v>512364.23999999999</v>
      </c>
      <c r="J70" s="181">
        <f t="shared" si="356"/>
        <v>441953.79999999999</v>
      </c>
      <c r="K70" s="181">
        <f t="shared" si="356"/>
        <v>520540.69</v>
      </c>
      <c r="L70" s="181">
        <f t="shared" si="356"/>
        <v>636102.51000000013</v>
      </c>
      <c r="M70" s="181">
        <f t="shared" si="356"/>
        <v>461464.91000000003</v>
      </c>
      <c r="N70" s="181">
        <f t="shared" si="356"/>
        <v>453982.10999999999</v>
      </c>
      <c r="O70" s="181">
        <f t="shared" si="356"/>
        <v>514664.44</v>
      </c>
      <c r="P70" s="182">
        <f t="shared" si="356"/>
        <v>563250.70999999996</v>
      </c>
      <c r="Q70" s="183">
        <f t="shared" si="343"/>
        <v>5658579.9600000009</v>
      </c>
      <c r="R70" s="182">
        <f t="shared" si="344"/>
        <v>1179791.71</v>
      </c>
      <c r="S70" s="182">
        <f t="shared" si="345"/>
        <v>1328782.8800000001</v>
      </c>
      <c r="T70" s="182">
        <f t="shared" si="346"/>
        <v>1618108.1100000003</v>
      </c>
      <c r="U70" s="182">
        <f t="shared" si="347"/>
        <v>1531897.26</v>
      </c>
      <c r="V70" s="183">
        <f t="shared" si="348"/>
        <v>5658579.96</v>
      </c>
    </row>
    <row r="71">
      <c r="A71" s="185" t="s">
        <v>131</v>
      </c>
      <c r="C71" s="34"/>
      <c r="D71" s="35"/>
      <c r="E71" s="6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93"/>
      <c r="Q71" s="92"/>
      <c r="R71" s="93">
        <f t="shared" si="344"/>
        <v>0</v>
      </c>
      <c r="S71" s="93">
        <f t="shared" si="345"/>
        <v>0</v>
      </c>
      <c r="T71" s="93">
        <f t="shared" si="346"/>
        <v>0</v>
      </c>
      <c r="U71" s="93">
        <f t="shared" si="347"/>
        <v>0</v>
      </c>
      <c r="V71" s="92">
        <f t="shared" si="348"/>
        <v>0</v>
      </c>
    </row>
    <row r="72">
      <c r="A72" s="185" t="s">
        <v>142</v>
      </c>
      <c r="C72" s="136" t="s">
        <v>143</v>
      </c>
      <c r="D72" s="35"/>
      <c r="E72" s="6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93"/>
      <c r="Q72" s="92"/>
      <c r="R72" s="93">
        <f t="shared" si="344"/>
        <v>0</v>
      </c>
      <c r="S72" s="93">
        <f t="shared" si="345"/>
        <v>0</v>
      </c>
      <c r="T72" s="93">
        <f t="shared" si="346"/>
        <v>0</v>
      </c>
      <c r="U72" s="93">
        <f t="shared" si="347"/>
        <v>0</v>
      </c>
      <c r="V72" s="92">
        <f t="shared" si="348"/>
        <v>0</v>
      </c>
    </row>
    <row r="73">
      <c r="A73" s="185"/>
      <c r="C73" s="136"/>
      <c r="D73" s="35"/>
      <c r="E73" s="6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93"/>
      <c r="Q73" s="92"/>
      <c r="R73" s="93">
        <f t="shared" si="344"/>
        <v>0</v>
      </c>
      <c r="S73" s="93">
        <f t="shared" si="345"/>
        <v>0</v>
      </c>
      <c r="T73" s="93">
        <f t="shared" si="346"/>
        <v>0</v>
      </c>
      <c r="U73" s="93">
        <f t="shared" si="347"/>
        <v>0</v>
      </c>
      <c r="V73" s="92">
        <f t="shared" si="348"/>
        <v>0</v>
      </c>
    </row>
    <row r="74" s="137" customFormat="1">
      <c r="A74" s="137" t="s">
        <v>144</v>
      </c>
      <c r="B74" s="137" t="s">
        <v>145</v>
      </c>
      <c r="C74" s="138" t="s">
        <v>146</v>
      </c>
      <c r="D74" s="139" t="s">
        <v>145</v>
      </c>
      <c r="E74" s="145">
        <f>SUMIF('2024 AC'!$B$3:$B$250,"*"&amp;$D74&amp;"*",'2024 AC'!C$3:C$250)</f>
        <v>23438.060000000001</v>
      </c>
      <c r="F74" s="146">
        <f>SUMIF('2024 AC'!$B$3:$B$250,"*"&amp;$D74&amp;"*",'2024 AC'!D$3:D$250)</f>
        <v>0</v>
      </c>
      <c r="G74" s="146">
        <f>SUMIF('2024 AC'!$B$3:$B$250,"*"&amp;$D74&amp;"*",'2024 AC'!E$3:E$250)</f>
        <v>0</v>
      </c>
      <c r="H74" s="146">
        <f>SUMIF('2024 AC'!$B$3:$B$250,"*"&amp;$D74&amp;"*",'2024 AC'!F$3:F$250)</f>
        <v>0</v>
      </c>
      <c r="I74" s="146">
        <f>SUMIF('2024 AC'!$B$3:$B$250,"*"&amp;$D74&amp;"*",'2024 AC'!G$3:G$250)</f>
        <v>0</v>
      </c>
      <c r="J74" s="146">
        <f>SUMIF('2024 AC'!$B$3:$B$250,"*"&amp;$D74&amp;"*",'2024 AC'!H$3:H$250)</f>
        <v>0</v>
      </c>
      <c r="K74" s="146">
        <f>SUMIF('2024 AC'!$B$3:$B$250,"*"&amp;$D74&amp;"*",'2024 AC'!I$3:I$250)</f>
        <v>0</v>
      </c>
      <c r="L74" s="146">
        <f>SUMIF('2024 AC'!$B$3:$B$250,"*"&amp;$D74&amp;"*",'2024 AC'!J$3:J$250)</f>
        <v>0</v>
      </c>
      <c r="M74" s="146">
        <f>SUMIF('2024 AC'!$B$3:$B$250,"*"&amp;$D74&amp;"*",'2024 AC'!K$3:K$250)</f>
        <v>0</v>
      </c>
      <c r="N74" s="146">
        <f>SUMIF('2024 AC'!$B$3:$B$250,"*"&amp;$D74&amp;"*",'2024 AC'!L$3:L$250)</f>
        <v>0</v>
      </c>
      <c r="O74" s="146">
        <f>SUMIF('2024 AC'!$B$3:$B$250,"*"&amp;$D74&amp;"*",'2024 AC'!M$3:M$250)</f>
        <v>0</v>
      </c>
      <c r="P74" s="147">
        <f>SUMIF('2024 AC'!$B$3:$B$250,"*"&amp;$D74&amp;"*",'2024 AC'!N$3:N$250)</f>
        <v>0</v>
      </c>
      <c r="Q74" s="148">
        <f t="shared" ref="Q74:Q137" si="357">SUM(E74:P74)</f>
        <v>23438.060000000001</v>
      </c>
      <c r="R74" s="147">
        <f t="shared" ref="R74:R137" si="358">SUM(E74:G74)</f>
        <v>23438.060000000001</v>
      </c>
      <c r="S74" s="147">
        <f t="shared" ref="S74:S137" si="359">SUM(H74:J74)</f>
        <v>0</v>
      </c>
      <c r="T74" s="147">
        <f t="shared" ref="T74:T137" si="360">SUM(K74:M74)</f>
        <v>0</v>
      </c>
      <c r="U74" s="147">
        <f t="shared" ref="U74:U137" si="361">SUM(N74:P74)</f>
        <v>0</v>
      </c>
      <c r="V74" s="148">
        <f t="shared" ref="V74:V137" si="362">SUM(R74:U74)</f>
        <v>23438.060000000001</v>
      </c>
    </row>
    <row r="75" s="137" customFormat="1">
      <c r="A75" s="137" t="s">
        <v>147</v>
      </c>
      <c r="B75" s="137" t="s">
        <v>148</v>
      </c>
      <c r="C75" s="138" t="s">
        <v>149</v>
      </c>
      <c r="D75" s="139" t="s">
        <v>148</v>
      </c>
      <c r="E75" s="145">
        <f>SUM(E76:E81)</f>
        <v>36471.729999999996</v>
      </c>
      <c r="F75" s="146">
        <f t="shared" ref="F75:P75" si="363">SUM(F76:F81)</f>
        <v>36113.490000000005</v>
      </c>
      <c r="G75" s="146">
        <f t="shared" si="363"/>
        <v>39425.470000000001</v>
      </c>
      <c r="H75" s="146">
        <f t="shared" si="363"/>
        <v>20218.330000000002</v>
      </c>
      <c r="I75" s="146">
        <f t="shared" si="363"/>
        <v>34110.270000000004</v>
      </c>
      <c r="J75" s="146">
        <f t="shared" si="363"/>
        <v>50931.209999999999</v>
      </c>
      <c r="K75" s="146">
        <f t="shared" si="363"/>
        <v>49620.32</v>
      </c>
      <c r="L75" s="146">
        <f t="shared" si="363"/>
        <v>64184.349999999999</v>
      </c>
      <c r="M75" s="146">
        <f t="shared" si="363"/>
        <v>37103.739999999998</v>
      </c>
      <c r="N75" s="146">
        <f t="shared" si="363"/>
        <v>32617.630000000001</v>
      </c>
      <c r="O75" s="146">
        <f t="shared" si="363"/>
        <v>43980.279999999999</v>
      </c>
      <c r="P75" s="147">
        <f t="shared" si="363"/>
        <v>47440.650000000001</v>
      </c>
      <c r="Q75" s="148">
        <f t="shared" si="357"/>
        <v>492217.46999999997</v>
      </c>
      <c r="R75" s="147">
        <f t="shared" si="358"/>
        <v>112010.69</v>
      </c>
      <c r="S75" s="147">
        <f t="shared" si="359"/>
        <v>105259.81</v>
      </c>
      <c r="T75" s="147">
        <f t="shared" si="360"/>
        <v>150908.41</v>
      </c>
      <c r="U75" s="147">
        <f t="shared" si="361"/>
        <v>124038.56</v>
      </c>
      <c r="V75" s="148">
        <f t="shared" si="362"/>
        <v>492217.47000000003</v>
      </c>
    </row>
    <row r="76" ht="15" customHeight="1" outlineLevel="1">
      <c r="A76" t="s">
        <v>150</v>
      </c>
      <c r="B76" t="s">
        <v>151</v>
      </c>
      <c r="C76" s="52" t="s">
        <v>152</v>
      </c>
      <c r="D76" s="35" t="s">
        <v>151</v>
      </c>
      <c r="E76" s="63">
        <f>SUMIF('2024 AC'!$B$3:$B$250,"*"&amp;$D76&amp;"*",'2024 AC'!C$3:C$250)</f>
        <v>18604</v>
      </c>
      <c r="F76" s="53">
        <f>SUMIF('2024 AC'!$B$3:$B$250,"*"&amp;$D76&amp;"*",'2024 AC'!D$3:D$250)</f>
        <v>13245</v>
      </c>
      <c r="G76" s="53">
        <f>SUMIF('2024 AC'!$B$3:$B$250,"*"&amp;$D76&amp;"*",'2024 AC'!E$3:E$250)</f>
        <v>17212</v>
      </c>
      <c r="H76" s="53">
        <f>SUMIF('2024 AC'!$B$3:$B$250,"*"&amp;$D76&amp;"*",'2024 AC'!F$3:F$250)</f>
        <v>2805</v>
      </c>
      <c r="I76" s="53">
        <f>SUMIF('2024 AC'!$B$3:$B$250,"*"&amp;$D76&amp;"*",'2024 AC'!G$3:G$250)</f>
        <v>9347</v>
      </c>
      <c r="J76" s="53">
        <f>SUMIF('2024 AC'!$B$3:$B$250,"*"&amp;$D76&amp;"*",'2024 AC'!H$3:H$250)</f>
        <v>22737</v>
      </c>
      <c r="K76" s="53">
        <f>SUMIF('2024 AC'!$B$3:$B$250,"*"&amp;$D76&amp;"*",'2024 AC'!I$3:I$250)</f>
        <v>11924</v>
      </c>
      <c r="L76" s="53">
        <f>SUMIF('2024 AC'!$B$3:$B$250,"*"&amp;$D76&amp;"*",'2024 AC'!J$3:J$250)</f>
        <v>29110</v>
      </c>
      <c r="M76" s="53">
        <f>SUMIF('2024 AC'!$B$3:$B$250,"*"&amp;$D76&amp;"*",'2024 AC'!K$3:K$250)</f>
        <v>4197</v>
      </c>
      <c r="N76" s="53">
        <f>SUMIF('2024 AC'!$B$3:$B$250,"*"&amp;$D76&amp;"*",'2024 AC'!L$3:L$250)</f>
        <v>3360</v>
      </c>
      <c r="O76" s="53">
        <f>SUMIF('2024 AC'!$B$3:$B$250,"*"&amp;$D76&amp;"*",'2024 AC'!M$3:M$250)</f>
        <v>15775</v>
      </c>
      <c r="P76" s="93">
        <f>SUMIF('2024 AC'!$B$3:$B$250,"*"&amp;$D76&amp;"*",'2024 AC'!N$3:N$250)</f>
        <v>12398</v>
      </c>
      <c r="Q76" s="92">
        <f t="shared" si="357"/>
        <v>160714</v>
      </c>
      <c r="R76" s="93">
        <f t="shared" si="358"/>
        <v>49061</v>
      </c>
      <c r="S76" s="93">
        <f t="shared" si="359"/>
        <v>34889</v>
      </c>
      <c r="T76" s="93">
        <f t="shared" si="360"/>
        <v>45231</v>
      </c>
      <c r="U76" s="93">
        <f t="shared" si="361"/>
        <v>31533</v>
      </c>
      <c r="V76" s="92">
        <f t="shared" si="362"/>
        <v>160714</v>
      </c>
    </row>
    <row r="77" ht="15" customHeight="1" outlineLevel="1">
      <c r="A77" t="s">
        <v>153</v>
      </c>
      <c r="B77" t="s">
        <v>154</v>
      </c>
      <c r="C77" s="52" t="s">
        <v>155</v>
      </c>
      <c r="D77" s="35" t="s">
        <v>154</v>
      </c>
      <c r="E77" s="63">
        <f>SUMIF('2024 AC'!$B$3:$B$250,"*"&amp;$D77&amp;"*",'2024 AC'!C$3:C$250)</f>
        <v>0</v>
      </c>
      <c r="F77" s="53">
        <f>SUMIF('2024 AC'!$B$3:$B$250,"*"&amp;$D77&amp;"*",'2024 AC'!D$3:D$250)</f>
        <v>0</v>
      </c>
      <c r="G77" s="53">
        <f>SUMIF('2024 AC'!$B$3:$B$250,"*"&amp;$D77&amp;"*",'2024 AC'!E$3:E$250)</f>
        <v>0</v>
      </c>
      <c r="H77" s="53">
        <f>SUMIF('2024 AC'!$B$3:$B$250,"*"&amp;$D77&amp;"*",'2024 AC'!F$3:F$250)</f>
        <v>0</v>
      </c>
      <c r="I77" s="53">
        <f>SUMIF('2024 AC'!$B$3:$B$250,"*"&amp;$D77&amp;"*",'2024 AC'!G$3:G$250)</f>
        <v>0</v>
      </c>
      <c r="J77" s="53">
        <f>SUMIF('2024 AC'!$B$3:$B$250,"*"&amp;$D77&amp;"*",'2024 AC'!H$3:H$250)</f>
        <v>0</v>
      </c>
      <c r="K77" s="53">
        <f>SUMIF('2024 AC'!$B$3:$B$250,"*"&amp;$D77&amp;"*",'2024 AC'!I$3:I$250)</f>
        <v>0</v>
      </c>
      <c r="L77" s="53">
        <f>SUMIF('2024 AC'!$B$3:$B$250,"*"&amp;$D77&amp;"*",'2024 AC'!J$3:J$250)</f>
        <v>0</v>
      </c>
      <c r="M77" s="53">
        <f>SUMIF('2024 AC'!$B$3:$B$250,"*"&amp;$D77&amp;"*",'2024 AC'!K$3:K$250)</f>
        <v>0</v>
      </c>
      <c r="N77" s="53">
        <f>SUMIF('2024 AC'!$B$3:$B$250,"*"&amp;$D77&amp;"*",'2024 AC'!L$3:L$250)</f>
        <v>0</v>
      </c>
      <c r="O77" s="53">
        <f>SUMIF('2024 AC'!$B$3:$B$250,"*"&amp;$D77&amp;"*",'2024 AC'!M$3:M$250)</f>
        <v>0</v>
      </c>
      <c r="P77" s="93">
        <f>SUMIF('2024 AC'!$B$3:$B$250,"*"&amp;$D77&amp;"*",'2024 AC'!N$3:N$250)</f>
        <v>0</v>
      </c>
      <c r="Q77" s="92">
        <f t="shared" si="357"/>
        <v>0</v>
      </c>
      <c r="R77" s="93">
        <f t="shared" si="358"/>
        <v>0</v>
      </c>
      <c r="S77" s="93">
        <f t="shared" si="359"/>
        <v>0</v>
      </c>
      <c r="T77" s="93">
        <f t="shared" si="360"/>
        <v>0</v>
      </c>
      <c r="U77" s="93">
        <f t="shared" si="361"/>
        <v>0</v>
      </c>
      <c r="V77" s="92">
        <f t="shared" si="362"/>
        <v>0</v>
      </c>
    </row>
    <row r="78" ht="15" customHeight="1" outlineLevel="1">
      <c r="A78" t="s">
        <v>156</v>
      </c>
      <c r="B78" t="s">
        <v>157</v>
      </c>
      <c r="C78" s="52" t="s">
        <v>158</v>
      </c>
      <c r="D78" s="35" t="s">
        <v>157</v>
      </c>
      <c r="E78" s="63">
        <f>SUMIF('2024 AC'!$B$3:$B$250,"*"&amp;$D78&amp;"*",'2024 AC'!C$3:C$250)</f>
        <v>0</v>
      </c>
      <c r="F78" s="53">
        <f>SUMIF('2024 AC'!$B$3:$B$250,"*"&amp;$D78&amp;"*",'2024 AC'!D$3:D$250)</f>
        <v>0</v>
      </c>
      <c r="G78" s="53">
        <f>SUMIF('2024 AC'!$B$3:$B$250,"*"&amp;$D78&amp;"*",'2024 AC'!E$3:E$250)</f>
        <v>0</v>
      </c>
      <c r="H78" s="53">
        <f>SUMIF('2024 AC'!$B$3:$B$250,"*"&amp;$D78&amp;"*",'2024 AC'!F$3:F$250)</f>
        <v>0</v>
      </c>
      <c r="I78" s="53">
        <f>SUMIF('2024 AC'!$B$3:$B$250,"*"&amp;$D78&amp;"*",'2024 AC'!G$3:G$250)</f>
        <v>0</v>
      </c>
      <c r="J78" s="53">
        <f>SUMIF('2024 AC'!$B$3:$B$250,"*"&amp;$D78&amp;"*",'2024 AC'!H$3:H$250)</f>
        <v>0</v>
      </c>
      <c r="K78" s="53">
        <f>SUMIF('2024 AC'!$B$3:$B$250,"*"&amp;$D78&amp;"*",'2024 AC'!I$3:I$250)</f>
        <v>0</v>
      </c>
      <c r="L78" s="53">
        <f>SUMIF('2024 AC'!$B$3:$B$250,"*"&amp;$D78&amp;"*",'2024 AC'!J$3:J$250)</f>
        <v>0</v>
      </c>
      <c r="M78" s="53">
        <f>SUMIF('2024 AC'!$B$3:$B$250,"*"&amp;$D78&amp;"*",'2024 AC'!K$3:K$250)</f>
        <v>0</v>
      </c>
      <c r="N78" s="53">
        <f>SUMIF('2024 AC'!$B$3:$B$250,"*"&amp;$D78&amp;"*",'2024 AC'!L$3:L$250)</f>
        <v>0</v>
      </c>
      <c r="O78" s="53">
        <f>SUMIF('2024 AC'!$B$3:$B$250,"*"&amp;$D78&amp;"*",'2024 AC'!M$3:M$250)</f>
        <v>0</v>
      </c>
      <c r="P78" s="93">
        <f>SUMIF('2024 AC'!$B$3:$B$250,"*"&amp;$D78&amp;"*",'2024 AC'!N$3:N$250)</f>
        <v>0</v>
      </c>
      <c r="Q78" s="92">
        <f t="shared" si="357"/>
        <v>0</v>
      </c>
      <c r="R78" s="93">
        <f t="shared" si="358"/>
        <v>0</v>
      </c>
      <c r="S78" s="93">
        <f t="shared" si="359"/>
        <v>0</v>
      </c>
      <c r="T78" s="93">
        <f t="shared" si="360"/>
        <v>0</v>
      </c>
      <c r="U78" s="93">
        <f t="shared" si="361"/>
        <v>0</v>
      </c>
      <c r="V78" s="92">
        <f t="shared" si="362"/>
        <v>0</v>
      </c>
    </row>
    <row r="79" ht="15" customHeight="1" outlineLevel="1">
      <c r="A79" t="s">
        <v>159</v>
      </c>
      <c r="B79" t="s">
        <v>160</v>
      </c>
      <c r="C79" s="34" t="s">
        <v>161</v>
      </c>
      <c r="D79" s="35" t="s">
        <v>160</v>
      </c>
      <c r="E79" s="63">
        <f>SUMIF('2024 AC'!$B$3:$B$250,"*"&amp;$D79&amp;"*",'2024 AC'!C$3:C$250)</f>
        <v>0</v>
      </c>
      <c r="F79" s="53">
        <f>SUMIF('2024 AC'!$B$3:$B$250,"*"&amp;$D79&amp;"*",'2024 AC'!D$3:D$250)</f>
        <v>0</v>
      </c>
      <c r="G79" s="53">
        <f>SUMIF('2024 AC'!$B$3:$B$250,"*"&amp;$D79&amp;"*",'2024 AC'!E$3:E$250)</f>
        <v>107.59999999999999</v>
      </c>
      <c r="H79" s="53">
        <f>SUMIF('2024 AC'!$B$3:$B$250,"*"&amp;$D79&amp;"*",'2024 AC'!F$3:F$250)</f>
        <v>0</v>
      </c>
      <c r="I79" s="53">
        <f>SUMIF('2024 AC'!$B$3:$B$250,"*"&amp;$D79&amp;"*",'2024 AC'!G$3:G$250)</f>
        <v>0</v>
      </c>
      <c r="J79" s="53">
        <f>SUMIF('2024 AC'!$B$3:$B$250,"*"&amp;$D79&amp;"*",'2024 AC'!H$3:H$250)</f>
        <v>0</v>
      </c>
      <c r="K79" s="53">
        <f>SUMIF('2024 AC'!$B$3:$B$250,"*"&amp;$D79&amp;"*",'2024 AC'!I$3:I$250)</f>
        <v>0</v>
      </c>
      <c r="L79" s="53">
        <f>SUMIF('2024 AC'!$B$3:$B$250,"*"&amp;$D79&amp;"*",'2024 AC'!J$3:J$250)</f>
        <v>30.399999999999999</v>
      </c>
      <c r="M79" s="53">
        <f>SUMIF('2024 AC'!$B$3:$B$250,"*"&amp;$D79&amp;"*",'2024 AC'!K$3:K$250)</f>
        <v>0</v>
      </c>
      <c r="N79" s="53">
        <f>SUMIF('2024 AC'!$B$3:$B$250,"*"&amp;$D79&amp;"*",'2024 AC'!L$3:L$250)</f>
        <v>0</v>
      </c>
      <c r="O79" s="53">
        <f>SUMIF('2024 AC'!$B$3:$B$250,"*"&amp;$D79&amp;"*",'2024 AC'!M$3:M$250)</f>
        <v>0</v>
      </c>
      <c r="P79" s="93">
        <f>SUMIF('2024 AC'!$B$3:$B$250,"*"&amp;$D79&amp;"*",'2024 AC'!N$3:N$250)</f>
        <v>0</v>
      </c>
      <c r="Q79" s="92">
        <f t="shared" si="357"/>
        <v>138</v>
      </c>
      <c r="R79" s="93">
        <f t="shared" si="358"/>
        <v>107.59999999999999</v>
      </c>
      <c r="S79" s="93">
        <f t="shared" si="359"/>
        <v>0</v>
      </c>
      <c r="T79" s="93">
        <f t="shared" si="360"/>
        <v>30.399999999999999</v>
      </c>
      <c r="U79" s="93">
        <f t="shared" si="361"/>
        <v>0</v>
      </c>
      <c r="V79" s="92">
        <f t="shared" si="362"/>
        <v>138</v>
      </c>
    </row>
    <row r="80" ht="15" customHeight="1" outlineLevel="1">
      <c r="A80" t="s">
        <v>162</v>
      </c>
      <c r="B80" t="s">
        <v>163</v>
      </c>
      <c r="C80" s="52" t="s">
        <v>164</v>
      </c>
      <c r="D80" s="35" t="s">
        <v>163</v>
      </c>
      <c r="E80" s="63">
        <f>SUMIF('2024 AC'!$B$3:$B$250,"*"&amp;$D80&amp;"*",'2024 AC'!C$3:C$250)</f>
        <v>0</v>
      </c>
      <c r="F80" s="53">
        <f>SUMIF('2024 AC'!$B$3:$B$250,"*"&amp;$D80&amp;"*",'2024 AC'!D$3:D$250)</f>
        <v>0</v>
      </c>
      <c r="G80" s="53">
        <f>SUMIF('2024 AC'!$B$3:$B$250,"*"&amp;$D80&amp;"*",'2024 AC'!E$3:E$250)</f>
        <v>0</v>
      </c>
      <c r="H80" s="53">
        <f>SUMIF('2024 AC'!$B$3:$B$250,"*"&amp;$D80&amp;"*",'2024 AC'!F$3:F$250)</f>
        <v>0</v>
      </c>
      <c r="I80" s="53">
        <f>SUMIF('2024 AC'!$B$3:$B$250,"*"&amp;$D80&amp;"*",'2024 AC'!G$3:G$250)</f>
        <v>0</v>
      </c>
      <c r="J80" s="53">
        <f>SUMIF('2024 AC'!$B$3:$B$250,"*"&amp;$D80&amp;"*",'2024 AC'!H$3:H$250)</f>
        <v>0</v>
      </c>
      <c r="K80" s="53">
        <f>SUMIF('2024 AC'!$B$3:$B$250,"*"&amp;$D80&amp;"*",'2024 AC'!I$3:I$250)</f>
        <v>0</v>
      </c>
      <c r="L80" s="53">
        <f>SUMIF('2024 AC'!$B$3:$B$250,"*"&amp;$D80&amp;"*",'2024 AC'!J$3:J$250)</f>
        <v>0</v>
      </c>
      <c r="M80" s="53">
        <f>SUMIF('2024 AC'!$B$3:$B$250,"*"&amp;$D80&amp;"*",'2024 AC'!K$3:K$250)</f>
        <v>0</v>
      </c>
      <c r="N80" s="53">
        <f>SUMIF('2024 AC'!$B$3:$B$250,"*"&amp;$D80&amp;"*",'2024 AC'!L$3:L$250)</f>
        <v>0</v>
      </c>
      <c r="O80" s="53">
        <f>SUMIF('2024 AC'!$B$3:$B$250,"*"&amp;$D80&amp;"*",'2024 AC'!M$3:M$250)</f>
        <v>0</v>
      </c>
      <c r="P80" s="93">
        <f>SUMIF('2024 AC'!$B$3:$B$250,"*"&amp;$D80&amp;"*",'2024 AC'!N$3:N$250)</f>
        <v>0</v>
      </c>
      <c r="Q80" s="92">
        <f t="shared" si="357"/>
        <v>0</v>
      </c>
      <c r="R80" s="93">
        <f t="shared" si="358"/>
        <v>0</v>
      </c>
      <c r="S80" s="93">
        <f t="shared" si="359"/>
        <v>0</v>
      </c>
      <c r="T80" s="93">
        <f t="shared" si="360"/>
        <v>0</v>
      </c>
      <c r="U80" s="93">
        <f t="shared" si="361"/>
        <v>0</v>
      </c>
      <c r="V80" s="92">
        <f t="shared" si="362"/>
        <v>0</v>
      </c>
    </row>
    <row r="81" ht="15" customHeight="1" outlineLevel="1">
      <c r="A81" t="s">
        <v>165</v>
      </c>
      <c r="B81" t="s">
        <v>166</v>
      </c>
      <c r="C81" s="52" t="s">
        <v>167</v>
      </c>
      <c r="D81" s="35" t="s">
        <v>166</v>
      </c>
      <c r="E81" s="63">
        <f>SUMIF('2024 AC'!$B$3:$B$250,"*"&amp;$D81&amp;"*",'2024 AC'!C$3:C$250)</f>
        <v>17867.73</v>
      </c>
      <c r="F81" s="53">
        <f>SUMIF('2024 AC'!$B$3:$B$250,"*"&amp;$D81&amp;"*",'2024 AC'!D$3:D$250)</f>
        <v>22868.490000000002</v>
      </c>
      <c r="G81" s="53">
        <f>SUMIF('2024 AC'!$B$3:$B$250,"*"&amp;$D81&amp;"*",'2024 AC'!E$3:E$250)</f>
        <v>22105.869999999999</v>
      </c>
      <c r="H81" s="53">
        <f>SUMIF('2024 AC'!$B$3:$B$250,"*"&amp;$D81&amp;"*",'2024 AC'!F$3:F$250)</f>
        <v>17413.330000000002</v>
      </c>
      <c r="I81" s="53">
        <f>SUMIF('2024 AC'!$B$3:$B$250,"*"&amp;$D81&amp;"*",'2024 AC'!G$3:G$250)</f>
        <v>24763.27</v>
      </c>
      <c r="J81" s="53">
        <f>SUMIF('2024 AC'!$B$3:$B$250,"*"&amp;$D81&amp;"*",'2024 AC'!H$3:H$250)</f>
        <v>28194.209999999999</v>
      </c>
      <c r="K81" s="53">
        <f>SUMIF('2024 AC'!$B$3:$B$250,"*"&amp;$D81&amp;"*",'2024 AC'!I$3:I$250)</f>
        <v>37696.32</v>
      </c>
      <c r="L81" s="53">
        <f>SUMIF('2024 AC'!$B$3:$B$250,"*"&amp;$D81&amp;"*",'2024 AC'!J$3:J$250)</f>
        <v>35043.949999999997</v>
      </c>
      <c r="M81" s="53">
        <f>SUMIF('2024 AC'!$B$3:$B$250,"*"&amp;$D81&amp;"*",'2024 AC'!K$3:K$250)</f>
        <v>32906.739999999998</v>
      </c>
      <c r="N81" s="53">
        <f>SUMIF('2024 AC'!$B$3:$B$250,"*"&amp;$D81&amp;"*",'2024 AC'!L$3:L$250)</f>
        <v>29257.630000000001</v>
      </c>
      <c r="O81" s="53">
        <f>SUMIF('2024 AC'!$B$3:$B$250,"*"&amp;$D81&amp;"*",'2024 AC'!M$3:M$250)</f>
        <v>28205.279999999999</v>
      </c>
      <c r="P81" s="93">
        <f>SUMIF('2024 AC'!$B$3:$B$250,"*"&amp;$D81&amp;"*",'2024 AC'!N$3:N$250)</f>
        <v>35042.650000000001</v>
      </c>
      <c r="Q81" s="92">
        <f t="shared" si="357"/>
        <v>331365.46999999997</v>
      </c>
      <c r="R81" s="93">
        <f t="shared" si="358"/>
        <v>62842.089999999997</v>
      </c>
      <c r="S81" s="93">
        <f t="shared" si="359"/>
        <v>70370.809999999998</v>
      </c>
      <c r="T81" s="93">
        <f t="shared" si="360"/>
        <v>105647.00999999998</v>
      </c>
      <c r="U81" s="93">
        <f t="shared" si="361"/>
        <v>92505.559999999998</v>
      </c>
      <c r="V81" s="92">
        <f t="shared" si="362"/>
        <v>331365.46999999997</v>
      </c>
    </row>
    <row r="82" s="137" customFormat="1" ht="15" customHeight="1">
      <c r="A82" s="137" t="s">
        <v>168</v>
      </c>
      <c r="B82" s="137" t="s">
        <v>169</v>
      </c>
      <c r="C82" s="187" t="s">
        <v>170</v>
      </c>
      <c r="D82" s="139" t="s">
        <v>169</v>
      </c>
      <c r="E82" s="145">
        <f>SUM(E83:E91)</f>
        <v>42651.259999999995</v>
      </c>
      <c r="F82" s="146">
        <f t="shared" ref="F82:P82" si="364">SUM(F83:F91)</f>
        <v>46548.979999999996</v>
      </c>
      <c r="G82" s="146">
        <f t="shared" si="364"/>
        <v>80476.089999999997</v>
      </c>
      <c r="H82" s="146">
        <f t="shared" si="364"/>
        <v>53120.159999999996</v>
      </c>
      <c r="I82" s="146">
        <f t="shared" si="364"/>
        <v>53325.880000000005</v>
      </c>
      <c r="J82" s="146">
        <f t="shared" si="364"/>
        <v>36857.889999999999</v>
      </c>
      <c r="K82" s="146">
        <f t="shared" si="364"/>
        <v>36605.5</v>
      </c>
      <c r="L82" s="146">
        <f t="shared" si="364"/>
        <v>51141.560000000005</v>
      </c>
      <c r="M82" s="146">
        <f t="shared" si="364"/>
        <v>38454.430000000008</v>
      </c>
      <c r="N82" s="146">
        <f t="shared" si="364"/>
        <v>44759.720000000001</v>
      </c>
      <c r="O82" s="146">
        <f t="shared" si="364"/>
        <v>52638.839999999997</v>
      </c>
      <c r="P82" s="147">
        <f t="shared" si="364"/>
        <v>37793.32</v>
      </c>
      <c r="Q82" s="148">
        <f t="shared" si="357"/>
        <v>574373.62999999989</v>
      </c>
      <c r="R82" s="147">
        <f t="shared" si="358"/>
        <v>169676.32999999999</v>
      </c>
      <c r="S82" s="147">
        <f t="shared" si="359"/>
        <v>143303.92999999999</v>
      </c>
      <c r="T82" s="147">
        <f t="shared" si="360"/>
        <v>126201.49000000001</v>
      </c>
      <c r="U82" s="147">
        <f t="shared" si="361"/>
        <v>135191.88</v>
      </c>
      <c r="V82" s="148">
        <f t="shared" si="362"/>
        <v>574373.63</v>
      </c>
    </row>
    <row r="83" ht="15" customHeight="1" outlineLevel="1">
      <c r="A83" t="s">
        <v>171</v>
      </c>
      <c r="B83" t="s">
        <v>172</v>
      </c>
      <c r="C83" s="34" t="s">
        <v>173</v>
      </c>
      <c r="D83" s="35" t="s">
        <v>172</v>
      </c>
      <c r="E83" s="63">
        <f>SUMIF('2024 AC'!$B$3:$B$250,"*"&amp;$D83&amp;"*",'2024 AC'!C$3:C$250)</f>
        <v>1645</v>
      </c>
      <c r="F83" s="53">
        <f>SUMIF('2024 AC'!$B$3:$B$250,"*"&amp;$D83&amp;"*",'2024 AC'!D$3:D$250)</f>
        <v>567</v>
      </c>
      <c r="G83" s="53">
        <f>SUMIF('2024 AC'!$B$3:$B$250,"*"&amp;$D83&amp;"*",'2024 AC'!E$3:E$250)</f>
        <v>2241.4499999999998</v>
      </c>
      <c r="H83" s="53">
        <f>SUMIF('2024 AC'!$B$3:$B$250,"*"&amp;$D83&amp;"*",'2024 AC'!F$3:F$250)</f>
        <v>1691.2</v>
      </c>
      <c r="I83" s="53">
        <f>SUMIF('2024 AC'!$B$3:$B$250,"*"&amp;$D83&amp;"*",'2024 AC'!G$3:G$250)</f>
        <v>69</v>
      </c>
      <c r="J83" s="53">
        <f>SUMIF('2024 AC'!$B$3:$B$250,"*"&amp;$D83&amp;"*",'2024 AC'!H$3:H$250)</f>
        <v>855.60000000000002</v>
      </c>
      <c r="K83" s="53">
        <f>SUMIF('2024 AC'!$B$3:$B$250,"*"&amp;$D83&amp;"*",'2024 AC'!I$3:I$250)</f>
        <v>82.5</v>
      </c>
      <c r="L83" s="53">
        <f>SUMIF('2024 AC'!$B$3:$B$250,"*"&amp;$D83&amp;"*",'2024 AC'!J$3:J$250)</f>
        <v>17.199999999999999</v>
      </c>
      <c r="M83" s="53">
        <f>SUMIF('2024 AC'!$B$3:$B$250,"*"&amp;$D83&amp;"*",'2024 AC'!K$3:K$250)</f>
        <v>158.19999999999999</v>
      </c>
      <c r="N83" s="53">
        <f>SUMIF('2024 AC'!$B$3:$B$250,"*"&amp;$D83&amp;"*",'2024 AC'!L$3:L$250)</f>
        <v>0</v>
      </c>
      <c r="O83" s="53">
        <f>SUMIF('2024 AC'!$B$3:$B$250,"*"&amp;$D83&amp;"*",'2024 AC'!M$3:M$250)</f>
        <v>0</v>
      </c>
      <c r="P83" s="93">
        <f>SUMIF('2024 AC'!$B$3:$B$250,"*"&amp;$D83&amp;"*",'2024 AC'!N$3:N$250)</f>
        <v>0</v>
      </c>
      <c r="Q83" s="92">
        <f t="shared" si="357"/>
        <v>7327.1499999999996</v>
      </c>
      <c r="R83" s="93">
        <f t="shared" si="358"/>
        <v>4453.4499999999998</v>
      </c>
      <c r="S83" s="93">
        <f t="shared" si="359"/>
        <v>2615.8000000000002</v>
      </c>
      <c r="T83" s="93">
        <f t="shared" si="360"/>
        <v>257.89999999999998</v>
      </c>
      <c r="U83" s="93">
        <f t="shared" si="361"/>
        <v>0</v>
      </c>
      <c r="V83" s="92">
        <f t="shared" si="362"/>
        <v>7327.1499999999996</v>
      </c>
    </row>
    <row r="84" ht="15" customHeight="1" outlineLevel="1">
      <c r="A84" t="s">
        <v>174</v>
      </c>
      <c r="B84" t="s">
        <v>175</v>
      </c>
      <c r="C84" s="34" t="s">
        <v>176</v>
      </c>
      <c r="D84" s="35" t="s">
        <v>175</v>
      </c>
      <c r="E84" s="63">
        <f>SUMIF('2024 AC'!$B$3:$B$250,"*"&amp;$D84&amp;"*",'2024 AC'!C$3:C$250)</f>
        <v>750</v>
      </c>
      <c r="F84" s="53">
        <f>SUMIF('2024 AC'!$B$3:$B$250,"*"&amp;$D84&amp;"*",'2024 AC'!D$3:D$250)</f>
        <v>1155</v>
      </c>
      <c r="G84" s="53">
        <f>SUMIF('2024 AC'!$B$3:$B$250,"*"&amp;$D84&amp;"*",'2024 AC'!E$3:E$250)</f>
        <v>154</v>
      </c>
      <c r="H84" s="53">
        <f>SUMIF('2024 AC'!$B$3:$B$250,"*"&amp;$D84&amp;"*",'2024 AC'!F$3:F$250)</f>
        <v>0</v>
      </c>
      <c r="I84" s="53">
        <f>SUMIF('2024 AC'!$B$3:$B$250,"*"&amp;$D84&amp;"*",'2024 AC'!G$3:G$250)</f>
        <v>0</v>
      </c>
      <c r="J84" s="53">
        <f>SUMIF('2024 AC'!$B$3:$B$250,"*"&amp;$D84&amp;"*",'2024 AC'!H$3:H$250)</f>
        <v>0</v>
      </c>
      <c r="K84" s="53">
        <f>SUMIF('2024 AC'!$B$3:$B$250,"*"&amp;$D84&amp;"*",'2024 AC'!I$3:I$250)</f>
        <v>568</v>
      </c>
      <c r="L84" s="53">
        <f>SUMIF('2024 AC'!$B$3:$B$250,"*"&amp;$D84&amp;"*",'2024 AC'!J$3:J$250)</f>
        <v>744</v>
      </c>
      <c r="M84" s="53">
        <f>SUMIF('2024 AC'!$B$3:$B$250,"*"&amp;$D84&amp;"*",'2024 AC'!K$3:K$250)</f>
        <v>426</v>
      </c>
      <c r="N84" s="53">
        <f>SUMIF('2024 AC'!$B$3:$B$250,"*"&amp;$D84&amp;"*",'2024 AC'!L$3:L$250)</f>
        <v>8009.5</v>
      </c>
      <c r="O84" s="53">
        <f>SUMIF('2024 AC'!$B$3:$B$250,"*"&amp;$D84&amp;"*",'2024 AC'!M$3:M$250)</f>
        <v>750</v>
      </c>
      <c r="P84" s="93">
        <f>SUMIF('2024 AC'!$B$3:$B$250,"*"&amp;$D84&amp;"*",'2024 AC'!N$3:N$250)</f>
        <v>127.5</v>
      </c>
      <c r="Q84" s="92">
        <f t="shared" si="357"/>
        <v>12684</v>
      </c>
      <c r="R84" s="93">
        <f t="shared" si="358"/>
        <v>2059</v>
      </c>
      <c r="S84" s="93">
        <f t="shared" si="359"/>
        <v>0</v>
      </c>
      <c r="T84" s="93">
        <f t="shared" si="360"/>
        <v>1738</v>
      </c>
      <c r="U84" s="93">
        <f t="shared" si="361"/>
        <v>8887</v>
      </c>
      <c r="V84" s="92">
        <f t="shared" si="362"/>
        <v>12684</v>
      </c>
    </row>
    <row r="85" ht="15" customHeight="1" outlineLevel="1">
      <c r="A85" t="s">
        <v>177</v>
      </c>
      <c r="B85" t="s">
        <v>178</v>
      </c>
      <c r="C85" s="34" t="s">
        <v>179</v>
      </c>
      <c r="D85" s="35" t="s">
        <v>178</v>
      </c>
      <c r="E85" s="63">
        <f>SUMIF('2024 AC'!$B$3:$B$250,"*"&amp;$D85&amp;"*",'2024 AC'!C$3:C$250)</f>
        <v>0</v>
      </c>
      <c r="F85" s="53">
        <f>SUMIF('2024 AC'!$B$3:$B$250,"*"&amp;$D85&amp;"*",'2024 AC'!D$3:D$250)</f>
        <v>0</v>
      </c>
      <c r="G85" s="53">
        <f>SUMIF('2024 AC'!$B$3:$B$250,"*"&amp;$D85&amp;"*",'2024 AC'!E$3:E$250)</f>
        <v>0</v>
      </c>
      <c r="H85" s="53">
        <f>SUMIF('2024 AC'!$B$3:$B$250,"*"&amp;$D85&amp;"*",'2024 AC'!F$3:F$250)</f>
        <v>0</v>
      </c>
      <c r="I85" s="53">
        <f>SUMIF('2024 AC'!$B$3:$B$250,"*"&amp;$D85&amp;"*",'2024 AC'!G$3:G$250)</f>
        <v>0</v>
      </c>
      <c r="J85" s="53">
        <f>SUMIF('2024 AC'!$B$3:$B$250,"*"&amp;$D85&amp;"*",'2024 AC'!H$3:H$250)</f>
        <v>0</v>
      </c>
      <c r="K85" s="53">
        <f>SUMIF('2024 AC'!$B$3:$B$250,"*"&amp;$D85&amp;"*",'2024 AC'!I$3:I$250)</f>
        <v>0</v>
      </c>
      <c r="L85" s="53">
        <f>SUMIF('2024 AC'!$B$3:$B$250,"*"&amp;$D85&amp;"*",'2024 AC'!J$3:J$250)</f>
        <v>705.60000000000002</v>
      </c>
      <c r="M85" s="53">
        <f>SUMIF('2024 AC'!$B$3:$B$250,"*"&amp;$D85&amp;"*",'2024 AC'!K$3:K$250)</f>
        <v>705.60000000000002</v>
      </c>
      <c r="N85" s="53">
        <f>SUMIF('2024 AC'!$B$3:$B$250,"*"&amp;$D85&amp;"*",'2024 AC'!L$3:L$250)</f>
        <v>0</v>
      </c>
      <c r="O85" s="53">
        <f>SUMIF('2024 AC'!$B$3:$B$250,"*"&amp;$D85&amp;"*",'2024 AC'!M$3:M$250)</f>
        <v>0</v>
      </c>
      <c r="P85" s="93">
        <f>SUMIF('2024 AC'!$B$3:$B$250,"*"&amp;$D85&amp;"*",'2024 AC'!N$3:N$250)</f>
        <v>0</v>
      </c>
      <c r="Q85" s="92">
        <f t="shared" si="357"/>
        <v>1411.2</v>
      </c>
      <c r="R85" s="93">
        <f t="shared" si="358"/>
        <v>0</v>
      </c>
      <c r="S85" s="93">
        <f t="shared" si="359"/>
        <v>0</v>
      </c>
      <c r="T85" s="93">
        <f t="shared" si="360"/>
        <v>1411.2</v>
      </c>
      <c r="U85" s="93">
        <f t="shared" si="361"/>
        <v>0</v>
      </c>
      <c r="V85" s="92">
        <f t="shared" si="362"/>
        <v>1411.2</v>
      </c>
    </row>
    <row r="86" ht="15" customHeight="1" outlineLevel="1">
      <c r="A86" t="s">
        <v>180</v>
      </c>
      <c r="B86" t="s">
        <v>181</v>
      </c>
      <c r="C86" s="34" t="s">
        <v>182</v>
      </c>
      <c r="D86" s="35" t="s">
        <v>181</v>
      </c>
      <c r="E86" s="63">
        <f>SUMIF('2024 AC'!$B$3:$B$250,"*"&amp;$D86&amp;"*",'2024 AC'!C$3:C$250)</f>
        <v>0</v>
      </c>
      <c r="F86" s="53">
        <f>SUMIF('2024 AC'!$B$3:$B$250,"*"&amp;$D86&amp;"*",'2024 AC'!D$3:D$250)</f>
        <v>0</v>
      </c>
      <c r="G86" s="53">
        <f>SUMIF('2024 AC'!$B$3:$B$250,"*"&amp;$D86&amp;"*",'2024 AC'!E$3:E$250)</f>
        <v>0</v>
      </c>
      <c r="H86" s="53">
        <f>SUMIF('2024 AC'!$B$3:$B$250,"*"&amp;$D86&amp;"*",'2024 AC'!F$3:F$250)</f>
        <v>0</v>
      </c>
      <c r="I86" s="53">
        <f>SUMIF('2024 AC'!$B$3:$B$250,"*"&amp;$D86&amp;"*",'2024 AC'!G$3:G$250)</f>
        <v>0</v>
      </c>
      <c r="J86" s="53">
        <f>SUMIF('2024 AC'!$B$3:$B$250,"*"&amp;$D86&amp;"*",'2024 AC'!H$3:H$250)</f>
        <v>0</v>
      </c>
      <c r="K86" s="53">
        <f>SUMIF('2024 AC'!$B$3:$B$250,"*"&amp;$D86&amp;"*",'2024 AC'!I$3:I$250)</f>
        <v>0</v>
      </c>
      <c r="L86" s="53">
        <f>SUMIF('2024 AC'!$B$3:$B$250,"*"&amp;$D86&amp;"*",'2024 AC'!J$3:J$250)</f>
        <v>0</v>
      </c>
      <c r="M86" s="53">
        <f>SUMIF('2024 AC'!$B$3:$B$250,"*"&amp;$D86&amp;"*",'2024 AC'!K$3:K$250)</f>
        <v>0</v>
      </c>
      <c r="N86" s="53">
        <f>SUMIF('2024 AC'!$B$3:$B$250,"*"&amp;$D86&amp;"*",'2024 AC'!L$3:L$250)</f>
        <v>0</v>
      </c>
      <c r="O86" s="53">
        <f>SUMIF('2024 AC'!$B$3:$B$250,"*"&amp;$D86&amp;"*",'2024 AC'!M$3:M$250)</f>
        <v>0</v>
      </c>
      <c r="P86" s="93">
        <f>SUMIF('2024 AC'!$B$3:$B$250,"*"&amp;$D86&amp;"*",'2024 AC'!N$3:N$250)</f>
        <v>0</v>
      </c>
      <c r="Q86" s="92">
        <f t="shared" si="357"/>
        <v>0</v>
      </c>
      <c r="R86" s="93">
        <f t="shared" si="358"/>
        <v>0</v>
      </c>
      <c r="S86" s="93">
        <f t="shared" si="359"/>
        <v>0</v>
      </c>
      <c r="T86" s="93">
        <f t="shared" si="360"/>
        <v>0</v>
      </c>
      <c r="U86" s="93">
        <f t="shared" si="361"/>
        <v>0</v>
      </c>
      <c r="V86" s="92">
        <f t="shared" si="362"/>
        <v>0</v>
      </c>
    </row>
    <row r="87" ht="15" customHeight="1" outlineLevel="1">
      <c r="A87" t="s">
        <v>183</v>
      </c>
      <c r="B87" t="s">
        <v>184</v>
      </c>
      <c r="C87" s="34" t="s">
        <v>185</v>
      </c>
      <c r="D87" s="35" t="s">
        <v>184</v>
      </c>
      <c r="E87" s="63">
        <f>SUMIF('2024 AC'!$B$3:$B$250,"*"&amp;$D87&amp;"*",'2024 AC'!C$3:C$250)</f>
        <v>0</v>
      </c>
      <c r="F87" s="53">
        <f>SUMIF('2024 AC'!$B$3:$B$250,"*"&amp;$D87&amp;"*",'2024 AC'!D$3:D$250)</f>
        <v>0</v>
      </c>
      <c r="G87" s="53">
        <f>SUMIF('2024 AC'!$B$3:$B$250,"*"&amp;$D87&amp;"*",'2024 AC'!E$3:E$250)</f>
        <v>0</v>
      </c>
      <c r="H87" s="53">
        <f>SUMIF('2024 AC'!$B$3:$B$250,"*"&amp;$D87&amp;"*",'2024 AC'!F$3:F$250)</f>
        <v>0</v>
      </c>
      <c r="I87" s="53">
        <f>SUMIF('2024 AC'!$B$3:$B$250,"*"&amp;$D87&amp;"*",'2024 AC'!G$3:G$250)</f>
        <v>0</v>
      </c>
      <c r="J87" s="53">
        <f>SUMIF('2024 AC'!$B$3:$B$250,"*"&amp;$D87&amp;"*",'2024 AC'!H$3:H$250)</f>
        <v>0</v>
      </c>
      <c r="K87" s="53">
        <f>SUMIF('2024 AC'!$B$3:$B$250,"*"&amp;$D87&amp;"*",'2024 AC'!I$3:I$250)</f>
        <v>0</v>
      </c>
      <c r="L87" s="53">
        <f>SUMIF('2024 AC'!$B$3:$B$250,"*"&amp;$D87&amp;"*",'2024 AC'!J$3:J$250)</f>
        <v>0</v>
      </c>
      <c r="M87" s="53">
        <f>SUMIF('2024 AC'!$B$3:$B$250,"*"&amp;$D87&amp;"*",'2024 AC'!K$3:K$250)</f>
        <v>0</v>
      </c>
      <c r="N87" s="53">
        <f>SUMIF('2024 AC'!$B$3:$B$250,"*"&amp;$D87&amp;"*",'2024 AC'!L$3:L$250)</f>
        <v>0</v>
      </c>
      <c r="O87" s="53">
        <f>SUMIF('2024 AC'!$B$3:$B$250,"*"&amp;$D87&amp;"*",'2024 AC'!M$3:M$250)</f>
        <v>0</v>
      </c>
      <c r="P87" s="93">
        <f>SUMIF('2024 AC'!$B$3:$B$250,"*"&amp;$D87&amp;"*",'2024 AC'!N$3:N$250)</f>
        <v>0</v>
      </c>
      <c r="Q87" s="92">
        <f t="shared" si="357"/>
        <v>0</v>
      </c>
      <c r="R87" s="93">
        <f t="shared" si="358"/>
        <v>0</v>
      </c>
      <c r="S87" s="93">
        <f t="shared" si="359"/>
        <v>0</v>
      </c>
      <c r="T87" s="93">
        <f t="shared" si="360"/>
        <v>0</v>
      </c>
      <c r="U87" s="93">
        <f t="shared" si="361"/>
        <v>0</v>
      </c>
      <c r="V87" s="92">
        <f t="shared" si="362"/>
        <v>0</v>
      </c>
    </row>
    <row r="88" ht="15" customHeight="1" outlineLevel="1">
      <c r="A88" t="s">
        <v>186</v>
      </c>
      <c r="B88" t="s">
        <v>187</v>
      </c>
      <c r="C88" s="160" t="s">
        <v>188</v>
      </c>
      <c r="D88" s="35" t="s">
        <v>187</v>
      </c>
      <c r="E88" s="63">
        <f>SUMIF('2024 AC'!$B$3:$B$250,"*"&amp;$D88&amp;"*",'2024 AC'!C$3:C$250)</f>
        <v>29788.529999999999</v>
      </c>
      <c r="F88" s="53">
        <f>SUMIF('2024 AC'!$B$3:$B$250,"*"&amp;$D88&amp;"*",'2024 AC'!D$3:D$250)</f>
        <v>29491.43</v>
      </c>
      <c r="G88" s="53">
        <f>SUMIF('2024 AC'!$B$3:$B$250,"*"&amp;$D88&amp;"*",'2024 AC'!E$3:E$250)</f>
        <v>55712.239999999998</v>
      </c>
      <c r="H88" s="53">
        <f>SUMIF('2024 AC'!$B$3:$B$250,"*"&amp;$D88&amp;"*",'2024 AC'!F$3:F$250)</f>
        <v>37724.129999999997</v>
      </c>
      <c r="I88" s="53">
        <f>SUMIF('2024 AC'!$B$3:$B$250,"*"&amp;$D88&amp;"*",'2024 AC'!G$3:G$250)</f>
        <v>41528.080000000002</v>
      </c>
      <c r="J88" s="53">
        <f>SUMIF('2024 AC'!$B$3:$B$250,"*"&amp;$D88&amp;"*",'2024 AC'!H$3:H$250)</f>
        <v>34919.510000000002</v>
      </c>
      <c r="K88" s="53">
        <f>SUMIF('2024 AC'!$B$3:$B$250,"*"&amp;$D88&amp;"*",'2024 AC'!I$3:I$250)</f>
        <v>34061.620000000003</v>
      </c>
      <c r="L88" s="53">
        <f>SUMIF('2024 AC'!$B$3:$B$250,"*"&amp;$D88&amp;"*",'2024 AC'!J$3:J$250)</f>
        <v>49193.620000000003</v>
      </c>
      <c r="M88" s="53">
        <f>SUMIF('2024 AC'!$B$3:$B$250,"*"&amp;$D88&amp;"*",'2024 AC'!K$3:K$250)</f>
        <v>36634.68</v>
      </c>
      <c r="N88" s="53">
        <f>SUMIF('2024 AC'!$B$3:$B$250,"*"&amp;$D88&amp;"*",'2024 AC'!L$3:L$250)</f>
        <v>36577.849999999999</v>
      </c>
      <c r="O88" s="53">
        <f>SUMIF('2024 AC'!$B$3:$B$250,"*"&amp;$D88&amp;"*",'2024 AC'!M$3:M$250)</f>
        <v>51528.5</v>
      </c>
      <c r="P88" s="93">
        <f>SUMIF('2024 AC'!$B$3:$B$250,"*"&amp;$D88&amp;"*",'2024 AC'!N$3:N$250)</f>
        <v>36482.510000000002</v>
      </c>
      <c r="Q88" s="92">
        <f t="shared" si="357"/>
        <v>473642.69999999995</v>
      </c>
      <c r="R88" s="93">
        <f t="shared" si="358"/>
        <v>114992.2</v>
      </c>
      <c r="S88" s="93">
        <f t="shared" si="359"/>
        <v>114171.72</v>
      </c>
      <c r="T88" s="93">
        <f t="shared" si="360"/>
        <v>119889.92000000001</v>
      </c>
      <c r="U88" s="93">
        <f t="shared" si="361"/>
        <v>124588.86000000002</v>
      </c>
      <c r="V88" s="92">
        <f t="shared" si="362"/>
        <v>473642.69999999995</v>
      </c>
    </row>
    <row r="89" ht="15" customHeight="1" outlineLevel="1">
      <c r="A89" t="s">
        <v>189</v>
      </c>
      <c r="B89" t="s">
        <v>190</v>
      </c>
      <c r="C89" s="52" t="s">
        <v>191</v>
      </c>
      <c r="D89" s="35" t="s">
        <v>190</v>
      </c>
      <c r="E89" s="63">
        <f>SUMIF('2024 AC'!$B$3:$B$250,"*"&amp;$D89&amp;"*",'2024 AC'!C$3:C$250)</f>
        <v>10073.780000000001</v>
      </c>
      <c r="F89" s="53">
        <f>SUMIF('2024 AC'!$B$3:$B$250,"*"&amp;$D89&amp;"*",'2024 AC'!D$3:D$250)</f>
        <v>15159.85</v>
      </c>
      <c r="G89" s="53">
        <f>SUMIF('2024 AC'!$B$3:$B$250,"*"&amp;$D89&amp;"*",'2024 AC'!E$3:E$250)</f>
        <v>21490.759999999998</v>
      </c>
      <c r="H89" s="53">
        <f>SUMIF('2024 AC'!$B$3:$B$250,"*"&amp;$D89&amp;"*",'2024 AC'!F$3:F$250)</f>
        <v>12407.459999999999</v>
      </c>
      <c r="I89" s="53">
        <f>SUMIF('2024 AC'!$B$3:$B$250,"*"&amp;$D89&amp;"*",'2024 AC'!G$3:G$250)</f>
        <v>10317.15</v>
      </c>
      <c r="J89" s="53">
        <f>SUMIF('2024 AC'!$B$3:$B$250,"*"&amp;$D89&amp;"*",'2024 AC'!H$3:H$250)</f>
        <v>0</v>
      </c>
      <c r="K89" s="53">
        <f>SUMIF('2024 AC'!$B$3:$B$250,"*"&amp;$D89&amp;"*",'2024 AC'!I$3:I$250)</f>
        <v>0</v>
      </c>
      <c r="L89" s="53">
        <f>SUMIF('2024 AC'!$B$3:$B$250,"*"&amp;$D89&amp;"*",'2024 AC'!J$3:J$250)</f>
        <v>0</v>
      </c>
      <c r="M89" s="53">
        <f>SUMIF('2024 AC'!$B$3:$B$250,"*"&amp;$D89&amp;"*",'2024 AC'!K$3:K$250)</f>
        <v>0</v>
      </c>
      <c r="N89" s="53">
        <f>SUMIF('2024 AC'!$B$3:$B$250,"*"&amp;$D89&amp;"*",'2024 AC'!L$3:L$250)</f>
        <v>0</v>
      </c>
      <c r="O89" s="53">
        <f>SUMIF('2024 AC'!$B$3:$B$250,"*"&amp;$D89&amp;"*",'2024 AC'!M$3:M$250)</f>
        <v>0</v>
      </c>
      <c r="P89" s="93">
        <f>SUMIF('2024 AC'!$B$3:$B$250,"*"&amp;$D89&amp;"*",'2024 AC'!N$3:N$250)</f>
        <v>0</v>
      </c>
      <c r="Q89" s="92">
        <f t="shared" si="357"/>
        <v>69449</v>
      </c>
      <c r="R89" s="93">
        <f t="shared" si="358"/>
        <v>46724.389999999999</v>
      </c>
      <c r="S89" s="93">
        <f t="shared" si="359"/>
        <v>22724.610000000001</v>
      </c>
      <c r="T89" s="93">
        <f t="shared" si="360"/>
        <v>0</v>
      </c>
      <c r="U89" s="93">
        <f t="shared" si="361"/>
        <v>0</v>
      </c>
      <c r="V89" s="92">
        <f t="shared" si="362"/>
        <v>69449</v>
      </c>
    </row>
    <row r="90" ht="15" customHeight="1" outlineLevel="1">
      <c r="A90" t="s">
        <v>192</v>
      </c>
      <c r="B90" t="s">
        <v>193</v>
      </c>
      <c r="C90" s="52" t="s">
        <v>194</v>
      </c>
      <c r="D90" s="35" t="s">
        <v>193</v>
      </c>
      <c r="E90" s="63">
        <f>SUMIF('2024 AC'!$B$3:$B$250,"*"&amp;$D90&amp;"*",'2024 AC'!C$3:C$250)</f>
        <v>393.94999999999999</v>
      </c>
      <c r="F90" s="53">
        <f>SUMIF('2024 AC'!$B$3:$B$250,"*"&amp;$D90&amp;"*",'2024 AC'!D$3:D$250)</f>
        <v>175.69999999999999</v>
      </c>
      <c r="G90" s="53">
        <f>SUMIF('2024 AC'!$B$3:$B$250,"*"&amp;$D90&amp;"*",'2024 AC'!E$3:E$250)</f>
        <v>877.63999999999999</v>
      </c>
      <c r="H90" s="53">
        <f>SUMIF('2024 AC'!$B$3:$B$250,"*"&amp;$D90&amp;"*",'2024 AC'!F$3:F$250)</f>
        <v>1297.3699999999999</v>
      </c>
      <c r="I90" s="53">
        <f>SUMIF('2024 AC'!$B$3:$B$250,"*"&amp;$D90&amp;"*",'2024 AC'!G$3:G$250)</f>
        <v>1411.6500000000001</v>
      </c>
      <c r="J90" s="53">
        <f>SUMIF('2024 AC'!$B$3:$B$250,"*"&amp;$D90&amp;"*",'2024 AC'!H$3:H$250)</f>
        <v>1082.78</v>
      </c>
      <c r="K90" s="53">
        <f>SUMIF('2024 AC'!$B$3:$B$250,"*"&amp;$D90&amp;"*",'2024 AC'!I$3:I$250)</f>
        <v>143.38</v>
      </c>
      <c r="L90" s="53">
        <f>SUMIF('2024 AC'!$B$3:$B$250,"*"&amp;$D90&amp;"*",'2024 AC'!J$3:J$250)</f>
        <v>481.13999999999999</v>
      </c>
      <c r="M90" s="53">
        <f>SUMIF('2024 AC'!$B$3:$B$250,"*"&amp;$D90&amp;"*",'2024 AC'!K$3:K$250)</f>
        <v>166.80000000000001</v>
      </c>
      <c r="N90" s="53">
        <f>SUMIF('2024 AC'!$B$3:$B$250,"*"&amp;$D90&amp;"*",'2024 AC'!L$3:L$250)</f>
        <v>172.37</v>
      </c>
      <c r="O90" s="53">
        <f>SUMIF('2024 AC'!$B$3:$B$250,"*"&amp;$D90&amp;"*",'2024 AC'!M$3:M$250)</f>
        <v>360.33999999999997</v>
      </c>
      <c r="P90" s="93">
        <f>SUMIF('2024 AC'!$B$3:$B$250,"*"&amp;$D90&amp;"*",'2024 AC'!N$3:N$250)</f>
        <v>1183.3099999999999</v>
      </c>
      <c r="Q90" s="92">
        <f t="shared" si="357"/>
        <v>7746.4300000000003</v>
      </c>
      <c r="R90" s="93">
        <f t="shared" si="358"/>
        <v>1447.29</v>
      </c>
      <c r="S90" s="93">
        <f t="shared" si="359"/>
        <v>3791.8000000000002</v>
      </c>
      <c r="T90" s="93">
        <f t="shared" si="360"/>
        <v>791.31999999999994</v>
      </c>
      <c r="U90" s="93">
        <f t="shared" si="361"/>
        <v>1716.02</v>
      </c>
      <c r="V90" s="92">
        <f t="shared" si="362"/>
        <v>7746.4300000000003</v>
      </c>
    </row>
    <row r="91" ht="15" customHeight="1" outlineLevel="1">
      <c r="A91" t="s">
        <v>195</v>
      </c>
      <c r="B91" t="s">
        <v>196</v>
      </c>
      <c r="C91" s="34" t="s">
        <v>197</v>
      </c>
      <c r="D91" s="35" t="s">
        <v>196</v>
      </c>
      <c r="E91" s="63">
        <f>SUMIF('2024 AC'!$B$3:$B$250,"*"&amp;$D91&amp;"*",'2024 AC'!C$3:C$250)</f>
        <v>0</v>
      </c>
      <c r="F91" s="53">
        <f>SUMIF('2024 AC'!$B$3:$B$250,"*"&amp;$D91&amp;"*",'2024 AC'!D$3:D$250)</f>
        <v>0</v>
      </c>
      <c r="G91" s="53">
        <f>SUMIF('2024 AC'!$B$3:$B$250,"*"&amp;$D91&amp;"*",'2024 AC'!E$3:E$250)</f>
        <v>0</v>
      </c>
      <c r="H91" s="53">
        <f>SUMIF('2024 AC'!$B$3:$B$250,"*"&amp;$D91&amp;"*",'2024 AC'!F$3:F$250)</f>
        <v>0</v>
      </c>
      <c r="I91" s="53">
        <f>SUMIF('2024 AC'!$B$3:$B$250,"*"&amp;$D91&amp;"*",'2024 AC'!G$3:G$250)</f>
        <v>0</v>
      </c>
      <c r="J91" s="53">
        <f>SUMIF('2024 AC'!$B$3:$B$250,"*"&amp;$D91&amp;"*",'2024 AC'!H$3:H$250)</f>
        <v>0</v>
      </c>
      <c r="K91" s="53">
        <f>SUMIF('2024 AC'!$B$3:$B$250,"*"&amp;$D91&amp;"*",'2024 AC'!I$3:I$250)</f>
        <v>1750</v>
      </c>
      <c r="L91" s="53">
        <f>SUMIF('2024 AC'!$B$3:$B$250,"*"&amp;$D91&amp;"*",'2024 AC'!J$3:J$250)</f>
        <v>0</v>
      </c>
      <c r="M91" s="53">
        <f>SUMIF('2024 AC'!$B$3:$B$250,"*"&amp;$D91&amp;"*",'2024 AC'!K$3:K$250)</f>
        <v>363.14999999999998</v>
      </c>
      <c r="N91" s="53">
        <f>SUMIF('2024 AC'!$B$3:$B$250,"*"&amp;$D91&amp;"*",'2024 AC'!L$3:L$250)</f>
        <v>0</v>
      </c>
      <c r="O91" s="53">
        <f>SUMIF('2024 AC'!$B$3:$B$250,"*"&amp;$D91&amp;"*",'2024 AC'!M$3:M$250)</f>
        <v>0</v>
      </c>
      <c r="P91" s="93">
        <f>SUMIF('2024 AC'!$B$3:$B$250,"*"&amp;$D91&amp;"*",'2024 AC'!N$3:N$250)</f>
        <v>0</v>
      </c>
      <c r="Q91" s="92">
        <f t="shared" si="357"/>
        <v>2113.1500000000001</v>
      </c>
      <c r="R91" s="93">
        <f t="shared" si="358"/>
        <v>0</v>
      </c>
      <c r="S91" s="93">
        <f t="shared" si="359"/>
        <v>0</v>
      </c>
      <c r="T91" s="93">
        <f t="shared" si="360"/>
        <v>2113.1500000000001</v>
      </c>
      <c r="U91" s="93">
        <f t="shared" si="361"/>
        <v>0</v>
      </c>
      <c r="V91" s="92">
        <f t="shared" si="362"/>
        <v>2113.1500000000001</v>
      </c>
    </row>
    <row r="92" s="137" customFormat="1" ht="15" customHeight="1">
      <c r="A92" s="137" t="s">
        <v>198</v>
      </c>
      <c r="B92" s="137" t="s">
        <v>199</v>
      </c>
      <c r="C92" s="173" t="s">
        <v>200</v>
      </c>
      <c r="D92" s="139" t="s">
        <v>199</v>
      </c>
      <c r="E92" s="145">
        <f>SUMIF('2024 AC'!$B$3:$B$250,"*"&amp;$D92&amp;"*",'2024 AC'!C$3:C$250)</f>
        <v>0</v>
      </c>
      <c r="F92" s="146">
        <f>SUMIF('2024 AC'!$B$3:$B$250,"*"&amp;$D92&amp;"*",'2024 AC'!D$3:D$250)</f>
        <v>3880</v>
      </c>
      <c r="G92" s="146">
        <f>SUMIF('2024 AC'!$B$3:$B$250,"*"&amp;$D92&amp;"*",'2024 AC'!E$3:E$250)</f>
        <v>3880</v>
      </c>
      <c r="H92" s="146">
        <f>SUMIF('2024 AC'!$B$3:$B$250,"*"&amp;$D92&amp;"*",'2024 AC'!F$3:F$250)</f>
        <v>0</v>
      </c>
      <c r="I92" s="146">
        <f>SUMIF('2024 AC'!$B$3:$B$250,"*"&amp;$D92&amp;"*",'2024 AC'!G$3:G$250)</f>
        <v>3880</v>
      </c>
      <c r="J92" s="146">
        <f>SUMIF('2024 AC'!$B$3:$B$250,"*"&amp;$D92&amp;"*",'2024 AC'!H$3:H$250)</f>
        <v>0</v>
      </c>
      <c r="K92" s="146">
        <f>SUMIF('2024 AC'!$B$3:$B$250,"*"&amp;$D92&amp;"*",'2024 AC'!I$3:I$250)</f>
        <v>0</v>
      </c>
      <c r="L92" s="146">
        <f>SUMIF('2024 AC'!$B$3:$B$250,"*"&amp;$D92&amp;"*",'2024 AC'!J$3:J$250)</f>
        <v>5820</v>
      </c>
      <c r="M92" s="146">
        <f>SUMIF('2024 AC'!$B$3:$B$250,"*"&amp;$D92&amp;"*",'2024 AC'!K$3:K$250)</f>
        <v>1940</v>
      </c>
      <c r="N92" s="146">
        <f>SUMIF('2024 AC'!$B$3:$B$250,"*"&amp;$D92&amp;"*",'2024 AC'!L$3:L$250)</f>
        <v>1940</v>
      </c>
      <c r="O92" s="146">
        <f>SUMIF('2024 AC'!$B$3:$B$250,"*"&amp;$D92&amp;"*",'2024 AC'!M$3:M$250)</f>
        <v>0</v>
      </c>
      <c r="P92" s="147">
        <f>SUMIF('2024 AC'!$B$3:$B$250,"*"&amp;$D92&amp;"*",'2024 AC'!N$3:N$250)</f>
        <v>0</v>
      </c>
      <c r="Q92" s="148">
        <f t="shared" si="357"/>
        <v>21340</v>
      </c>
      <c r="R92" s="147">
        <f t="shared" si="358"/>
        <v>7760</v>
      </c>
      <c r="S92" s="147">
        <f t="shared" si="359"/>
        <v>3880</v>
      </c>
      <c r="T92" s="147">
        <f t="shared" si="360"/>
        <v>7760</v>
      </c>
      <c r="U92" s="147">
        <f t="shared" si="361"/>
        <v>1940</v>
      </c>
      <c r="V92" s="148">
        <f t="shared" si="362"/>
        <v>21340</v>
      </c>
    </row>
    <row r="93" ht="15" customHeight="1" outlineLevel="1">
      <c r="A93" t="s">
        <v>201</v>
      </c>
      <c r="B93" t="s">
        <v>202</v>
      </c>
      <c r="C93" s="34" t="s">
        <v>200</v>
      </c>
      <c r="D93" s="35" t="s">
        <v>202</v>
      </c>
      <c r="E93" s="63">
        <f>SUMIF('2024 AC'!$B$3:$B$250,"*"&amp;$D93&amp;"*",'2024 AC'!C$3:C$250)</f>
        <v>0</v>
      </c>
      <c r="F93" s="53">
        <f>SUMIF('2024 AC'!$B$3:$B$250,"*"&amp;$D93&amp;"*",'2024 AC'!D$3:D$250)</f>
        <v>3880</v>
      </c>
      <c r="G93" s="53">
        <f>SUMIF('2024 AC'!$B$3:$B$250,"*"&amp;$D93&amp;"*",'2024 AC'!E$3:E$250)</f>
        <v>3880</v>
      </c>
      <c r="H93" s="53">
        <f>SUMIF('2024 AC'!$B$3:$B$250,"*"&amp;$D93&amp;"*",'2024 AC'!F$3:F$250)</f>
        <v>0</v>
      </c>
      <c r="I93" s="53">
        <f>SUMIF('2024 AC'!$B$3:$B$250,"*"&amp;$D93&amp;"*",'2024 AC'!G$3:G$250)</f>
        <v>3880</v>
      </c>
      <c r="J93" s="53">
        <f>SUMIF('2024 AC'!$B$3:$B$250,"*"&amp;$D93&amp;"*",'2024 AC'!H$3:H$250)</f>
        <v>0</v>
      </c>
      <c r="K93" s="53">
        <f>SUMIF('2024 AC'!$B$3:$B$250,"*"&amp;$D93&amp;"*",'2024 AC'!I$3:I$250)</f>
        <v>0</v>
      </c>
      <c r="L93" s="53">
        <f>SUMIF('2024 AC'!$B$3:$B$250,"*"&amp;$D93&amp;"*",'2024 AC'!J$3:J$250)</f>
        <v>5820</v>
      </c>
      <c r="M93" s="53">
        <f>SUMIF('2024 AC'!$B$3:$B$250,"*"&amp;$D93&amp;"*",'2024 AC'!K$3:K$250)</f>
        <v>1940</v>
      </c>
      <c r="N93" s="53">
        <f>SUMIF('2024 AC'!$B$3:$B$250,"*"&amp;$D93&amp;"*",'2024 AC'!L$3:L$250)</f>
        <v>1940</v>
      </c>
      <c r="O93" s="53">
        <f>SUMIF('2024 AC'!$B$3:$B$250,"*"&amp;$D93&amp;"*",'2024 AC'!M$3:M$250)</f>
        <v>0</v>
      </c>
      <c r="P93" s="93">
        <f>SUMIF('2024 AC'!$B$3:$B$250,"*"&amp;$D93&amp;"*",'2024 AC'!N$3:N$250)</f>
        <v>0</v>
      </c>
      <c r="Q93" s="92">
        <f t="shared" si="357"/>
        <v>21340</v>
      </c>
      <c r="R93" s="93">
        <f t="shared" si="358"/>
        <v>7760</v>
      </c>
      <c r="S93" s="93">
        <f t="shared" si="359"/>
        <v>3880</v>
      </c>
      <c r="T93" s="93">
        <f t="shared" si="360"/>
        <v>7760</v>
      </c>
      <c r="U93" s="93">
        <f t="shared" si="361"/>
        <v>1940</v>
      </c>
      <c r="V93" s="92">
        <f t="shared" si="362"/>
        <v>21340</v>
      </c>
    </row>
    <row r="94" s="137" customFormat="1" ht="15" customHeight="1">
      <c r="A94" s="137" t="s">
        <v>203</v>
      </c>
      <c r="B94" s="137" t="s">
        <v>204</v>
      </c>
      <c r="C94" s="187" t="s">
        <v>205</v>
      </c>
      <c r="D94" s="139" t="s">
        <v>204</v>
      </c>
      <c r="E94" s="145">
        <f>SUMIF('2024 AC'!$B$3:$B$250,"*"&amp;$D94&amp;"*",'2024 AC'!C$3:C$250)</f>
        <v>0</v>
      </c>
      <c r="F94" s="146">
        <f>SUMIF('2024 AC'!$B$3:$B$250,"*"&amp;$D94&amp;"*",'2024 AC'!D$3:D$250)</f>
        <v>0</v>
      </c>
      <c r="G94" s="146">
        <f>SUMIF('2024 AC'!$B$3:$B$250,"*"&amp;$D94&amp;"*",'2024 AC'!E$3:E$250)</f>
        <v>0</v>
      </c>
      <c r="H94" s="146">
        <f>SUMIF('2024 AC'!$B$3:$B$250,"*"&amp;$D94&amp;"*",'2024 AC'!F$3:F$250)</f>
        <v>0</v>
      </c>
      <c r="I94" s="146">
        <f>SUMIF('2024 AC'!$B$3:$B$250,"*"&amp;$D94&amp;"*",'2024 AC'!G$3:G$250)</f>
        <v>0</v>
      </c>
      <c r="J94" s="146">
        <f>SUMIF('2024 AC'!$B$3:$B$250,"*"&amp;$D94&amp;"*",'2024 AC'!H$3:H$250)</f>
        <v>0</v>
      </c>
      <c r="K94" s="146">
        <f>SUMIF('2024 AC'!$B$3:$B$250,"*"&amp;$D94&amp;"*",'2024 AC'!I$3:I$250)</f>
        <v>0</v>
      </c>
      <c r="L94" s="146">
        <f>SUMIF('2024 AC'!$B$3:$B$250,"*"&amp;$D94&amp;"*",'2024 AC'!J$3:J$250)</f>
        <v>0</v>
      </c>
      <c r="M94" s="146">
        <f>SUMIF('2024 AC'!$B$3:$B$250,"*"&amp;$D94&amp;"*",'2024 AC'!K$3:K$250)</f>
        <v>0</v>
      </c>
      <c r="N94" s="146">
        <f>SUMIF('2024 AC'!$B$3:$B$250,"*"&amp;$D94&amp;"*",'2024 AC'!L$3:L$250)</f>
        <v>0</v>
      </c>
      <c r="O94" s="146">
        <f>SUMIF('2024 AC'!$B$3:$B$250,"*"&amp;$D94&amp;"*",'2024 AC'!M$3:M$250)</f>
        <v>0</v>
      </c>
      <c r="P94" s="147">
        <f>SUMIF('2024 AC'!$B$3:$B$250,"*"&amp;$D94&amp;"*",'2024 AC'!N$3:N$250)</f>
        <v>0</v>
      </c>
      <c r="Q94" s="148">
        <f t="shared" si="357"/>
        <v>0</v>
      </c>
      <c r="R94" s="147">
        <f t="shared" si="358"/>
        <v>0</v>
      </c>
      <c r="S94" s="147">
        <f t="shared" si="359"/>
        <v>0</v>
      </c>
      <c r="T94" s="147">
        <f t="shared" si="360"/>
        <v>0</v>
      </c>
      <c r="U94" s="147">
        <f t="shared" si="361"/>
        <v>0</v>
      </c>
      <c r="V94" s="148">
        <f t="shared" si="362"/>
        <v>0</v>
      </c>
    </row>
    <row r="95" s="137" customFormat="1" ht="15" customHeight="1">
      <c r="A95" s="137" t="s">
        <v>206</v>
      </c>
      <c r="B95" s="137" t="s">
        <v>207</v>
      </c>
      <c r="C95" s="187" t="s">
        <v>208</v>
      </c>
      <c r="D95" s="139" t="s">
        <v>207</v>
      </c>
      <c r="E95" s="145">
        <f>SUMIF('2024 AC'!$B$3:$B$250,"*"&amp;$D95&amp;"*",'2024 AC'!C$3:C$250)</f>
        <v>0</v>
      </c>
      <c r="F95" s="146">
        <f>SUMIF('2024 AC'!$B$3:$B$250,"*"&amp;$D95&amp;"*",'2024 AC'!D$3:D$250)</f>
        <v>0</v>
      </c>
      <c r="G95" s="146">
        <f>SUMIF('2024 AC'!$B$3:$B$250,"*"&amp;$D95&amp;"*",'2024 AC'!E$3:E$250)</f>
        <v>0</v>
      </c>
      <c r="H95" s="146">
        <f>SUMIF('2024 AC'!$B$3:$B$250,"*"&amp;$D95&amp;"*",'2024 AC'!F$3:F$250)</f>
        <v>0</v>
      </c>
      <c r="I95" s="146">
        <f>SUMIF('2024 AC'!$B$3:$B$250,"*"&amp;$D95&amp;"*",'2024 AC'!G$3:G$250)</f>
        <v>0</v>
      </c>
      <c r="J95" s="146">
        <f>SUMIF('2024 AC'!$B$3:$B$250,"*"&amp;$D95&amp;"*",'2024 AC'!H$3:H$250)</f>
        <v>0</v>
      </c>
      <c r="K95" s="146">
        <f>SUMIF('2024 AC'!$B$3:$B$250,"*"&amp;$D95&amp;"*",'2024 AC'!I$3:I$250)</f>
        <v>0</v>
      </c>
      <c r="L95" s="146">
        <f>SUMIF('2024 AC'!$B$3:$B$250,"*"&amp;$D95&amp;"*",'2024 AC'!J$3:J$250)</f>
        <v>0</v>
      </c>
      <c r="M95" s="146">
        <f>SUMIF('2024 AC'!$B$3:$B$250,"*"&amp;$D95&amp;"*",'2024 AC'!K$3:K$250)</f>
        <v>0</v>
      </c>
      <c r="N95" s="146">
        <f>SUMIF('2024 AC'!$B$3:$B$250,"*"&amp;$D95&amp;"*",'2024 AC'!L$3:L$250)</f>
        <v>0</v>
      </c>
      <c r="O95" s="146">
        <f>SUMIF('2024 AC'!$B$3:$B$250,"*"&amp;$D95&amp;"*",'2024 AC'!M$3:M$250)</f>
        <v>0</v>
      </c>
      <c r="P95" s="147">
        <f>SUMIF('2024 AC'!$B$3:$B$250,"*"&amp;$D95&amp;"*",'2024 AC'!N$3:N$250)</f>
        <v>0</v>
      </c>
      <c r="Q95" s="148">
        <f t="shared" si="357"/>
        <v>0</v>
      </c>
      <c r="R95" s="147">
        <f t="shared" si="358"/>
        <v>0</v>
      </c>
      <c r="S95" s="147">
        <f t="shared" si="359"/>
        <v>0</v>
      </c>
      <c r="T95" s="147">
        <f t="shared" si="360"/>
        <v>0</v>
      </c>
      <c r="U95" s="147">
        <f t="shared" si="361"/>
        <v>0</v>
      </c>
      <c r="V95" s="148">
        <f t="shared" si="362"/>
        <v>0</v>
      </c>
    </row>
    <row r="96" s="137" customFormat="1" ht="15" customHeight="1">
      <c r="A96" s="137" t="s">
        <v>209</v>
      </c>
      <c r="B96" s="137" t="s">
        <v>210</v>
      </c>
      <c r="C96" s="187" t="s">
        <v>211</v>
      </c>
      <c r="D96" s="139" t="s">
        <v>210</v>
      </c>
      <c r="E96" s="145">
        <f>SUMIF('2024 AC'!$B$3:$B$250,"*"&amp;$D96&amp;"*",'2024 AC'!C$3:C$250)</f>
        <v>0</v>
      </c>
      <c r="F96" s="146">
        <f>SUMIF('2024 AC'!$B$3:$B$250,"*"&amp;$D96&amp;"*",'2024 AC'!D$3:D$250)</f>
        <v>0</v>
      </c>
      <c r="G96" s="146">
        <f>SUMIF('2024 AC'!$B$3:$B$250,"*"&amp;$D96&amp;"*",'2024 AC'!E$3:E$250)</f>
        <v>0</v>
      </c>
      <c r="H96" s="146">
        <f>SUMIF('2024 AC'!$B$3:$B$250,"*"&amp;$D96&amp;"*",'2024 AC'!F$3:F$250)</f>
        <v>0</v>
      </c>
      <c r="I96" s="146">
        <f>SUMIF('2024 AC'!$B$3:$B$250,"*"&amp;$D96&amp;"*",'2024 AC'!G$3:G$250)</f>
        <v>0</v>
      </c>
      <c r="J96" s="146">
        <f>SUMIF('2024 AC'!$B$3:$B$250,"*"&amp;$D96&amp;"*",'2024 AC'!H$3:H$250)</f>
        <v>0</v>
      </c>
      <c r="K96" s="146">
        <f>SUMIF('2024 AC'!$B$3:$B$250,"*"&amp;$D96&amp;"*",'2024 AC'!I$3:I$250)</f>
        <v>0</v>
      </c>
      <c r="L96" s="146">
        <f>SUMIF('2024 AC'!$B$3:$B$250,"*"&amp;$D96&amp;"*",'2024 AC'!J$3:J$250)</f>
        <v>0</v>
      </c>
      <c r="M96" s="146">
        <f>SUMIF('2024 AC'!$B$3:$B$250,"*"&amp;$D96&amp;"*",'2024 AC'!K$3:K$250)</f>
        <v>0</v>
      </c>
      <c r="N96" s="146">
        <f>SUMIF('2024 AC'!$B$3:$B$250,"*"&amp;$D96&amp;"*",'2024 AC'!L$3:L$250)</f>
        <v>0</v>
      </c>
      <c r="O96" s="146">
        <f>SUMIF('2024 AC'!$B$3:$B$250,"*"&amp;$D96&amp;"*",'2024 AC'!M$3:M$250)</f>
        <v>0</v>
      </c>
      <c r="P96" s="147">
        <f>SUMIF('2024 AC'!$B$3:$B$250,"*"&amp;$D96&amp;"*",'2024 AC'!N$3:N$250)</f>
        <v>0</v>
      </c>
      <c r="Q96" s="148">
        <f t="shared" si="357"/>
        <v>0</v>
      </c>
      <c r="R96" s="147">
        <f t="shared" si="358"/>
        <v>0</v>
      </c>
      <c r="S96" s="147">
        <f t="shared" si="359"/>
        <v>0</v>
      </c>
      <c r="T96" s="147">
        <f t="shared" si="360"/>
        <v>0</v>
      </c>
      <c r="U96" s="147">
        <f t="shared" si="361"/>
        <v>0</v>
      </c>
      <c r="V96" s="148">
        <f t="shared" si="362"/>
        <v>0</v>
      </c>
    </row>
    <row r="97" s="137" customFormat="1" ht="15" customHeight="1">
      <c r="A97" s="137" t="s">
        <v>212</v>
      </c>
      <c r="B97" s="137" t="s">
        <v>213</v>
      </c>
      <c r="C97" s="187" t="s">
        <v>214</v>
      </c>
      <c r="D97" s="139" t="s">
        <v>213</v>
      </c>
      <c r="E97" s="145">
        <f>SUMIF('2024 AC'!$B$3:$B$250,"*"&amp;$D97&amp;"*",'2024 AC'!C$3:C$250)</f>
        <v>2331.1700000000001</v>
      </c>
      <c r="F97" s="146">
        <f>SUMIF('2024 AC'!$B$3:$B$250,"*"&amp;$D97&amp;"*",'2024 AC'!D$3:D$250)</f>
        <v>3403.6199999999999</v>
      </c>
      <c r="G97" s="146">
        <f>SUMIF('2024 AC'!$B$3:$B$250,"*"&amp;$D97&amp;"*",'2024 AC'!E$3:E$250)</f>
        <v>2353.1999999999998</v>
      </c>
      <c r="H97" s="146">
        <f>SUMIF('2024 AC'!$B$3:$B$250,"*"&amp;$D97&amp;"*",'2024 AC'!F$3:F$250)</f>
        <v>2047.9300000000001</v>
      </c>
      <c r="I97" s="146">
        <f>SUMIF('2024 AC'!$B$3:$B$250,"*"&amp;$D97&amp;"*",'2024 AC'!G$3:G$250)</f>
        <v>3144.9200000000001</v>
      </c>
      <c r="J97" s="146">
        <f>SUMIF('2024 AC'!$B$3:$B$250,"*"&amp;$D97&amp;"*",'2024 AC'!H$3:H$250)</f>
        <v>2642.8000000000002</v>
      </c>
      <c r="K97" s="146">
        <f>SUMIF('2024 AC'!$B$3:$B$250,"*"&amp;$D97&amp;"*",'2024 AC'!I$3:I$250)</f>
        <v>3805.5999999999999</v>
      </c>
      <c r="L97" s="146">
        <f>SUMIF('2024 AC'!$B$3:$B$250,"*"&amp;$D97&amp;"*",'2024 AC'!J$3:J$250)</f>
        <v>3858.8699999999999</v>
      </c>
      <c r="M97" s="146">
        <f>SUMIF('2024 AC'!$B$3:$B$250,"*"&amp;$D97&amp;"*",'2024 AC'!K$3:K$250)</f>
        <v>4449.8400000000001</v>
      </c>
      <c r="N97" s="146">
        <f>SUMIF('2024 AC'!$B$3:$B$250,"*"&amp;$D97&amp;"*",'2024 AC'!L$3:L$250)</f>
        <v>3181.7399999999998</v>
      </c>
      <c r="O97" s="146">
        <f>SUMIF('2024 AC'!$B$3:$B$250,"*"&amp;$D97&amp;"*",'2024 AC'!M$3:M$250)</f>
        <v>3206.3499999999999</v>
      </c>
      <c r="P97" s="147">
        <f>SUMIF('2024 AC'!$B$3:$B$250,"*"&amp;$D97&amp;"*",'2024 AC'!N$3:N$250)</f>
        <v>5495.4799999999996</v>
      </c>
      <c r="Q97" s="148">
        <f t="shared" si="357"/>
        <v>39921.51999999999</v>
      </c>
      <c r="R97" s="147">
        <f t="shared" si="358"/>
        <v>8087.9899999999998</v>
      </c>
      <c r="S97" s="147">
        <f t="shared" si="359"/>
        <v>7835.6500000000005</v>
      </c>
      <c r="T97" s="147">
        <f t="shared" si="360"/>
        <v>12114.309999999999</v>
      </c>
      <c r="U97" s="147">
        <f t="shared" si="361"/>
        <v>11883.57</v>
      </c>
      <c r="V97" s="148">
        <f t="shared" si="362"/>
        <v>39921.519999999997</v>
      </c>
    </row>
    <row r="98" ht="15" customHeight="1" outlineLevel="1">
      <c r="A98" t="s">
        <v>215</v>
      </c>
      <c r="B98" t="s">
        <v>216</v>
      </c>
      <c r="C98" s="34" t="s">
        <v>217</v>
      </c>
      <c r="D98" s="35" t="s">
        <v>216</v>
      </c>
      <c r="E98" s="63">
        <f>SUMIF('2024 AC'!$B$3:$B$250,"*"&amp;$D98&amp;"*",'2024 AC'!C$3:C$250)</f>
        <v>2240.75</v>
      </c>
      <c r="F98" s="53">
        <f>SUMIF('2024 AC'!$B$3:$B$250,"*"&amp;$D98&amp;"*",'2024 AC'!D$3:D$250)</f>
        <v>2544.02</v>
      </c>
      <c r="G98" s="53">
        <f>SUMIF('2024 AC'!$B$3:$B$250,"*"&amp;$D98&amp;"*",'2024 AC'!E$3:E$250)</f>
        <v>2255.6399999999999</v>
      </c>
      <c r="H98" s="53">
        <f>SUMIF('2024 AC'!$B$3:$B$250,"*"&amp;$D98&amp;"*",'2024 AC'!F$3:F$250)</f>
        <v>1990.3599999999999</v>
      </c>
      <c r="I98" s="53">
        <f>SUMIF('2024 AC'!$B$3:$B$250,"*"&amp;$D98&amp;"*",'2024 AC'!G$3:G$250)</f>
        <v>2566.9400000000001</v>
      </c>
      <c r="J98" s="53">
        <f>SUMIF('2024 AC'!$B$3:$B$250,"*"&amp;$D98&amp;"*",'2024 AC'!H$3:H$250)</f>
        <v>2338.6900000000001</v>
      </c>
      <c r="K98" s="53">
        <f>SUMIF('2024 AC'!$B$3:$B$250,"*"&amp;$D98&amp;"*",'2024 AC'!I$3:I$250)</f>
        <v>3729.5799999999999</v>
      </c>
      <c r="L98" s="53">
        <f>SUMIF('2024 AC'!$B$3:$B$250,"*"&amp;$D98&amp;"*",'2024 AC'!J$3:J$250)</f>
        <v>3564.71</v>
      </c>
      <c r="M98" s="53">
        <f>SUMIF('2024 AC'!$B$3:$B$250,"*"&amp;$D98&amp;"*",'2024 AC'!K$3:K$250)</f>
        <v>3643.1100000000001</v>
      </c>
      <c r="N98" s="53">
        <f>SUMIF('2024 AC'!$B$3:$B$250,"*"&amp;$D98&amp;"*",'2024 AC'!L$3:L$250)</f>
        <v>2742.6300000000001</v>
      </c>
      <c r="O98" s="53">
        <f>SUMIF('2024 AC'!$B$3:$B$250,"*"&amp;$D98&amp;"*",'2024 AC'!M$3:M$250)</f>
        <v>3090.5999999999999</v>
      </c>
      <c r="P98" s="93">
        <f>SUMIF('2024 AC'!$B$3:$B$250,"*"&amp;$D98&amp;"*",'2024 AC'!N$3:N$250)</f>
        <v>5282.1700000000001</v>
      </c>
      <c r="Q98" s="92">
        <f t="shared" si="357"/>
        <v>35989.200000000004</v>
      </c>
      <c r="R98" s="93">
        <f t="shared" si="358"/>
        <v>7040.4099999999999</v>
      </c>
      <c r="S98" s="93">
        <f t="shared" si="359"/>
        <v>6895.9899999999998</v>
      </c>
      <c r="T98" s="93">
        <f t="shared" si="360"/>
        <v>10937.4</v>
      </c>
      <c r="U98" s="93">
        <f t="shared" si="361"/>
        <v>11115.4</v>
      </c>
      <c r="V98" s="92">
        <f t="shared" si="362"/>
        <v>35989.199999999997</v>
      </c>
    </row>
    <row r="99" ht="15" customHeight="1" outlineLevel="1">
      <c r="A99" t="s">
        <v>218</v>
      </c>
      <c r="B99" t="s">
        <v>219</v>
      </c>
      <c r="C99" s="34" t="s">
        <v>220</v>
      </c>
      <c r="D99" s="35" t="s">
        <v>219</v>
      </c>
      <c r="E99" s="63">
        <f>SUMIF('2024 AC'!$B$3:$B$250,"*"&amp;$D99&amp;"*",'2024 AC'!C$3:C$250)</f>
        <v>62</v>
      </c>
      <c r="F99" s="53">
        <f>SUMIF('2024 AC'!$B$3:$B$250,"*"&amp;$D99&amp;"*",'2024 AC'!D$3:D$250)</f>
        <v>748.91999999999996</v>
      </c>
      <c r="G99" s="53">
        <f>SUMIF('2024 AC'!$B$3:$B$250,"*"&amp;$D99&amp;"*",'2024 AC'!E$3:E$250)</f>
        <v>38.630000000000003</v>
      </c>
      <c r="H99" s="53">
        <f>SUMIF('2024 AC'!$B$3:$B$250,"*"&amp;$D99&amp;"*",'2024 AC'!F$3:F$250)</f>
        <v>46.049999999999997</v>
      </c>
      <c r="I99" s="53">
        <f>SUMIF('2024 AC'!$B$3:$B$250,"*"&amp;$D99&amp;"*",'2024 AC'!G$3:G$250)</f>
        <v>466.44999999999999</v>
      </c>
      <c r="J99" s="53">
        <f>SUMIF('2024 AC'!$B$3:$B$250,"*"&amp;$D99&amp;"*",'2024 AC'!H$3:H$250)</f>
        <v>88.870000000000005</v>
      </c>
      <c r="K99" s="53">
        <f>SUMIF('2024 AC'!$B$3:$B$250,"*"&amp;$D99&amp;"*",'2024 AC'!I$3:I$250)</f>
        <v>62.020000000000003</v>
      </c>
      <c r="L99" s="53">
        <f>SUMIF('2024 AC'!$B$3:$B$250,"*"&amp;$D99&amp;"*",'2024 AC'!J$3:J$250)</f>
        <v>230.09</v>
      </c>
      <c r="M99" s="53">
        <f>SUMIF('2024 AC'!$B$3:$B$250,"*"&amp;$D99&amp;"*",'2024 AC'!K$3:K$250)</f>
        <v>64.609999999999999</v>
      </c>
      <c r="N99" s="53">
        <f>SUMIF('2024 AC'!$B$3:$B$250,"*"&amp;$D99&amp;"*",'2024 AC'!L$3:L$250)</f>
        <v>64.900000000000006</v>
      </c>
      <c r="O99" s="53">
        <f>SUMIF('2024 AC'!$B$3:$B$250,"*"&amp;$D99&amp;"*",'2024 AC'!M$3:M$250)</f>
        <v>78.370000000000005</v>
      </c>
      <c r="P99" s="93">
        <f>SUMIF('2024 AC'!$B$3:$B$250,"*"&amp;$D99&amp;"*",'2024 AC'!N$3:N$250)</f>
        <v>189.61000000000001</v>
      </c>
      <c r="Q99" s="92">
        <f t="shared" si="357"/>
        <v>2140.52</v>
      </c>
      <c r="R99" s="93">
        <f t="shared" si="358"/>
        <v>849.54999999999995</v>
      </c>
      <c r="S99" s="93">
        <f t="shared" si="359"/>
        <v>601.37</v>
      </c>
      <c r="T99" s="93">
        <f t="shared" si="360"/>
        <v>356.72000000000003</v>
      </c>
      <c r="U99" s="93">
        <f t="shared" si="361"/>
        <v>332.88</v>
      </c>
      <c r="V99" s="92">
        <f t="shared" si="362"/>
        <v>2140.52</v>
      </c>
    </row>
    <row r="100" ht="15" customHeight="1" outlineLevel="1">
      <c r="A100" t="s">
        <v>221</v>
      </c>
      <c r="B100" t="s">
        <v>222</v>
      </c>
      <c r="C100" s="34" t="s">
        <v>223</v>
      </c>
      <c r="D100" s="35" t="s">
        <v>222</v>
      </c>
      <c r="E100" s="63">
        <f>SUMIF('2024 AC'!$B$3:$B$250,"*"&amp;$D100&amp;"*",'2024 AC'!C$3:C$250)</f>
        <v>28.420000000000002</v>
      </c>
      <c r="F100" s="53">
        <f>SUMIF('2024 AC'!$B$3:$B$250,"*"&amp;$D100&amp;"*",'2024 AC'!D$3:D$250)</f>
        <v>18.059999999999999</v>
      </c>
      <c r="G100" s="53">
        <f>SUMIF('2024 AC'!$B$3:$B$250,"*"&amp;$D100&amp;"*",'2024 AC'!E$3:E$250)</f>
        <v>13.15</v>
      </c>
      <c r="H100" s="53">
        <f>SUMIF('2024 AC'!$B$3:$B$250,"*"&amp;$D100&amp;"*",'2024 AC'!F$3:F$250)</f>
        <v>11.52</v>
      </c>
      <c r="I100" s="53">
        <f>SUMIF('2024 AC'!$B$3:$B$250,"*"&amp;$D100&amp;"*",'2024 AC'!G$3:G$250)</f>
        <v>18.559999999999999</v>
      </c>
      <c r="J100" s="53">
        <f>SUMIF('2024 AC'!$B$3:$B$250,"*"&amp;$D100&amp;"*",'2024 AC'!H$3:H$250)</f>
        <v>13.970000000000001</v>
      </c>
      <c r="K100" s="53">
        <f>SUMIF('2024 AC'!$B$3:$B$250,"*"&amp;$D100&amp;"*",'2024 AC'!I$3:I$250)</f>
        <v>14</v>
      </c>
      <c r="L100" s="53">
        <f>SUMIF('2024 AC'!$B$3:$B$250,"*"&amp;$D100&amp;"*",'2024 AC'!J$3:J$250)</f>
        <v>20.210000000000001</v>
      </c>
      <c r="M100" s="53">
        <f>SUMIF('2024 AC'!$B$3:$B$250,"*"&amp;$D100&amp;"*",'2024 AC'!K$3:K$250)</f>
        <v>9.9600000000000009</v>
      </c>
      <c r="N100" s="53">
        <f>SUMIF('2024 AC'!$B$3:$B$250,"*"&amp;$D100&amp;"*",'2024 AC'!L$3:L$250)</f>
        <v>7.8099999999999996</v>
      </c>
      <c r="O100" s="53">
        <f>SUMIF('2024 AC'!$B$3:$B$250,"*"&amp;$D100&amp;"*",'2024 AC'!M$3:M$250)</f>
        <v>29.390000000000001</v>
      </c>
      <c r="P100" s="93">
        <f>SUMIF('2024 AC'!$B$3:$B$250,"*"&amp;$D100&amp;"*",'2024 AC'!N$3:N$250)</f>
        <v>23.699999999999999</v>
      </c>
      <c r="Q100" s="92">
        <f t="shared" si="357"/>
        <v>208.75</v>
      </c>
      <c r="R100" s="93">
        <f t="shared" si="358"/>
        <v>59.630000000000003</v>
      </c>
      <c r="S100" s="93">
        <f t="shared" si="359"/>
        <v>44.049999999999997</v>
      </c>
      <c r="T100" s="93">
        <f t="shared" si="360"/>
        <v>44.170000000000002</v>
      </c>
      <c r="U100" s="93">
        <f t="shared" si="361"/>
        <v>60.900000000000006</v>
      </c>
      <c r="V100" s="92">
        <f t="shared" si="362"/>
        <v>208.75000000000003</v>
      </c>
    </row>
    <row r="101" ht="15" customHeight="1" outlineLevel="1">
      <c r="A101" t="s">
        <v>224</v>
      </c>
      <c r="B101" t="s">
        <v>225</v>
      </c>
      <c r="C101" s="34" t="s">
        <v>226</v>
      </c>
      <c r="D101" s="35" t="s">
        <v>225</v>
      </c>
      <c r="E101" s="63">
        <f>SUMIF('2024 AC'!$B$3:$B$250,"*"&amp;$D101&amp;"*",'2024 AC'!C$3:C$250)</f>
        <v>0</v>
      </c>
      <c r="F101" s="53">
        <f>SUMIF('2024 AC'!$B$3:$B$250,"*"&amp;$D101&amp;"*",'2024 AC'!D$3:D$250)</f>
        <v>92.620000000000005</v>
      </c>
      <c r="G101" s="53">
        <f>SUMIF('2024 AC'!$B$3:$B$250,"*"&amp;$D101&amp;"*",'2024 AC'!E$3:E$250)</f>
        <v>45.780000000000001</v>
      </c>
      <c r="H101" s="53">
        <f>SUMIF('2024 AC'!$B$3:$B$250,"*"&amp;$D101&amp;"*",'2024 AC'!F$3:F$250)</f>
        <v>0</v>
      </c>
      <c r="I101" s="53">
        <f>SUMIF('2024 AC'!$B$3:$B$250,"*"&amp;$D101&amp;"*",'2024 AC'!G$3:G$250)</f>
        <v>92.969999999999999</v>
      </c>
      <c r="J101" s="53">
        <f>SUMIF('2024 AC'!$B$3:$B$250,"*"&amp;$D101&amp;"*",'2024 AC'!H$3:H$250)</f>
        <v>90.069999999999993</v>
      </c>
      <c r="K101" s="53">
        <f>SUMIF('2024 AC'!$B$3:$B$250,"*"&amp;$D101&amp;"*",'2024 AC'!I$3:I$250)</f>
        <v>0</v>
      </c>
      <c r="L101" s="53">
        <f>SUMIF('2024 AC'!$B$3:$B$250,"*"&amp;$D101&amp;"*",'2024 AC'!J$3:J$250)</f>
        <v>43.859999999999999</v>
      </c>
      <c r="M101" s="53">
        <f>SUMIF('2024 AC'!$B$3:$B$250,"*"&amp;$D101&amp;"*",'2024 AC'!K$3:K$250)</f>
        <v>0</v>
      </c>
      <c r="N101" s="53">
        <f>SUMIF('2024 AC'!$B$3:$B$250,"*"&amp;$D101&amp;"*",'2024 AC'!L$3:L$250)</f>
        <v>0</v>
      </c>
      <c r="O101" s="53">
        <f>SUMIF('2024 AC'!$B$3:$B$250,"*"&amp;$D101&amp;"*",'2024 AC'!M$3:M$250)</f>
        <v>0</v>
      </c>
      <c r="P101" s="93">
        <f>SUMIF('2024 AC'!$B$3:$B$250,"*"&amp;$D101&amp;"*",'2024 AC'!N$3:N$250)</f>
        <v>0</v>
      </c>
      <c r="Q101" s="92">
        <f t="shared" si="357"/>
        <v>365.30000000000001</v>
      </c>
      <c r="R101" s="93">
        <f t="shared" si="358"/>
        <v>138.40000000000001</v>
      </c>
      <c r="S101" s="93">
        <f t="shared" si="359"/>
        <v>183.03999999999999</v>
      </c>
      <c r="T101" s="93">
        <f t="shared" si="360"/>
        <v>43.859999999999999</v>
      </c>
      <c r="U101" s="93">
        <f t="shared" si="361"/>
        <v>0</v>
      </c>
      <c r="V101" s="92">
        <f t="shared" si="362"/>
        <v>365.30000000000001</v>
      </c>
    </row>
    <row r="102" ht="15" customHeight="1" outlineLevel="1">
      <c r="A102" t="s">
        <v>227</v>
      </c>
      <c r="B102" t="s">
        <v>228</v>
      </c>
      <c r="C102" s="34" t="s">
        <v>229</v>
      </c>
      <c r="D102" s="35" t="s">
        <v>228</v>
      </c>
      <c r="E102" s="63">
        <f>SUMIF('2024 AC'!$B$3:$B$250,"*"&amp;$D102&amp;"*",'2024 AC'!C$3:C$250)</f>
        <v>0</v>
      </c>
      <c r="F102" s="53">
        <f>SUMIF('2024 AC'!$B$3:$B$250,"*"&amp;$D102&amp;"*",'2024 AC'!D$3:D$250)</f>
        <v>0</v>
      </c>
      <c r="G102" s="53">
        <f>SUMIF('2024 AC'!$B$3:$B$250,"*"&amp;$D102&amp;"*",'2024 AC'!E$3:E$250)</f>
        <v>0</v>
      </c>
      <c r="H102" s="53">
        <f>SUMIF('2024 AC'!$B$3:$B$250,"*"&amp;$D102&amp;"*",'2024 AC'!F$3:F$250)</f>
        <v>0</v>
      </c>
      <c r="I102" s="53">
        <f>SUMIF('2024 AC'!$B$3:$B$250,"*"&amp;$D102&amp;"*",'2024 AC'!G$3:G$250)</f>
        <v>0</v>
      </c>
      <c r="J102" s="53">
        <f>SUMIF('2024 AC'!$B$3:$B$250,"*"&amp;$D102&amp;"*",'2024 AC'!H$3:H$250)</f>
        <v>111.2</v>
      </c>
      <c r="K102" s="53">
        <f>SUMIF('2024 AC'!$B$3:$B$250,"*"&amp;$D102&amp;"*",'2024 AC'!I$3:I$250)</f>
        <v>0</v>
      </c>
      <c r="L102" s="53">
        <f>SUMIF('2024 AC'!$B$3:$B$250,"*"&amp;$D102&amp;"*",'2024 AC'!J$3:J$250)</f>
        <v>0</v>
      </c>
      <c r="M102" s="53">
        <f>SUMIF('2024 AC'!$B$3:$B$250,"*"&amp;$D102&amp;"*",'2024 AC'!K$3:K$250)</f>
        <v>732.15999999999997</v>
      </c>
      <c r="N102" s="53">
        <f>SUMIF('2024 AC'!$B$3:$B$250,"*"&amp;$D102&amp;"*",'2024 AC'!L$3:L$250)</f>
        <v>366.39999999999998</v>
      </c>
      <c r="O102" s="53">
        <f>SUMIF('2024 AC'!$B$3:$B$250,"*"&amp;$D102&amp;"*",'2024 AC'!M$3:M$250)</f>
        <v>7.9900000000000002</v>
      </c>
      <c r="P102" s="93">
        <f>SUMIF('2024 AC'!$B$3:$B$250,"*"&amp;$D102&amp;"*",'2024 AC'!N$3:N$250)</f>
        <v>0</v>
      </c>
      <c r="Q102" s="92">
        <f t="shared" si="357"/>
        <v>1217.75</v>
      </c>
      <c r="R102" s="93">
        <f t="shared" si="358"/>
        <v>0</v>
      </c>
      <c r="S102" s="93">
        <f t="shared" si="359"/>
        <v>111.2</v>
      </c>
      <c r="T102" s="93">
        <f t="shared" si="360"/>
        <v>732.15999999999997</v>
      </c>
      <c r="U102" s="93">
        <f t="shared" si="361"/>
        <v>374.38999999999999</v>
      </c>
      <c r="V102" s="92">
        <f t="shared" si="362"/>
        <v>1217.75</v>
      </c>
    </row>
    <row r="103" s="137" customFormat="1" ht="15" customHeight="1">
      <c r="A103" s="137" t="s">
        <v>230</v>
      </c>
      <c r="B103" s="137" t="s">
        <v>231</v>
      </c>
      <c r="C103" s="187" t="s">
        <v>232</v>
      </c>
      <c r="D103" s="139" t="s">
        <v>231</v>
      </c>
      <c r="E103" s="145">
        <f>SUMIF('2024 AC'!$B$3:$B$250,"*"&amp;$D103&amp;"*",'2024 AC'!C$3:C$250)</f>
        <v>0</v>
      </c>
      <c r="F103" s="146">
        <f>SUMIF('2024 AC'!$B$3:$B$250,"*"&amp;$D103&amp;"*",'2024 AC'!D$3:D$250)</f>
        <v>19970.93</v>
      </c>
      <c r="G103" s="146">
        <f>SUMIF('2024 AC'!$B$3:$B$250,"*"&amp;$D103&amp;"*",'2024 AC'!E$3:E$250)</f>
        <v>34032.900000000001</v>
      </c>
      <c r="H103" s="146">
        <f>SUMIF('2024 AC'!$B$3:$B$250,"*"&amp;$D103&amp;"*",'2024 AC'!F$3:F$250)</f>
        <v>29552.380000000001</v>
      </c>
      <c r="I103" s="146">
        <f>SUMIF('2024 AC'!$B$3:$B$250,"*"&amp;$D103&amp;"*",'2024 AC'!G$3:G$250)</f>
        <v>24000.459999999999</v>
      </c>
      <c r="J103" s="146">
        <f>SUMIF('2024 AC'!$B$3:$B$250,"*"&amp;$D103&amp;"*",'2024 AC'!H$3:H$250)</f>
        <v>30786.619999999999</v>
      </c>
      <c r="K103" s="146">
        <f>SUMIF('2024 AC'!$B$3:$B$250,"*"&amp;$D103&amp;"*",'2024 AC'!I$3:I$250)</f>
        <v>34500.110000000001</v>
      </c>
      <c r="L103" s="146">
        <f>SUMIF('2024 AC'!$B$3:$B$250,"*"&amp;$D103&amp;"*",'2024 AC'!J$3:J$250)</f>
        <v>30162.25</v>
      </c>
      <c r="M103" s="146">
        <f>SUMIF('2024 AC'!$B$3:$B$250,"*"&amp;$D103&amp;"*",'2024 AC'!K$3:K$250)</f>
        <v>29796.240000000002</v>
      </c>
      <c r="N103" s="146">
        <f>SUMIF('2024 AC'!$B$3:$B$250,"*"&amp;$D103&amp;"*",'2024 AC'!L$3:L$250)</f>
        <v>30570.419999999998</v>
      </c>
      <c r="O103" s="146">
        <f>SUMIF('2024 AC'!$B$3:$B$250,"*"&amp;$D103&amp;"*",'2024 AC'!M$3:M$250)</f>
        <v>20402.290000000001</v>
      </c>
      <c r="P103" s="147">
        <f>SUMIF('2024 AC'!$B$3:$B$250,"*"&amp;$D103&amp;"*",'2024 AC'!N$3:N$250)</f>
        <v>23062.02</v>
      </c>
      <c r="Q103" s="148">
        <f t="shared" si="357"/>
        <v>306836.62</v>
      </c>
      <c r="R103" s="147">
        <f t="shared" si="358"/>
        <v>54003.830000000002</v>
      </c>
      <c r="S103" s="147">
        <f t="shared" si="359"/>
        <v>84339.459999999992</v>
      </c>
      <c r="T103" s="147">
        <f t="shared" si="360"/>
        <v>94458.600000000006</v>
      </c>
      <c r="U103" s="147">
        <f t="shared" si="361"/>
        <v>74034.729999999996</v>
      </c>
      <c r="V103" s="148">
        <f t="shared" si="362"/>
        <v>306836.62</v>
      </c>
    </row>
    <row r="104" ht="14.65" customHeight="1" outlineLevel="1">
      <c r="A104" t="s">
        <v>233</v>
      </c>
      <c r="B104" t="s">
        <v>234</v>
      </c>
      <c r="C104" s="34" t="s">
        <v>235</v>
      </c>
      <c r="D104" s="35" t="s">
        <v>234</v>
      </c>
      <c r="E104" s="63">
        <f>SUMIF('2024 AC'!$B$3:$B$250,"*"&amp;$D104&amp;"*",'2024 AC'!C$3:C$250)</f>
        <v>0</v>
      </c>
      <c r="F104" s="53">
        <f>SUMIF('2024 AC'!$B$3:$B$250,"*"&amp;$D104&amp;"*",'2024 AC'!D$3:D$250)</f>
        <v>18967.43</v>
      </c>
      <c r="G104" s="53">
        <f>SUMIF('2024 AC'!$B$3:$B$250,"*"&amp;$D104&amp;"*",'2024 AC'!E$3:E$250)</f>
        <v>33174.75</v>
      </c>
      <c r="H104" s="53">
        <f>SUMIF('2024 AC'!$B$3:$B$250,"*"&amp;$D104&amp;"*",'2024 AC'!F$3:F$250)</f>
        <v>27289.68</v>
      </c>
      <c r="I104" s="53">
        <f>SUMIF('2024 AC'!$B$3:$B$250,"*"&amp;$D104&amp;"*",'2024 AC'!G$3:G$250)</f>
        <v>20335.310000000001</v>
      </c>
      <c r="J104" s="53">
        <f>SUMIF('2024 AC'!$B$3:$B$250,"*"&amp;$D104&amp;"*",'2024 AC'!H$3:H$250)</f>
        <v>28369.540000000001</v>
      </c>
      <c r="K104" s="53">
        <f>SUMIF('2024 AC'!$B$3:$B$250,"*"&amp;$D104&amp;"*",'2024 AC'!I$3:I$250)</f>
        <v>31141.130000000001</v>
      </c>
      <c r="L104" s="53">
        <f>SUMIF('2024 AC'!$B$3:$B$250,"*"&amp;$D104&amp;"*",'2024 AC'!J$3:J$250)</f>
        <v>27220.110000000001</v>
      </c>
      <c r="M104" s="53">
        <f>SUMIF('2024 AC'!$B$3:$B$250,"*"&amp;$D104&amp;"*",'2024 AC'!K$3:K$250)</f>
        <v>28506.619999999999</v>
      </c>
      <c r="N104" s="53">
        <f>SUMIF('2024 AC'!$B$3:$B$250,"*"&amp;$D104&amp;"*",'2024 AC'!L$3:L$250)</f>
        <v>29097.080000000002</v>
      </c>
      <c r="O104" s="53">
        <f>SUMIF('2024 AC'!$B$3:$B$250,"*"&amp;$D104&amp;"*",'2024 AC'!M$3:M$250)</f>
        <v>19697.389999999999</v>
      </c>
      <c r="P104" s="93">
        <f>SUMIF('2024 AC'!$B$3:$B$250,"*"&amp;$D104&amp;"*",'2024 AC'!N$3:N$250)</f>
        <v>20599.400000000001</v>
      </c>
      <c r="Q104" s="92">
        <f t="shared" si="357"/>
        <v>284398.44000000006</v>
      </c>
      <c r="R104" s="93">
        <f t="shared" si="358"/>
        <v>52142.18</v>
      </c>
      <c r="S104" s="93">
        <f t="shared" si="359"/>
        <v>75994.529999999999</v>
      </c>
      <c r="T104" s="93">
        <f t="shared" si="360"/>
        <v>86867.860000000001</v>
      </c>
      <c r="U104" s="93">
        <f t="shared" si="361"/>
        <v>69393.869999999995</v>
      </c>
      <c r="V104" s="92">
        <f t="shared" si="362"/>
        <v>284398.44</v>
      </c>
    </row>
    <row r="105" ht="15" customHeight="1" outlineLevel="1">
      <c r="A105" t="s">
        <v>236</v>
      </c>
      <c r="B105" t="s">
        <v>237</v>
      </c>
      <c r="C105" s="34" t="s">
        <v>238</v>
      </c>
      <c r="D105" s="35" t="s">
        <v>237</v>
      </c>
      <c r="E105" s="63">
        <f>SUMIF('2024 AC'!$B$3:$B$250,"*"&amp;$D105&amp;"*",'2024 AC'!C$3:C$250)</f>
        <v>0</v>
      </c>
      <c r="F105" s="53">
        <f>SUMIF('2024 AC'!$B$3:$B$250,"*"&amp;$D105&amp;"*",'2024 AC'!D$3:D$250)</f>
        <v>1003.5</v>
      </c>
      <c r="G105" s="53">
        <f>SUMIF('2024 AC'!$B$3:$B$250,"*"&amp;$D105&amp;"*",'2024 AC'!E$3:E$250)</f>
        <v>858.14999999999998</v>
      </c>
      <c r="H105" s="53">
        <f>SUMIF('2024 AC'!$B$3:$B$250,"*"&amp;$D105&amp;"*",'2024 AC'!F$3:F$250)</f>
        <v>2018.7</v>
      </c>
      <c r="I105" s="53">
        <f>SUMIF('2024 AC'!$B$3:$B$250,"*"&amp;$D105&amp;"*",'2024 AC'!G$3:G$250)</f>
        <v>1805.1500000000001</v>
      </c>
      <c r="J105" s="53">
        <f>SUMIF('2024 AC'!$B$3:$B$250,"*"&amp;$D105&amp;"*",'2024 AC'!H$3:H$250)</f>
        <v>2417.0799999999999</v>
      </c>
      <c r="K105" s="53">
        <f>SUMIF('2024 AC'!$B$3:$B$250,"*"&amp;$D105&amp;"*",'2024 AC'!I$3:I$250)</f>
        <v>2255.8800000000001</v>
      </c>
      <c r="L105" s="53">
        <f>SUMIF('2024 AC'!$B$3:$B$250,"*"&amp;$D105&amp;"*",'2024 AC'!J$3:J$250)</f>
        <v>1009.34</v>
      </c>
      <c r="M105" s="53">
        <f>SUMIF('2024 AC'!$B$3:$B$250,"*"&amp;$D105&amp;"*",'2024 AC'!K$3:K$250)</f>
        <v>1289.6199999999999</v>
      </c>
      <c r="N105" s="53">
        <f>SUMIF('2024 AC'!$B$3:$B$250,"*"&amp;$D105&amp;"*",'2024 AC'!L$3:L$250)</f>
        <v>1473.3399999999999</v>
      </c>
      <c r="O105" s="53">
        <f>SUMIF('2024 AC'!$B$3:$B$250,"*"&amp;$D105&amp;"*",'2024 AC'!M$3:M$250)</f>
        <v>704.89999999999998</v>
      </c>
      <c r="P105" s="93">
        <f>SUMIF('2024 AC'!$B$3:$B$250,"*"&amp;$D105&amp;"*",'2024 AC'!N$3:N$250)</f>
        <v>275.42000000000002</v>
      </c>
      <c r="Q105" s="92">
        <f t="shared" si="357"/>
        <v>15111.079999999998</v>
      </c>
      <c r="R105" s="93">
        <f t="shared" si="358"/>
        <v>1861.6500000000001</v>
      </c>
      <c r="S105" s="93">
        <f t="shared" si="359"/>
        <v>6240.9300000000003</v>
      </c>
      <c r="T105" s="93">
        <f t="shared" si="360"/>
        <v>4554.8400000000001</v>
      </c>
      <c r="U105" s="93">
        <f t="shared" si="361"/>
        <v>2453.6599999999999</v>
      </c>
      <c r="V105" s="92">
        <f t="shared" si="362"/>
        <v>15111.08</v>
      </c>
    </row>
    <row r="106" ht="15" customHeight="1" outlineLevel="1">
      <c r="A106" t="s">
        <v>239</v>
      </c>
      <c r="B106" t="s">
        <v>240</v>
      </c>
      <c r="C106" s="34" t="s">
        <v>241</v>
      </c>
      <c r="D106" s="35" t="s">
        <v>240</v>
      </c>
      <c r="E106" s="63">
        <f>SUMIF('2024 AC'!$B$3:$B$250,"*"&amp;$D106&amp;"*",'2024 AC'!C$3:C$250)</f>
        <v>0</v>
      </c>
      <c r="F106" s="53">
        <f>SUMIF('2024 AC'!$B$3:$B$250,"*"&amp;$D106&amp;"*",'2024 AC'!D$3:D$250)</f>
        <v>0</v>
      </c>
      <c r="G106" s="53">
        <f>SUMIF('2024 AC'!$B$3:$B$250,"*"&amp;$D106&amp;"*",'2024 AC'!E$3:E$250)</f>
        <v>0</v>
      </c>
      <c r="H106" s="53">
        <f>SUMIF('2024 AC'!$B$3:$B$250,"*"&amp;$D106&amp;"*",'2024 AC'!F$3:F$250)</f>
        <v>244</v>
      </c>
      <c r="I106" s="53">
        <f>SUMIF('2024 AC'!$B$3:$B$250,"*"&amp;$D106&amp;"*",'2024 AC'!G$3:G$250)</f>
        <v>1860</v>
      </c>
      <c r="J106" s="53">
        <f>SUMIF('2024 AC'!$B$3:$B$250,"*"&amp;$D106&amp;"*",'2024 AC'!H$3:H$250)</f>
        <v>0</v>
      </c>
      <c r="K106" s="53">
        <f>SUMIF('2024 AC'!$B$3:$B$250,"*"&amp;$D106&amp;"*",'2024 AC'!I$3:I$250)</f>
        <v>1103.0999999999999</v>
      </c>
      <c r="L106" s="53">
        <f>SUMIF('2024 AC'!$B$3:$B$250,"*"&amp;$D106&amp;"*",'2024 AC'!J$3:J$250)</f>
        <v>1932.8</v>
      </c>
      <c r="M106" s="53">
        <f>SUMIF('2024 AC'!$B$3:$B$250,"*"&amp;$D106&amp;"*",'2024 AC'!K$3:K$250)</f>
        <v>0</v>
      </c>
      <c r="N106" s="53">
        <f>SUMIF('2024 AC'!$B$3:$B$250,"*"&amp;$D106&amp;"*",'2024 AC'!L$3:L$250)</f>
        <v>0</v>
      </c>
      <c r="O106" s="53">
        <f>SUMIF('2024 AC'!$B$3:$B$250,"*"&amp;$D106&amp;"*",'2024 AC'!M$3:M$250)</f>
        <v>0</v>
      </c>
      <c r="P106" s="93">
        <f>SUMIF('2024 AC'!$B$3:$B$250,"*"&amp;$D106&amp;"*",'2024 AC'!N$3:N$250)</f>
        <v>2187.1999999999998</v>
      </c>
      <c r="Q106" s="92">
        <f t="shared" si="357"/>
        <v>7327.0999999999995</v>
      </c>
      <c r="R106" s="93">
        <f t="shared" si="358"/>
        <v>0</v>
      </c>
      <c r="S106" s="93">
        <f t="shared" si="359"/>
        <v>2104</v>
      </c>
      <c r="T106" s="93">
        <f t="shared" si="360"/>
        <v>3035.8999999999996</v>
      </c>
      <c r="U106" s="93">
        <f t="shared" si="361"/>
        <v>2187.1999999999998</v>
      </c>
      <c r="V106" s="92">
        <f t="shared" si="362"/>
        <v>7327.0999999999995</v>
      </c>
    </row>
    <row r="107" ht="15" customHeight="1">
      <c r="C107" s="34"/>
      <c r="D107" s="35"/>
      <c r="E107" s="6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93"/>
      <c r="Q107" s="92"/>
      <c r="R107" s="93">
        <f t="shared" si="358"/>
        <v>0</v>
      </c>
      <c r="S107" s="93">
        <f t="shared" si="359"/>
        <v>0</v>
      </c>
      <c r="T107" s="93">
        <f t="shared" si="360"/>
        <v>0</v>
      </c>
      <c r="U107" s="93">
        <f t="shared" si="361"/>
        <v>0</v>
      </c>
      <c r="V107" s="92">
        <f t="shared" si="362"/>
        <v>0</v>
      </c>
    </row>
    <row r="108" s="125" customFormat="1" ht="15" customHeight="1">
      <c r="A108" s="174"/>
      <c r="C108" s="126" t="s">
        <v>242</v>
      </c>
      <c r="D108" s="127"/>
      <c r="E108" s="180">
        <f>E74+E75+E82+E92+E94+E95+E96+E97+E103</f>
        <v>104892.21999999999</v>
      </c>
      <c r="F108" s="181">
        <f t="shared" ref="F108:P108" si="365">F74+F75+F82+F92+F94+F95+F96+F97+F103</f>
        <v>109917.01999999999</v>
      </c>
      <c r="G108" s="181">
        <f t="shared" si="365"/>
        <v>160167.66</v>
      </c>
      <c r="H108" s="181">
        <f t="shared" si="365"/>
        <v>104938.79999999999</v>
      </c>
      <c r="I108" s="181">
        <f t="shared" si="365"/>
        <v>118461.53</v>
      </c>
      <c r="J108" s="181">
        <f t="shared" si="365"/>
        <v>121218.52</v>
      </c>
      <c r="K108" s="181">
        <f t="shared" si="365"/>
        <v>124531.53000000001</v>
      </c>
      <c r="L108" s="181">
        <f t="shared" si="365"/>
        <v>155167.03</v>
      </c>
      <c r="M108" s="181">
        <f t="shared" si="365"/>
        <v>111744.25000000001</v>
      </c>
      <c r="N108" s="181">
        <f t="shared" si="365"/>
        <v>113069.51000000001</v>
      </c>
      <c r="O108" s="181">
        <f t="shared" si="365"/>
        <v>120227.76000000001</v>
      </c>
      <c r="P108" s="182">
        <f t="shared" si="365"/>
        <v>113791.47</v>
      </c>
      <c r="Q108" s="183">
        <f t="shared" si="357"/>
        <v>1458127.3</v>
      </c>
      <c r="R108" s="182">
        <f t="shared" si="358"/>
        <v>374976.90000000002</v>
      </c>
      <c r="S108" s="182">
        <f t="shared" si="359"/>
        <v>344618.84999999998</v>
      </c>
      <c r="T108" s="182">
        <f t="shared" si="360"/>
        <v>391442.81</v>
      </c>
      <c r="U108" s="182">
        <f t="shared" si="361"/>
        <v>347088.73999999999</v>
      </c>
      <c r="V108" s="183">
        <f t="shared" si="362"/>
        <v>1458127.3</v>
      </c>
    </row>
    <row r="109" ht="15" customHeight="1">
      <c r="A109" s="185"/>
      <c r="C109" s="136"/>
      <c r="D109" s="35"/>
      <c r="E109" s="168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70"/>
      <c r="Q109" s="171"/>
      <c r="R109" s="170">
        <f t="shared" si="358"/>
        <v>0</v>
      </c>
      <c r="S109" s="170">
        <f t="shared" si="359"/>
        <v>0</v>
      </c>
      <c r="T109" s="170">
        <f t="shared" si="360"/>
        <v>0</v>
      </c>
      <c r="U109" s="170">
        <f t="shared" si="361"/>
        <v>0</v>
      </c>
      <c r="V109" s="171">
        <f t="shared" si="362"/>
        <v>0</v>
      </c>
    </row>
    <row r="110" s="190" customFormat="1" ht="15" customHeight="1">
      <c r="A110" s="174" t="s">
        <v>243</v>
      </c>
      <c r="C110" s="175" t="s">
        <v>244</v>
      </c>
      <c r="D110" s="191"/>
      <c r="E110" s="180">
        <f>E70-E108</f>
        <v>218077.29000000004</v>
      </c>
      <c r="F110" s="181">
        <f t="shared" ref="F110:P110" si="366">F70-F108</f>
        <v>342918.42000000004</v>
      </c>
      <c r="G110" s="181">
        <f t="shared" si="366"/>
        <v>243819.10000000006</v>
      </c>
      <c r="H110" s="181">
        <f t="shared" si="366"/>
        <v>269526.04000000004</v>
      </c>
      <c r="I110" s="181">
        <f t="shared" si="366"/>
        <v>393902.70999999996</v>
      </c>
      <c r="J110" s="181">
        <f t="shared" si="366"/>
        <v>320735.27999999997</v>
      </c>
      <c r="K110" s="181">
        <f t="shared" si="366"/>
        <v>396009.15999999997</v>
      </c>
      <c r="L110" s="181">
        <f t="shared" si="366"/>
        <v>480935.4800000001</v>
      </c>
      <c r="M110" s="181">
        <f t="shared" si="366"/>
        <v>349720.66000000003</v>
      </c>
      <c r="N110" s="181">
        <f t="shared" si="366"/>
        <v>340912.59999999998</v>
      </c>
      <c r="O110" s="181">
        <f t="shared" si="366"/>
        <v>394436.67999999999</v>
      </c>
      <c r="P110" s="182">
        <f t="shared" si="366"/>
        <v>449459.23999999999</v>
      </c>
      <c r="Q110" s="183">
        <f t="shared" si="357"/>
        <v>4200452.6600000001</v>
      </c>
      <c r="R110" s="182">
        <f t="shared" si="358"/>
        <v>804814.81000000017</v>
      </c>
      <c r="S110" s="182">
        <f t="shared" si="359"/>
        <v>984164.03000000003</v>
      </c>
      <c r="T110" s="182">
        <f t="shared" si="360"/>
        <v>1226665.3000000003</v>
      </c>
      <c r="U110" s="182">
        <f t="shared" si="361"/>
        <v>1184808.52</v>
      </c>
      <c r="V110" s="183">
        <f t="shared" si="362"/>
        <v>4200452.6600000001</v>
      </c>
    </row>
    <row r="111" ht="15" customHeight="1">
      <c r="A111" s="185" t="s">
        <v>245</v>
      </c>
      <c r="C111" s="160"/>
      <c r="D111" s="35"/>
      <c r="E111" s="168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70"/>
      <c r="Q111" s="171"/>
      <c r="R111" s="170">
        <f t="shared" si="358"/>
        <v>0</v>
      </c>
      <c r="S111" s="170">
        <f t="shared" si="359"/>
        <v>0</v>
      </c>
      <c r="T111" s="170">
        <f t="shared" si="360"/>
        <v>0</v>
      </c>
      <c r="U111" s="170">
        <f t="shared" si="361"/>
        <v>0</v>
      </c>
      <c r="V111" s="171">
        <f t="shared" si="362"/>
        <v>0</v>
      </c>
    </row>
    <row r="112" ht="15" customHeight="1">
      <c r="A112" s="185"/>
      <c r="C112" s="194" t="s">
        <v>245</v>
      </c>
      <c r="D112" s="35"/>
      <c r="E112" s="168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70"/>
      <c r="Q112" s="171"/>
      <c r="R112" s="170">
        <f t="shared" si="358"/>
        <v>0</v>
      </c>
      <c r="S112" s="170">
        <f t="shared" si="359"/>
        <v>0</v>
      </c>
      <c r="T112" s="170">
        <f t="shared" si="360"/>
        <v>0</v>
      </c>
      <c r="U112" s="170">
        <f t="shared" si="361"/>
        <v>0</v>
      </c>
      <c r="V112" s="171">
        <f t="shared" si="362"/>
        <v>0</v>
      </c>
    </row>
    <row r="113" ht="15" customHeight="1">
      <c r="A113" s="185"/>
      <c r="C113" s="194"/>
      <c r="D113" s="35"/>
      <c r="E113" s="168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70"/>
      <c r="Q113" s="171"/>
      <c r="R113" s="170">
        <f t="shared" si="358"/>
        <v>0</v>
      </c>
      <c r="S113" s="170">
        <f t="shared" si="359"/>
        <v>0</v>
      </c>
      <c r="T113" s="170">
        <f t="shared" si="360"/>
        <v>0</v>
      </c>
      <c r="U113" s="170">
        <f t="shared" si="361"/>
        <v>0</v>
      </c>
      <c r="V113" s="171">
        <f t="shared" si="362"/>
        <v>0</v>
      </c>
    </row>
    <row r="114" s="137" customFormat="1">
      <c r="A114" s="137" t="s">
        <v>246</v>
      </c>
      <c r="B114" s="137" t="s">
        <v>247</v>
      </c>
      <c r="C114" s="187" t="s">
        <v>248</v>
      </c>
      <c r="D114" s="139" t="s">
        <v>247</v>
      </c>
      <c r="E114" s="145">
        <f>SUMIF('2024 AC'!$B$3:$B$250,"*"&amp;$D114&amp;"*",'2024 AC'!C$3:C$250)</f>
        <v>0</v>
      </c>
      <c r="F114" s="146">
        <f>SUMIF('2024 AC'!$B$3:$B$250,"*"&amp;$D114&amp;"*",'2024 AC'!D$3:D$250)</f>
        <v>0</v>
      </c>
      <c r="G114" s="146">
        <f>SUMIF('2024 AC'!$B$3:$B$250,"*"&amp;$D114&amp;"*",'2024 AC'!E$3:E$250)</f>
        <v>0</v>
      </c>
      <c r="H114" s="146">
        <f>SUMIF('2024 AC'!$B$3:$B$250,"*"&amp;$D114&amp;"*",'2024 AC'!F$3:F$250)</f>
        <v>-43.82</v>
      </c>
      <c r="I114" s="146">
        <f>SUMIF('2024 AC'!$B$3:$B$250,"*"&amp;$D114&amp;"*",'2024 AC'!G$3:G$250)</f>
        <v>0</v>
      </c>
      <c r="J114" s="146">
        <f>SUMIF('2024 AC'!$B$3:$B$250,"*"&amp;$D114&amp;"*",'2024 AC'!H$3:H$250)</f>
        <v>0</v>
      </c>
      <c r="K114" s="146">
        <f>SUMIF('2024 AC'!$B$3:$B$250,"*"&amp;$D114&amp;"*",'2024 AC'!I$3:I$250)</f>
        <v>0</v>
      </c>
      <c r="L114" s="146">
        <f>SUMIF('2024 AC'!$B$3:$B$250,"*"&amp;$D114&amp;"*",'2024 AC'!J$3:J$250)</f>
        <v>0</v>
      </c>
      <c r="M114" s="146">
        <f>SUMIF('2024 AC'!$B$3:$B$250,"*"&amp;$D114&amp;"*",'2024 AC'!K$3:K$250)</f>
        <v>0</v>
      </c>
      <c r="N114" s="146">
        <f>SUMIF('2024 AC'!$B$3:$B$250,"*"&amp;$D114&amp;"*",'2024 AC'!L$3:L$250)</f>
        <v>0</v>
      </c>
      <c r="O114" s="146">
        <f>SUMIF('2024 AC'!$B$3:$B$250,"*"&amp;$D114&amp;"*",'2024 AC'!M$3:M$250)</f>
        <v>0</v>
      </c>
      <c r="P114" s="147">
        <f>SUMIF('2024 AC'!$B$3:$B$250,"*"&amp;$D114&amp;"*",'2024 AC'!N$3:N$250)</f>
        <v>0</v>
      </c>
      <c r="Q114" s="148">
        <f t="shared" si="357"/>
        <v>-43.82</v>
      </c>
      <c r="R114" s="147">
        <f t="shared" si="358"/>
        <v>0</v>
      </c>
      <c r="S114" s="147">
        <f t="shared" si="359"/>
        <v>-43.82</v>
      </c>
      <c r="T114" s="147">
        <f t="shared" si="360"/>
        <v>0</v>
      </c>
      <c r="U114" s="147">
        <f t="shared" si="361"/>
        <v>0</v>
      </c>
      <c r="V114" s="148">
        <f t="shared" si="362"/>
        <v>-43.82</v>
      </c>
    </row>
    <row r="115" s="137" customFormat="1" ht="15" customHeight="1">
      <c r="A115" s="137" t="s">
        <v>249</v>
      </c>
      <c r="B115" s="137" t="s">
        <v>250</v>
      </c>
      <c r="C115" s="187" t="s">
        <v>251</v>
      </c>
      <c r="D115" s="139" t="s">
        <v>250</v>
      </c>
      <c r="E115" s="145">
        <f>SUMIF('2024 AC'!$B$3:$B$250,"*"&amp;$D115&amp;"*",'2024 AC'!C$3:C$250)</f>
        <v>40</v>
      </c>
      <c r="F115" s="146">
        <f>SUMIF('2024 AC'!$B$3:$B$250,"*"&amp;$D115&amp;"*",'2024 AC'!D$3:D$250)</f>
        <v>175</v>
      </c>
      <c r="G115" s="146">
        <f>SUMIF('2024 AC'!$B$3:$B$250,"*"&amp;$D115&amp;"*",'2024 AC'!E$3:E$250)</f>
        <v>187</v>
      </c>
      <c r="H115" s="146">
        <f>SUMIF('2024 AC'!$B$3:$B$250,"*"&amp;$D115&amp;"*",'2024 AC'!F$3:F$250)</f>
        <v>70</v>
      </c>
      <c r="I115" s="146">
        <f>SUMIF('2024 AC'!$B$3:$B$250,"*"&amp;$D115&amp;"*",'2024 AC'!G$3:G$250)</f>
        <v>235</v>
      </c>
      <c r="J115" s="146">
        <f>SUMIF('2024 AC'!$B$3:$B$250,"*"&amp;$D115&amp;"*",'2024 AC'!H$3:H$250)</f>
        <v>10</v>
      </c>
      <c r="K115" s="146">
        <f>SUMIF('2024 AC'!$B$3:$B$250,"*"&amp;$D115&amp;"*",'2024 AC'!I$3:I$250)</f>
        <v>1469</v>
      </c>
      <c r="L115" s="146">
        <f>SUMIF('2024 AC'!$B$3:$B$250,"*"&amp;$D115&amp;"*",'2024 AC'!J$3:J$250)</f>
        <v>1030</v>
      </c>
      <c r="M115" s="146">
        <f>SUMIF('2024 AC'!$B$3:$B$250,"*"&amp;$D115&amp;"*",'2024 AC'!K$3:K$250)</f>
        <v>385</v>
      </c>
      <c r="N115" s="146">
        <f>SUMIF('2024 AC'!$B$3:$B$250,"*"&amp;$D115&amp;"*",'2024 AC'!L$3:L$250)</f>
        <v>2063</v>
      </c>
      <c r="O115" s="146">
        <f>SUMIF('2024 AC'!$B$3:$B$250,"*"&amp;$D115&amp;"*",'2024 AC'!M$3:M$250)</f>
        <v>523</v>
      </c>
      <c r="P115" s="147">
        <f>SUMIF('2024 AC'!$B$3:$B$250,"*"&amp;$D115&amp;"*",'2024 AC'!N$3:N$250)</f>
        <v>1070</v>
      </c>
      <c r="Q115" s="148">
        <f t="shared" si="357"/>
        <v>7257</v>
      </c>
      <c r="R115" s="147">
        <f t="shared" si="358"/>
        <v>402</v>
      </c>
      <c r="S115" s="147">
        <f t="shared" si="359"/>
        <v>315</v>
      </c>
      <c r="T115" s="147">
        <f t="shared" si="360"/>
        <v>2884</v>
      </c>
      <c r="U115" s="147">
        <f t="shared" si="361"/>
        <v>3656</v>
      </c>
      <c r="V115" s="148">
        <f t="shared" si="362"/>
        <v>7257</v>
      </c>
    </row>
    <row r="116" ht="15" customHeight="1" outlineLevel="1">
      <c r="A116" t="s">
        <v>252</v>
      </c>
      <c r="B116" t="s">
        <v>253</v>
      </c>
      <c r="C116" s="52" t="s">
        <v>254</v>
      </c>
      <c r="D116" s="35" t="s">
        <v>253</v>
      </c>
      <c r="E116" s="63">
        <f>SUMIF('2024 AC'!$B$3:$B$250,"*"&amp;$D116&amp;"*",'2024 AC'!C$3:C$250)</f>
        <v>40</v>
      </c>
      <c r="F116" s="53">
        <f>SUMIF('2024 AC'!$B$3:$B$250,"*"&amp;$D116&amp;"*",'2024 AC'!D$3:D$250)</f>
        <v>175</v>
      </c>
      <c r="G116" s="53">
        <f>SUMIF('2024 AC'!$B$3:$B$250,"*"&amp;$D116&amp;"*",'2024 AC'!E$3:E$250)</f>
        <v>0</v>
      </c>
      <c r="H116" s="53">
        <f>SUMIF('2024 AC'!$B$3:$B$250,"*"&amp;$D116&amp;"*",'2024 AC'!F$3:F$250)</f>
        <v>70</v>
      </c>
      <c r="I116" s="53">
        <f>SUMIF('2024 AC'!$B$3:$B$250,"*"&amp;$D116&amp;"*",'2024 AC'!G$3:G$250)</f>
        <v>20</v>
      </c>
      <c r="J116" s="53">
        <f>SUMIF('2024 AC'!$B$3:$B$250,"*"&amp;$D116&amp;"*",'2024 AC'!H$3:H$250)</f>
        <v>10</v>
      </c>
      <c r="K116" s="53">
        <f>SUMIF('2024 AC'!$B$3:$B$250,"*"&amp;$D116&amp;"*",'2024 AC'!I$3:I$250)</f>
        <v>925</v>
      </c>
      <c r="L116" s="53">
        <f>SUMIF('2024 AC'!$B$3:$B$250,"*"&amp;$D116&amp;"*",'2024 AC'!J$3:J$250)</f>
        <v>1030</v>
      </c>
      <c r="M116" s="53">
        <f>SUMIF('2024 AC'!$B$3:$B$250,"*"&amp;$D116&amp;"*",'2024 AC'!K$3:K$250)</f>
        <v>370</v>
      </c>
      <c r="N116" s="53">
        <f>SUMIF('2024 AC'!$B$3:$B$250,"*"&amp;$D116&amp;"*",'2024 AC'!L$3:L$250)</f>
        <v>1530</v>
      </c>
      <c r="O116" s="53">
        <f>SUMIF('2024 AC'!$B$3:$B$250,"*"&amp;$D116&amp;"*",'2024 AC'!M$3:M$250)</f>
        <v>90</v>
      </c>
      <c r="P116" s="93">
        <f>SUMIF('2024 AC'!$B$3:$B$250,"*"&amp;$D116&amp;"*",'2024 AC'!N$3:N$250)</f>
        <v>1070</v>
      </c>
      <c r="Q116" s="92">
        <f t="shared" si="357"/>
        <v>5330</v>
      </c>
      <c r="R116" s="93">
        <f t="shared" si="358"/>
        <v>215</v>
      </c>
      <c r="S116" s="93">
        <f t="shared" si="359"/>
        <v>100</v>
      </c>
      <c r="T116" s="93">
        <f t="shared" si="360"/>
        <v>2325</v>
      </c>
      <c r="U116" s="93">
        <f t="shared" si="361"/>
        <v>2690</v>
      </c>
      <c r="V116" s="92">
        <f t="shared" si="362"/>
        <v>5330</v>
      </c>
    </row>
    <row r="117" ht="15" customHeight="1" outlineLevel="1">
      <c r="A117" t="s">
        <v>255</v>
      </c>
      <c r="B117" t="s">
        <v>256</v>
      </c>
      <c r="C117" s="52" t="s">
        <v>257</v>
      </c>
      <c r="D117" s="35" t="s">
        <v>256</v>
      </c>
      <c r="E117" s="63">
        <f>SUMIF('2024 AC'!$B$3:$B$250,"*"&amp;$D117&amp;"*",'2024 AC'!C$3:C$250)</f>
        <v>0</v>
      </c>
      <c r="F117" s="53">
        <f>SUMIF('2024 AC'!$B$3:$B$250,"*"&amp;$D117&amp;"*",'2024 AC'!D$3:D$250)</f>
        <v>0</v>
      </c>
      <c r="G117" s="53">
        <f>SUMIF('2024 AC'!$B$3:$B$250,"*"&amp;$D117&amp;"*",'2024 AC'!E$3:E$250)</f>
        <v>187</v>
      </c>
      <c r="H117" s="53">
        <f>SUMIF('2024 AC'!$B$3:$B$250,"*"&amp;$D117&amp;"*",'2024 AC'!F$3:F$250)</f>
        <v>0</v>
      </c>
      <c r="I117" s="53">
        <f>SUMIF('2024 AC'!$B$3:$B$250,"*"&amp;$D117&amp;"*",'2024 AC'!G$3:G$250)</f>
        <v>215</v>
      </c>
      <c r="J117" s="53">
        <f>SUMIF('2024 AC'!$B$3:$B$250,"*"&amp;$D117&amp;"*",'2024 AC'!H$3:H$250)</f>
        <v>0</v>
      </c>
      <c r="K117" s="53">
        <f>SUMIF('2024 AC'!$B$3:$B$250,"*"&amp;$D117&amp;"*",'2024 AC'!I$3:I$250)</f>
        <v>544</v>
      </c>
      <c r="L117" s="53">
        <f>SUMIF('2024 AC'!$B$3:$B$250,"*"&amp;$D117&amp;"*",'2024 AC'!J$3:J$250)</f>
        <v>0</v>
      </c>
      <c r="M117" s="53">
        <f>SUMIF('2024 AC'!$B$3:$B$250,"*"&amp;$D117&amp;"*",'2024 AC'!K$3:K$250)</f>
        <v>0</v>
      </c>
      <c r="N117" s="53">
        <f>SUMIF('2024 AC'!$B$3:$B$250,"*"&amp;$D117&amp;"*",'2024 AC'!L$3:L$250)</f>
        <v>433</v>
      </c>
      <c r="O117" s="53">
        <f>SUMIF('2024 AC'!$B$3:$B$250,"*"&amp;$D117&amp;"*",'2024 AC'!M$3:M$250)</f>
        <v>433</v>
      </c>
      <c r="P117" s="93">
        <f>SUMIF('2024 AC'!$B$3:$B$250,"*"&amp;$D117&amp;"*",'2024 AC'!N$3:N$250)</f>
        <v>0</v>
      </c>
      <c r="Q117" s="92">
        <f t="shared" si="357"/>
        <v>1812</v>
      </c>
      <c r="R117" s="93">
        <f t="shared" si="358"/>
        <v>187</v>
      </c>
      <c r="S117" s="93">
        <f t="shared" si="359"/>
        <v>215</v>
      </c>
      <c r="T117" s="93">
        <f t="shared" si="360"/>
        <v>544</v>
      </c>
      <c r="U117" s="93">
        <f t="shared" si="361"/>
        <v>866</v>
      </c>
      <c r="V117" s="92">
        <f t="shared" si="362"/>
        <v>1812</v>
      </c>
    </row>
    <row r="118" ht="15" customHeight="1" outlineLevel="1">
      <c r="A118" t="s">
        <v>258</v>
      </c>
      <c r="B118" t="s">
        <v>259</v>
      </c>
      <c r="C118" s="34" t="s">
        <v>260</v>
      </c>
      <c r="D118" s="35" t="s">
        <v>259</v>
      </c>
      <c r="E118" s="63">
        <f>SUMIF('2024 AC'!$B$3:$B$250,"*"&amp;$D118&amp;"*",'2024 AC'!C$3:C$250)</f>
        <v>0</v>
      </c>
      <c r="F118" s="53">
        <f>SUMIF('2024 AC'!$B$3:$B$250,"*"&amp;$D118&amp;"*",'2024 AC'!D$3:D$250)</f>
        <v>0</v>
      </c>
      <c r="G118" s="53">
        <f>SUMIF('2024 AC'!$B$3:$B$250,"*"&amp;$D118&amp;"*",'2024 AC'!E$3:E$250)</f>
        <v>0</v>
      </c>
      <c r="H118" s="53">
        <f>SUMIF('2024 AC'!$B$3:$B$250,"*"&amp;$D118&amp;"*",'2024 AC'!F$3:F$250)</f>
        <v>0</v>
      </c>
      <c r="I118" s="53">
        <f>SUMIF('2024 AC'!$B$3:$B$250,"*"&amp;$D118&amp;"*",'2024 AC'!G$3:G$250)</f>
        <v>0</v>
      </c>
      <c r="J118" s="53">
        <f>SUMIF('2024 AC'!$B$3:$B$250,"*"&amp;$D118&amp;"*",'2024 AC'!H$3:H$250)</f>
        <v>0</v>
      </c>
      <c r="K118" s="53">
        <f>SUMIF('2024 AC'!$B$3:$B$250,"*"&amp;$D118&amp;"*",'2024 AC'!I$3:I$250)</f>
        <v>0</v>
      </c>
      <c r="L118" s="53">
        <f>SUMIF('2024 AC'!$B$3:$B$250,"*"&amp;$D118&amp;"*",'2024 AC'!J$3:J$250)</f>
        <v>0</v>
      </c>
      <c r="M118" s="53">
        <f>SUMIF('2024 AC'!$B$3:$B$250,"*"&amp;$D118&amp;"*",'2024 AC'!K$3:K$250)</f>
        <v>0</v>
      </c>
      <c r="N118" s="53">
        <f>SUMIF('2024 AC'!$B$3:$B$250,"*"&amp;$D118&amp;"*",'2024 AC'!L$3:L$250)</f>
        <v>0</v>
      </c>
      <c r="O118" s="53">
        <f>SUMIF('2024 AC'!$B$3:$B$250,"*"&amp;$D118&amp;"*",'2024 AC'!M$3:M$250)</f>
        <v>0</v>
      </c>
      <c r="P118" s="93">
        <f>SUMIF('2024 AC'!$B$3:$B$250,"*"&amp;$D118&amp;"*",'2024 AC'!N$3:N$250)</f>
        <v>0</v>
      </c>
      <c r="Q118" s="92">
        <f t="shared" si="357"/>
        <v>0</v>
      </c>
      <c r="R118" s="93">
        <f t="shared" si="358"/>
        <v>0</v>
      </c>
      <c r="S118" s="93">
        <f t="shared" si="359"/>
        <v>0</v>
      </c>
      <c r="T118" s="93">
        <f t="shared" si="360"/>
        <v>0</v>
      </c>
      <c r="U118" s="93">
        <f t="shared" si="361"/>
        <v>0</v>
      </c>
      <c r="V118" s="92">
        <f t="shared" si="362"/>
        <v>0</v>
      </c>
    </row>
    <row r="119" ht="15" customHeight="1" outlineLevel="1">
      <c r="A119" t="s">
        <v>261</v>
      </c>
      <c r="B119" t="s">
        <v>262</v>
      </c>
      <c r="C119" s="52" t="s">
        <v>263</v>
      </c>
      <c r="D119" s="35" t="s">
        <v>262</v>
      </c>
      <c r="E119" s="63">
        <f>SUMIF('2024 AC'!$B$3:$B$250,"*"&amp;$D119&amp;"*",'2024 AC'!C$3:C$250)</f>
        <v>0</v>
      </c>
      <c r="F119" s="53">
        <f>SUMIF('2024 AC'!$B$3:$B$250,"*"&amp;$D119&amp;"*",'2024 AC'!D$3:D$250)</f>
        <v>0</v>
      </c>
      <c r="G119" s="53">
        <f>SUMIF('2024 AC'!$B$3:$B$250,"*"&amp;$D119&amp;"*",'2024 AC'!E$3:E$250)</f>
        <v>0</v>
      </c>
      <c r="H119" s="53">
        <f>SUMIF('2024 AC'!$B$3:$B$250,"*"&amp;$D119&amp;"*",'2024 AC'!F$3:F$250)</f>
        <v>0</v>
      </c>
      <c r="I119" s="53">
        <f>SUMIF('2024 AC'!$B$3:$B$250,"*"&amp;$D119&amp;"*",'2024 AC'!G$3:G$250)</f>
        <v>0</v>
      </c>
      <c r="J119" s="53">
        <f>SUMIF('2024 AC'!$B$3:$B$250,"*"&amp;$D119&amp;"*",'2024 AC'!H$3:H$250)</f>
        <v>0</v>
      </c>
      <c r="K119" s="53">
        <f>SUMIF('2024 AC'!$B$3:$B$250,"*"&amp;$D119&amp;"*",'2024 AC'!I$3:I$250)</f>
        <v>0</v>
      </c>
      <c r="L119" s="53">
        <f>SUMIF('2024 AC'!$B$3:$B$250,"*"&amp;$D119&amp;"*",'2024 AC'!J$3:J$250)</f>
        <v>0</v>
      </c>
      <c r="M119" s="53">
        <f>SUMIF('2024 AC'!$B$3:$B$250,"*"&amp;$D119&amp;"*",'2024 AC'!K$3:K$250)</f>
        <v>15</v>
      </c>
      <c r="N119" s="53">
        <f>SUMIF('2024 AC'!$B$3:$B$250,"*"&amp;$D119&amp;"*",'2024 AC'!L$3:L$250)</f>
        <v>100</v>
      </c>
      <c r="O119" s="53">
        <f>SUMIF('2024 AC'!$B$3:$B$250,"*"&amp;$D119&amp;"*",'2024 AC'!M$3:M$250)</f>
        <v>0</v>
      </c>
      <c r="P119" s="93">
        <f>SUMIF('2024 AC'!$B$3:$B$250,"*"&amp;$D119&amp;"*",'2024 AC'!N$3:N$250)</f>
        <v>0</v>
      </c>
      <c r="Q119" s="92">
        <f t="shared" si="357"/>
        <v>115</v>
      </c>
      <c r="R119" s="93">
        <f t="shared" si="358"/>
        <v>0</v>
      </c>
      <c r="S119" s="93">
        <f t="shared" si="359"/>
        <v>0</v>
      </c>
      <c r="T119" s="93">
        <f t="shared" si="360"/>
        <v>15</v>
      </c>
      <c r="U119" s="93">
        <f t="shared" si="361"/>
        <v>100</v>
      </c>
      <c r="V119" s="92">
        <f t="shared" si="362"/>
        <v>115</v>
      </c>
    </row>
    <row r="120" ht="15" customHeight="1">
      <c r="A120" s="185"/>
      <c r="C120" s="34"/>
      <c r="D120" s="35"/>
      <c r="E120" s="6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93"/>
      <c r="Q120" s="92"/>
      <c r="R120" s="93">
        <f t="shared" si="358"/>
        <v>0</v>
      </c>
      <c r="S120" s="93">
        <f t="shared" si="359"/>
        <v>0</v>
      </c>
      <c r="T120" s="93">
        <f t="shared" si="360"/>
        <v>0</v>
      </c>
      <c r="U120" s="93">
        <f t="shared" si="361"/>
        <v>0</v>
      </c>
      <c r="V120" s="92">
        <f t="shared" si="362"/>
        <v>0</v>
      </c>
    </row>
    <row r="121" s="125" customFormat="1" ht="15" customHeight="1">
      <c r="A121" s="174"/>
      <c r="C121" s="126" t="s">
        <v>264</v>
      </c>
      <c r="D121" s="127"/>
      <c r="E121" s="180">
        <f>E114+E115</f>
        <v>40</v>
      </c>
      <c r="F121" s="181">
        <f t="shared" ref="F121:P121" si="367">F114+F115</f>
        <v>175</v>
      </c>
      <c r="G121" s="181">
        <f t="shared" si="367"/>
        <v>187</v>
      </c>
      <c r="H121" s="181">
        <f t="shared" si="367"/>
        <v>26.18</v>
      </c>
      <c r="I121" s="181">
        <f t="shared" si="367"/>
        <v>235</v>
      </c>
      <c r="J121" s="181">
        <f t="shared" si="367"/>
        <v>10</v>
      </c>
      <c r="K121" s="181">
        <f t="shared" si="367"/>
        <v>1469</v>
      </c>
      <c r="L121" s="181">
        <f t="shared" si="367"/>
        <v>1030</v>
      </c>
      <c r="M121" s="181">
        <f t="shared" si="367"/>
        <v>385</v>
      </c>
      <c r="N121" s="181">
        <f t="shared" si="367"/>
        <v>2063</v>
      </c>
      <c r="O121" s="181">
        <f t="shared" si="367"/>
        <v>523</v>
      </c>
      <c r="P121" s="182">
        <f t="shared" si="367"/>
        <v>1070</v>
      </c>
      <c r="Q121" s="183">
        <f t="shared" si="357"/>
        <v>7213.1800000000003</v>
      </c>
      <c r="R121" s="182">
        <f t="shared" si="358"/>
        <v>402</v>
      </c>
      <c r="S121" s="182">
        <f t="shared" si="359"/>
        <v>271.18000000000001</v>
      </c>
      <c r="T121" s="182">
        <f t="shared" si="360"/>
        <v>2884</v>
      </c>
      <c r="U121" s="182">
        <f t="shared" si="361"/>
        <v>3656</v>
      </c>
      <c r="V121" s="183">
        <f t="shared" si="362"/>
        <v>7213.1800000000003</v>
      </c>
    </row>
    <row r="122" ht="15" customHeight="1">
      <c r="A122" s="185" t="s">
        <v>265</v>
      </c>
      <c r="C122" s="34"/>
      <c r="D122" s="35"/>
      <c r="E122" s="6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93"/>
      <c r="Q122" s="92"/>
      <c r="R122" s="93">
        <f t="shared" si="358"/>
        <v>0</v>
      </c>
      <c r="S122" s="93">
        <f t="shared" si="359"/>
        <v>0</v>
      </c>
      <c r="T122" s="93">
        <f t="shared" si="360"/>
        <v>0</v>
      </c>
      <c r="U122" s="93">
        <f t="shared" si="361"/>
        <v>0</v>
      </c>
      <c r="V122" s="92">
        <f t="shared" si="362"/>
        <v>0</v>
      </c>
    </row>
    <row r="123">
      <c r="A123" t="s">
        <v>266</v>
      </c>
      <c r="B123" t="s">
        <v>267</v>
      </c>
      <c r="C123" s="165" t="s">
        <v>268</v>
      </c>
      <c r="D123" s="35"/>
      <c r="E123" s="6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93"/>
      <c r="Q123" s="92"/>
      <c r="R123" s="93">
        <f t="shared" si="358"/>
        <v>0</v>
      </c>
      <c r="S123" s="93">
        <f t="shared" si="359"/>
        <v>0</v>
      </c>
      <c r="T123" s="93">
        <f t="shared" si="360"/>
        <v>0</v>
      </c>
      <c r="U123" s="93">
        <f t="shared" si="361"/>
        <v>0</v>
      </c>
      <c r="V123" s="92">
        <f t="shared" si="362"/>
        <v>0</v>
      </c>
    </row>
    <row r="124">
      <c r="C124" s="165"/>
      <c r="D124" s="35"/>
      <c r="E124" s="6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93"/>
      <c r="Q124" s="92"/>
      <c r="R124" s="93">
        <f t="shared" si="358"/>
        <v>0</v>
      </c>
      <c r="S124" s="93">
        <f t="shared" si="359"/>
        <v>0</v>
      </c>
      <c r="T124" s="93">
        <f t="shared" si="360"/>
        <v>0</v>
      </c>
      <c r="U124" s="93">
        <f t="shared" si="361"/>
        <v>0</v>
      </c>
      <c r="V124" s="92">
        <f t="shared" si="362"/>
        <v>0</v>
      </c>
    </row>
    <row r="125" s="137" customFormat="1" ht="15" customHeight="1">
      <c r="A125" s="137" t="s">
        <v>269</v>
      </c>
      <c r="B125" s="137" t="s">
        <v>270</v>
      </c>
      <c r="C125" s="187" t="s">
        <v>271</v>
      </c>
      <c r="D125" s="139" t="s">
        <v>267</v>
      </c>
      <c r="E125" s="145">
        <f>SUMIF('2024 AC'!$B$3:$B$250,"*"&amp;$D125&amp;"*",'2024 AC'!C$3:C$250)</f>
        <v>303584.75</v>
      </c>
      <c r="F125" s="146">
        <f>SUMIF('2024 AC'!$B$3:$B$250,"*"&amp;$D125&amp;"*",'2024 AC'!D$3:D$250)</f>
        <v>229950.04999999999</v>
      </c>
      <c r="G125" s="146">
        <f>SUMIF('2024 AC'!$B$3:$B$250,"*"&amp;$D125&amp;"*",'2024 AC'!E$3:E$250)</f>
        <v>252066.26000000001</v>
      </c>
      <c r="H125" s="146">
        <f>SUMIF('2024 AC'!$B$3:$B$250,"*"&amp;$D125&amp;"*",'2024 AC'!F$3:F$250)</f>
        <v>222693.20999999999</v>
      </c>
      <c r="I125" s="146">
        <f>SUMIF('2024 AC'!$B$3:$B$250,"*"&amp;$D125&amp;"*",'2024 AC'!G$3:G$250)</f>
        <v>243568.64000000001</v>
      </c>
      <c r="J125" s="146">
        <f>SUMIF('2024 AC'!$B$3:$B$250,"*"&amp;$D125&amp;"*",'2024 AC'!H$3:H$250)</f>
        <v>240697.82999999999</v>
      </c>
      <c r="K125" s="146">
        <f>SUMIF('2024 AC'!$B$3:$B$250,"*"&amp;$D125&amp;"*",'2024 AC'!I$3:I$250)</f>
        <v>275650.85999999999</v>
      </c>
      <c r="L125" s="146">
        <f>SUMIF('2024 AC'!$B$3:$B$250,"*"&amp;$D125&amp;"*",'2024 AC'!J$3:J$250)</f>
        <v>241719.82000000001</v>
      </c>
      <c r="M125" s="146">
        <f>SUMIF('2024 AC'!$B$3:$B$250,"*"&amp;$D125&amp;"*",'2024 AC'!K$3:K$250)</f>
        <v>226860.41</v>
      </c>
      <c r="N125" s="146">
        <f>SUMIF('2024 AC'!$B$3:$B$250,"*"&amp;$D125&amp;"*",'2024 AC'!L$3:L$250)</f>
        <v>242032.26999999999</v>
      </c>
      <c r="O125" s="146">
        <f>SUMIF('2024 AC'!$B$3:$B$250,"*"&amp;$D125&amp;"*",'2024 AC'!M$3:M$250)</f>
        <v>219066.87</v>
      </c>
      <c r="P125" s="147">
        <f>SUMIF('2024 AC'!$B$3:$B$250,"*"&amp;$D125&amp;"*",'2024 AC'!N$3:N$250)</f>
        <v>230263.72</v>
      </c>
      <c r="Q125" s="148">
        <f t="shared" si="357"/>
        <v>2928154.6900000004</v>
      </c>
      <c r="R125" s="147">
        <f t="shared" si="358"/>
        <v>785601.06000000006</v>
      </c>
      <c r="S125" s="147">
        <f t="shared" si="359"/>
        <v>706959.67999999993</v>
      </c>
      <c r="T125" s="147">
        <f t="shared" si="360"/>
        <v>744231.08999999997</v>
      </c>
      <c r="U125" s="147">
        <f t="shared" si="361"/>
        <v>691362.85999999999</v>
      </c>
      <c r="V125" s="148">
        <f t="shared" si="362"/>
        <v>2928154.6899999999</v>
      </c>
    </row>
    <row r="126" ht="15" customHeight="1" outlineLevel="1">
      <c r="A126" t="s">
        <v>272</v>
      </c>
      <c r="B126" t="s">
        <v>273</v>
      </c>
      <c r="C126" s="34" t="s">
        <v>274</v>
      </c>
      <c r="D126" s="35" t="s">
        <v>270</v>
      </c>
      <c r="E126" s="63">
        <f>SUMIF('2024 AC'!$B$3:$B$250,"*"&amp;$D126&amp;"*",'2024 AC'!C$3:C$250)</f>
        <v>206965.85000000001</v>
      </c>
      <c r="F126" s="53">
        <f>SUMIF('2024 AC'!$B$3:$B$250,"*"&amp;$D126&amp;"*",'2024 AC'!D$3:D$250)</f>
        <v>153116.42000000001</v>
      </c>
      <c r="G126" s="53">
        <f>SUMIF('2024 AC'!$B$3:$B$250,"*"&amp;$D126&amp;"*",'2024 AC'!E$3:E$250)</f>
        <v>168110.14000000001</v>
      </c>
      <c r="H126" s="53">
        <f>SUMIF('2024 AC'!$B$3:$B$250,"*"&amp;$D126&amp;"*",'2024 AC'!F$3:F$250)</f>
        <v>166661.51000000001</v>
      </c>
      <c r="I126" s="53">
        <f>SUMIF('2024 AC'!$B$3:$B$250,"*"&amp;$D126&amp;"*",'2024 AC'!G$3:G$250)</f>
        <v>163763.56</v>
      </c>
      <c r="J126" s="53">
        <f>SUMIF('2024 AC'!$B$3:$B$250,"*"&amp;$D126&amp;"*",'2024 AC'!H$3:H$250)</f>
        <v>164526.91</v>
      </c>
      <c r="K126" s="53">
        <f>SUMIF('2024 AC'!$B$3:$B$250,"*"&amp;$D126&amp;"*",'2024 AC'!I$3:I$250)</f>
        <v>159440.79999999999</v>
      </c>
      <c r="L126" s="53">
        <f>SUMIF('2024 AC'!$B$3:$B$250,"*"&amp;$D126&amp;"*",'2024 AC'!J$3:J$250)</f>
        <v>154378.51999999999</v>
      </c>
      <c r="M126" s="53">
        <f>SUMIF('2024 AC'!$B$3:$B$250,"*"&amp;$D126&amp;"*",'2024 AC'!K$3:K$250)</f>
        <v>145051.91</v>
      </c>
      <c r="N126" s="53">
        <f>SUMIF('2024 AC'!$B$3:$B$250,"*"&amp;$D126&amp;"*",'2024 AC'!L$3:L$250)</f>
        <v>140645.85000000001</v>
      </c>
      <c r="O126" s="53">
        <f>SUMIF('2024 AC'!$B$3:$B$250,"*"&amp;$D126&amp;"*",'2024 AC'!M$3:M$250)</f>
        <v>134980.37</v>
      </c>
      <c r="P126" s="93">
        <f>SUMIF('2024 AC'!$B$3:$B$250,"*"&amp;$D126&amp;"*",'2024 AC'!N$3:N$250)</f>
        <v>137474.07999999999</v>
      </c>
      <c r="Q126" s="92">
        <f t="shared" si="357"/>
        <v>1895115.9199999999</v>
      </c>
      <c r="R126" s="93">
        <f t="shared" si="358"/>
        <v>528192.41000000003</v>
      </c>
      <c r="S126" s="93">
        <f t="shared" si="359"/>
        <v>494951.97999999998</v>
      </c>
      <c r="T126" s="93">
        <f t="shared" si="360"/>
        <v>458871.22999999998</v>
      </c>
      <c r="U126" s="93">
        <f t="shared" si="361"/>
        <v>413100.29999999993</v>
      </c>
      <c r="V126" s="92">
        <f t="shared" si="362"/>
        <v>1895115.9199999999</v>
      </c>
    </row>
    <row r="127" ht="15" customHeight="1" outlineLevel="1">
      <c r="A127" t="s">
        <v>272</v>
      </c>
      <c r="B127" t="s">
        <v>273</v>
      </c>
      <c r="C127" s="34" t="s">
        <v>275</v>
      </c>
      <c r="D127" s="35" t="s">
        <v>273</v>
      </c>
      <c r="E127" s="63">
        <f>SUMIF('2024 AC'!$B$3:$B$250,"*"&amp;$D127&amp;"*",'2024 AC'!C$3:C$250)</f>
        <v>48754</v>
      </c>
      <c r="F127" s="53">
        <f>SUMIF('2024 AC'!$B$3:$B$250,"*"&amp;$D127&amp;"*",'2024 AC'!D$3:D$250)</f>
        <v>36644</v>
      </c>
      <c r="G127" s="53">
        <f>SUMIF('2024 AC'!$B$3:$B$250,"*"&amp;$D127&amp;"*",'2024 AC'!E$3:E$250)</f>
        <v>39440</v>
      </c>
      <c r="H127" s="53">
        <f>SUMIF('2024 AC'!$B$3:$B$250,"*"&amp;$D127&amp;"*",'2024 AC'!F$3:F$250)</f>
        <v>39575</v>
      </c>
      <c r="I127" s="53">
        <f>SUMIF('2024 AC'!$B$3:$B$250,"*"&amp;$D127&amp;"*",'2024 AC'!G$3:G$250)</f>
        <v>39785</v>
      </c>
      <c r="J127" s="53">
        <f>SUMIF('2024 AC'!$B$3:$B$250,"*"&amp;$D127&amp;"*",'2024 AC'!H$3:H$250)</f>
        <v>37934</v>
      </c>
      <c r="K127" s="53">
        <f>SUMIF('2024 AC'!$B$3:$B$250,"*"&amp;$D127&amp;"*",'2024 AC'!I$3:I$250)</f>
        <v>37792</v>
      </c>
      <c r="L127" s="53">
        <f>SUMIF('2024 AC'!$B$3:$B$250,"*"&amp;$D127&amp;"*",'2024 AC'!J$3:J$250)</f>
        <v>37291</v>
      </c>
      <c r="M127" s="53">
        <f>SUMIF('2024 AC'!$B$3:$B$250,"*"&amp;$D127&amp;"*",'2024 AC'!K$3:K$250)</f>
        <v>32717</v>
      </c>
      <c r="N127" s="53">
        <f>SUMIF('2024 AC'!$B$3:$B$250,"*"&amp;$D127&amp;"*",'2024 AC'!L$3:L$250)</f>
        <v>32213</v>
      </c>
      <c r="O127" s="53">
        <f>SUMIF('2024 AC'!$B$3:$B$250,"*"&amp;$D127&amp;"*",'2024 AC'!M$3:M$250)</f>
        <v>31798</v>
      </c>
      <c r="P127" s="93">
        <f>SUMIF('2024 AC'!$B$3:$B$250,"*"&amp;$D127&amp;"*",'2024 AC'!N$3:N$250)</f>
        <v>31814</v>
      </c>
      <c r="Q127" s="92">
        <f t="shared" si="357"/>
        <v>445757</v>
      </c>
      <c r="R127" s="93">
        <f t="shared" si="358"/>
        <v>124838</v>
      </c>
      <c r="S127" s="93">
        <f t="shared" si="359"/>
        <v>117294</v>
      </c>
      <c r="T127" s="93">
        <f t="shared" si="360"/>
        <v>107800</v>
      </c>
      <c r="U127" s="93">
        <f t="shared" si="361"/>
        <v>95825</v>
      </c>
      <c r="V127" s="92">
        <f t="shared" si="362"/>
        <v>445757</v>
      </c>
    </row>
    <row r="128" ht="15" customHeight="1" outlineLevel="1">
      <c r="A128" t="s">
        <v>276</v>
      </c>
      <c r="B128" t="s">
        <v>277</v>
      </c>
      <c r="C128" s="34" t="s">
        <v>278</v>
      </c>
      <c r="D128" s="35" t="s">
        <v>277</v>
      </c>
      <c r="E128" s="63">
        <f>SUMIF('2024 AC'!$B$3:$B$250,"*"&amp;$D128&amp;"*",'2024 AC'!C$3:C$250)</f>
        <v>3552.0999999999999</v>
      </c>
      <c r="F128" s="53">
        <f>SUMIF('2024 AC'!$B$3:$B$250,"*"&amp;$D128&amp;"*",'2024 AC'!D$3:D$250)</f>
        <v>3557.0999999999999</v>
      </c>
      <c r="G128" s="53">
        <f>SUMIF('2024 AC'!$B$3:$B$250,"*"&amp;$D128&amp;"*",'2024 AC'!E$3:E$250)</f>
        <v>3895.3000000000002</v>
      </c>
      <c r="H128" s="53">
        <f>SUMIF('2024 AC'!$B$3:$B$250,"*"&amp;$D128&amp;"*",'2024 AC'!F$3:F$250)</f>
        <v>3883.9000000000001</v>
      </c>
      <c r="I128" s="53">
        <f>SUMIF('2024 AC'!$B$3:$B$250,"*"&amp;$D128&amp;"*",'2024 AC'!G$3:G$250)</f>
        <v>3744.4000000000001</v>
      </c>
      <c r="J128" s="53">
        <f>SUMIF('2024 AC'!$B$3:$B$250,"*"&amp;$D128&amp;"*",'2024 AC'!H$3:H$250)</f>
        <v>3826.3000000000002</v>
      </c>
      <c r="K128" s="53">
        <f>SUMIF('2024 AC'!$B$3:$B$250,"*"&amp;$D128&amp;"*",'2024 AC'!I$3:I$250)</f>
        <v>3743.0999999999999</v>
      </c>
      <c r="L128" s="53">
        <f>SUMIF('2024 AC'!$B$3:$B$250,"*"&amp;$D128&amp;"*",'2024 AC'!J$3:J$250)</f>
        <v>3625</v>
      </c>
      <c r="M128" s="53">
        <f>SUMIF('2024 AC'!$B$3:$B$250,"*"&amp;$D128&amp;"*",'2024 AC'!K$3:K$250)</f>
        <v>3364.8000000000002</v>
      </c>
      <c r="N128" s="53">
        <f>SUMIF('2024 AC'!$B$3:$B$250,"*"&amp;$D128&amp;"*",'2024 AC'!L$3:L$250)</f>
        <v>3372.5999999999999</v>
      </c>
      <c r="O128" s="53">
        <f>SUMIF('2024 AC'!$B$3:$B$250,"*"&amp;$D128&amp;"*",'2024 AC'!M$3:M$250)</f>
        <v>3230.4000000000001</v>
      </c>
      <c r="P128" s="93">
        <f>SUMIF('2024 AC'!$B$3:$B$250,"*"&amp;$D128&amp;"*",'2024 AC'!N$3:N$250)</f>
        <v>3293.8000000000002</v>
      </c>
      <c r="Q128" s="92">
        <f t="shared" si="357"/>
        <v>43088.800000000003</v>
      </c>
      <c r="R128" s="93">
        <f t="shared" si="358"/>
        <v>11004.5</v>
      </c>
      <c r="S128" s="93">
        <f t="shared" si="359"/>
        <v>11454.6</v>
      </c>
      <c r="T128" s="93">
        <f t="shared" si="360"/>
        <v>10732.900000000001</v>
      </c>
      <c r="U128" s="93">
        <f t="shared" si="361"/>
        <v>9896.7999999999993</v>
      </c>
      <c r="V128" s="92">
        <f t="shared" si="362"/>
        <v>43088.800000000003</v>
      </c>
    </row>
    <row r="129" ht="15" customHeight="1" outlineLevel="1">
      <c r="A129" t="s">
        <v>279</v>
      </c>
      <c r="B129" t="s">
        <v>280</v>
      </c>
      <c r="C129" s="34" t="s">
        <v>281</v>
      </c>
      <c r="D129" s="35" t="s">
        <v>280</v>
      </c>
      <c r="E129" s="63">
        <f>SUMIF('2024 AC'!$B$3:$B$250,"*"&amp;$D129&amp;"*",'2024 AC'!C$3:C$250)</f>
        <v>611.39999999999998</v>
      </c>
      <c r="F129" s="53">
        <f>SUMIF('2024 AC'!$B$3:$B$250,"*"&amp;$D129&amp;"*",'2024 AC'!D$3:D$250)</f>
        <v>613.20000000000005</v>
      </c>
      <c r="G129" s="53">
        <f>SUMIF('2024 AC'!$B$3:$B$250,"*"&amp;$D129&amp;"*",'2024 AC'!E$3:E$250)</f>
        <v>672.39999999999998</v>
      </c>
      <c r="H129" s="53">
        <f>SUMIF('2024 AC'!$B$3:$B$250,"*"&amp;$D129&amp;"*",'2024 AC'!F$3:F$250)</f>
        <v>670.39999999999998</v>
      </c>
      <c r="I129" s="53">
        <f>SUMIF('2024 AC'!$B$3:$B$250,"*"&amp;$D129&amp;"*",'2024 AC'!G$3:G$250)</f>
        <v>645.79999999999995</v>
      </c>
      <c r="J129" s="53">
        <f>SUMIF('2024 AC'!$B$3:$B$250,"*"&amp;$D129&amp;"*",'2024 AC'!H$3:H$250)</f>
        <v>667.20000000000005</v>
      </c>
      <c r="K129" s="53">
        <f>SUMIF('2024 AC'!$B$3:$B$250,"*"&amp;$D129&amp;"*",'2024 AC'!I$3:I$250)</f>
        <v>647.70000000000005</v>
      </c>
      <c r="L129" s="53">
        <f>SUMIF('2024 AC'!$B$3:$B$250,"*"&amp;$D129&amp;"*",'2024 AC'!J$3:J$250)</f>
        <v>627.60000000000002</v>
      </c>
      <c r="M129" s="53">
        <f>SUMIF('2024 AC'!$B$3:$B$250,"*"&amp;$D129&amp;"*",'2024 AC'!K$3:K$250)</f>
        <v>571.79999999999995</v>
      </c>
      <c r="N129" s="53">
        <f>SUMIF('2024 AC'!$B$3:$B$250,"*"&amp;$D129&amp;"*",'2024 AC'!L$3:L$250)</f>
        <v>573</v>
      </c>
      <c r="O129" s="53">
        <f>SUMIF('2024 AC'!$B$3:$B$250,"*"&amp;$D129&amp;"*",'2024 AC'!M$3:M$250)</f>
        <v>548.79999999999995</v>
      </c>
      <c r="P129" s="93">
        <f>SUMIF('2024 AC'!$B$3:$B$250,"*"&amp;$D129&amp;"*",'2024 AC'!N$3:N$250)</f>
        <v>559.20000000000005</v>
      </c>
      <c r="Q129" s="92">
        <f t="shared" si="357"/>
        <v>7408.5</v>
      </c>
      <c r="R129" s="93">
        <f t="shared" si="358"/>
        <v>1897</v>
      </c>
      <c r="S129" s="93">
        <f t="shared" si="359"/>
        <v>1983.3999999999999</v>
      </c>
      <c r="T129" s="93">
        <f t="shared" si="360"/>
        <v>1847.1000000000001</v>
      </c>
      <c r="U129" s="93">
        <f t="shared" si="361"/>
        <v>1681</v>
      </c>
      <c r="V129" s="92">
        <f t="shared" si="362"/>
        <v>7408.5</v>
      </c>
    </row>
    <row r="130" ht="15" customHeight="1" outlineLevel="1">
      <c r="A130" t="s">
        <v>282</v>
      </c>
      <c r="B130" t="s">
        <v>283</v>
      </c>
      <c r="C130" s="34" t="s">
        <v>284</v>
      </c>
      <c r="D130" s="35" t="s">
        <v>283</v>
      </c>
      <c r="E130" s="63">
        <f>SUMIF('2024 AC'!$B$3:$B$250,"*"&amp;$D130&amp;"*",'2024 AC'!C$3:C$250)</f>
        <v>5155.8000000000002</v>
      </c>
      <c r="F130" s="53">
        <f>SUMIF('2024 AC'!$B$3:$B$250,"*"&amp;$D130&amp;"*",'2024 AC'!D$3:D$250)</f>
        <v>1444.8499999999999</v>
      </c>
      <c r="G130" s="53">
        <f>SUMIF('2024 AC'!$B$3:$B$250,"*"&amp;$D130&amp;"*",'2024 AC'!E$3:E$250)</f>
        <v>1873.2</v>
      </c>
      <c r="H130" s="53">
        <f>SUMIF('2024 AC'!$B$3:$B$250,"*"&amp;$D130&amp;"*",'2024 AC'!F$3:F$250)</f>
        <v>1840.2</v>
      </c>
      <c r="I130" s="53">
        <f>SUMIF('2024 AC'!$B$3:$B$250,"*"&amp;$D130&amp;"*",'2024 AC'!G$3:G$250)</f>
        <v>2128.8499999999999</v>
      </c>
      <c r="J130" s="53">
        <f>SUMIF('2024 AC'!$B$3:$B$250,"*"&amp;$D130&amp;"*",'2024 AC'!H$3:H$250)</f>
        <v>1438.0999999999999</v>
      </c>
      <c r="K130" s="53">
        <f>SUMIF('2024 AC'!$B$3:$B$250,"*"&amp;$D130&amp;"*",'2024 AC'!I$3:I$250)</f>
        <v>1230.6500000000001</v>
      </c>
      <c r="L130" s="53">
        <f>SUMIF('2024 AC'!$B$3:$B$250,"*"&amp;$D130&amp;"*",'2024 AC'!J$3:J$250)</f>
        <v>1281.9000000000001</v>
      </c>
      <c r="M130" s="53">
        <f>SUMIF('2024 AC'!$B$3:$B$250,"*"&amp;$D130&amp;"*",'2024 AC'!K$3:K$250)</f>
        <v>1510.8499999999999</v>
      </c>
      <c r="N130" s="53">
        <f>SUMIF('2024 AC'!$B$3:$B$250,"*"&amp;$D130&amp;"*",'2024 AC'!L$3:L$250)</f>
        <v>1410.74</v>
      </c>
      <c r="O130" s="53">
        <f>SUMIF('2024 AC'!$B$3:$B$250,"*"&amp;$D130&amp;"*",'2024 AC'!M$3:M$250)</f>
        <v>1181.3499999999999</v>
      </c>
      <c r="P130" s="93">
        <f>SUMIF('2024 AC'!$B$3:$B$250,"*"&amp;$D130&amp;"*",'2024 AC'!N$3:N$250)</f>
        <v>1249.55</v>
      </c>
      <c r="Q130" s="92">
        <f t="shared" si="357"/>
        <v>21746.040000000001</v>
      </c>
      <c r="R130" s="93">
        <f t="shared" si="358"/>
        <v>8473.8500000000004</v>
      </c>
      <c r="S130" s="93">
        <f t="shared" si="359"/>
        <v>5407.1499999999996</v>
      </c>
      <c r="T130" s="93">
        <f t="shared" si="360"/>
        <v>4023.4000000000001</v>
      </c>
      <c r="U130" s="93">
        <f t="shared" si="361"/>
        <v>3841.6400000000003</v>
      </c>
      <c r="V130" s="92">
        <f t="shared" si="362"/>
        <v>21746.040000000001</v>
      </c>
    </row>
    <row r="131" ht="15" customHeight="1" outlineLevel="1">
      <c r="A131" t="s">
        <v>285</v>
      </c>
      <c r="B131" t="s">
        <v>286</v>
      </c>
      <c r="C131" s="34" t="s">
        <v>287</v>
      </c>
      <c r="D131" s="35" t="s">
        <v>286</v>
      </c>
      <c r="E131" s="63">
        <f>SUMIF('2024 AC'!$B$3:$B$250,"*"&amp;$D131&amp;"*",'2024 AC'!C$3:C$250)</f>
        <v>1550.6900000000001</v>
      </c>
      <c r="F131" s="53">
        <f>SUMIF('2024 AC'!$B$3:$B$250,"*"&amp;$D131&amp;"*",'2024 AC'!D$3:D$250)</f>
        <v>1599</v>
      </c>
      <c r="G131" s="53">
        <f>SUMIF('2024 AC'!$B$3:$B$250,"*"&amp;$D131&amp;"*",'2024 AC'!E$3:E$250)</f>
        <v>1715.3199999999999</v>
      </c>
      <c r="H131" s="53">
        <f>SUMIF('2024 AC'!$B$3:$B$250,"*"&amp;$D131&amp;"*",'2024 AC'!F$3:F$250)</f>
        <v>2870.2399999999998</v>
      </c>
      <c r="I131" s="53">
        <f>SUMIF('2024 AC'!$B$3:$B$250,"*"&amp;$D131&amp;"*",'2024 AC'!G$3:G$250)</f>
        <v>1645.53</v>
      </c>
      <c r="J131" s="53">
        <f>SUMIF('2024 AC'!$B$3:$B$250,"*"&amp;$D131&amp;"*",'2024 AC'!H$3:H$250)</f>
        <v>1649.5</v>
      </c>
      <c r="K131" s="53">
        <f>SUMIF('2024 AC'!$B$3:$B$250,"*"&amp;$D131&amp;"*",'2024 AC'!I$3:I$250)</f>
        <v>1643.1800000000001</v>
      </c>
      <c r="L131" s="53">
        <f>SUMIF('2024 AC'!$B$3:$B$250,"*"&amp;$D131&amp;"*",'2024 AC'!J$3:J$250)</f>
        <v>1622.6900000000001</v>
      </c>
      <c r="M131" s="53">
        <f>SUMIF('2024 AC'!$B$3:$B$250,"*"&amp;$D131&amp;"*",'2024 AC'!K$3:K$250)</f>
        <v>1434.3499999999999</v>
      </c>
      <c r="N131" s="53">
        <f>SUMIF('2024 AC'!$B$3:$B$250,"*"&amp;$D131&amp;"*",'2024 AC'!L$3:L$250)</f>
        <v>1413.5899999999999</v>
      </c>
      <c r="O131" s="53">
        <f>SUMIF('2024 AC'!$B$3:$B$250,"*"&amp;$D131&amp;"*",'2024 AC'!M$3:M$250)</f>
        <v>1394</v>
      </c>
      <c r="P131" s="93">
        <f>SUMIF('2024 AC'!$B$3:$B$250,"*"&amp;$D131&amp;"*",'2024 AC'!N$3:N$250)</f>
        <v>1395.5899999999999</v>
      </c>
      <c r="Q131" s="92">
        <f t="shared" si="357"/>
        <v>19933.68</v>
      </c>
      <c r="R131" s="93">
        <f t="shared" si="358"/>
        <v>4865.0100000000002</v>
      </c>
      <c r="S131" s="93">
        <f t="shared" si="359"/>
        <v>6165.2699999999995</v>
      </c>
      <c r="T131" s="93">
        <f t="shared" si="360"/>
        <v>4700.2199999999993</v>
      </c>
      <c r="U131" s="93">
        <f t="shared" si="361"/>
        <v>4203.1800000000003</v>
      </c>
      <c r="V131" s="92">
        <f t="shared" si="362"/>
        <v>19933.68</v>
      </c>
    </row>
    <row r="132" ht="15" customHeight="1" outlineLevel="1">
      <c r="A132" t="s">
        <v>288</v>
      </c>
      <c r="B132" t="s">
        <v>289</v>
      </c>
      <c r="C132" s="34" t="s">
        <v>290</v>
      </c>
      <c r="D132" s="35" t="s">
        <v>289</v>
      </c>
      <c r="E132" s="63">
        <f>SUMIF('2024 AC'!$B$3:$B$250,"*"&amp;$D132&amp;"*",'2024 AC'!C$3:C$250)</f>
        <v>0</v>
      </c>
      <c r="F132" s="53">
        <f>SUMIF('2024 AC'!$B$3:$B$250,"*"&amp;$D132&amp;"*",'2024 AC'!D$3:D$250)</f>
        <v>0</v>
      </c>
      <c r="G132" s="53">
        <f>SUMIF('2024 AC'!$B$3:$B$250,"*"&amp;$D132&amp;"*",'2024 AC'!E$3:E$250)</f>
        <v>0</v>
      </c>
      <c r="H132" s="53">
        <f>SUMIF('2024 AC'!$B$3:$B$250,"*"&amp;$D132&amp;"*",'2024 AC'!F$3:F$250)</f>
        <v>0</v>
      </c>
      <c r="I132" s="53">
        <f>SUMIF('2024 AC'!$B$3:$B$250,"*"&amp;$D132&amp;"*",'2024 AC'!G$3:G$250)</f>
        <v>0</v>
      </c>
      <c r="J132" s="53">
        <f>SUMIF('2024 AC'!$B$3:$B$250,"*"&amp;$D132&amp;"*",'2024 AC'!H$3:H$250)</f>
        <v>0</v>
      </c>
      <c r="K132" s="53">
        <f>SUMIF('2024 AC'!$B$3:$B$250,"*"&amp;$D132&amp;"*",'2024 AC'!I$3:I$250)</f>
        <v>0</v>
      </c>
      <c r="L132" s="53">
        <f>SUMIF('2024 AC'!$B$3:$B$250,"*"&amp;$D132&amp;"*",'2024 AC'!J$3:J$250)</f>
        <v>0</v>
      </c>
      <c r="M132" s="53">
        <f>SUMIF('2024 AC'!$B$3:$B$250,"*"&amp;$D132&amp;"*",'2024 AC'!K$3:K$250)</f>
        <v>0</v>
      </c>
      <c r="N132" s="53">
        <f>SUMIF('2024 AC'!$B$3:$B$250,"*"&amp;$D132&amp;"*",'2024 AC'!L$3:L$250)</f>
        <v>0</v>
      </c>
      <c r="O132" s="53">
        <f>SUMIF('2024 AC'!$B$3:$B$250,"*"&amp;$D132&amp;"*",'2024 AC'!M$3:M$250)</f>
        <v>0</v>
      </c>
      <c r="P132" s="93">
        <f>SUMIF('2024 AC'!$B$3:$B$250,"*"&amp;$D132&amp;"*",'2024 AC'!N$3:N$250)</f>
        <v>0</v>
      </c>
      <c r="Q132" s="92">
        <f t="shared" si="357"/>
        <v>0</v>
      </c>
      <c r="R132" s="93">
        <f t="shared" si="358"/>
        <v>0</v>
      </c>
      <c r="S132" s="93">
        <f t="shared" si="359"/>
        <v>0</v>
      </c>
      <c r="T132" s="93">
        <f t="shared" si="360"/>
        <v>0</v>
      </c>
      <c r="U132" s="93">
        <f t="shared" si="361"/>
        <v>0</v>
      </c>
      <c r="V132" s="92">
        <f t="shared" si="362"/>
        <v>0</v>
      </c>
    </row>
    <row r="133" ht="15" customHeight="1" outlineLevel="1">
      <c r="A133" t="s">
        <v>291</v>
      </c>
      <c r="B133" t="s">
        <v>292</v>
      </c>
      <c r="C133" s="34" t="s">
        <v>293</v>
      </c>
      <c r="D133" s="35" t="s">
        <v>292</v>
      </c>
      <c r="E133" s="63">
        <f>SUMIF('2024 AC'!$B$3:$B$250,"*"&amp;$D133&amp;"*",'2024 AC'!C$3:C$250)</f>
        <v>330</v>
      </c>
      <c r="F133" s="53">
        <f>SUMIF('2024 AC'!$B$3:$B$250,"*"&amp;$D133&amp;"*",'2024 AC'!D$3:D$250)</f>
        <v>330</v>
      </c>
      <c r="G133" s="53">
        <f>SUMIF('2024 AC'!$B$3:$B$250,"*"&amp;$D133&amp;"*",'2024 AC'!E$3:E$250)</f>
        <v>330</v>
      </c>
      <c r="H133" s="53">
        <f>SUMIF('2024 AC'!$B$3:$B$250,"*"&amp;$D133&amp;"*",'2024 AC'!F$3:F$250)</f>
        <v>330</v>
      </c>
      <c r="I133" s="53">
        <f>SUMIF('2024 AC'!$B$3:$B$250,"*"&amp;$D133&amp;"*",'2024 AC'!G$3:G$250)</f>
        <v>330</v>
      </c>
      <c r="J133" s="53">
        <f>SUMIF('2024 AC'!$B$3:$B$250,"*"&amp;$D133&amp;"*",'2024 AC'!H$3:H$250)</f>
        <v>330</v>
      </c>
      <c r="K133" s="53">
        <f>SUMIF('2024 AC'!$B$3:$B$250,"*"&amp;$D133&amp;"*",'2024 AC'!I$3:I$250)</f>
        <v>330</v>
      </c>
      <c r="L133" s="53">
        <f>SUMIF('2024 AC'!$B$3:$B$250,"*"&amp;$D133&amp;"*",'2024 AC'!J$3:J$250)</f>
        <v>330</v>
      </c>
      <c r="M133" s="53">
        <f>SUMIF('2024 AC'!$B$3:$B$250,"*"&amp;$D133&amp;"*",'2024 AC'!K$3:K$250)</f>
        <v>320</v>
      </c>
      <c r="N133" s="53">
        <f>SUMIF('2024 AC'!$B$3:$B$250,"*"&amp;$D133&amp;"*",'2024 AC'!L$3:L$250)</f>
        <v>310</v>
      </c>
      <c r="O133" s="53">
        <f>SUMIF('2024 AC'!$B$3:$B$250,"*"&amp;$D133&amp;"*",'2024 AC'!M$3:M$250)</f>
        <v>320</v>
      </c>
      <c r="P133" s="93">
        <f>SUMIF('2024 AC'!$B$3:$B$250,"*"&amp;$D133&amp;"*",'2024 AC'!N$3:N$250)</f>
        <v>320</v>
      </c>
      <c r="Q133" s="92">
        <f t="shared" si="357"/>
        <v>3910</v>
      </c>
      <c r="R133" s="93">
        <f t="shared" si="358"/>
        <v>990</v>
      </c>
      <c r="S133" s="93">
        <f t="shared" si="359"/>
        <v>990</v>
      </c>
      <c r="T133" s="93">
        <f t="shared" si="360"/>
        <v>980</v>
      </c>
      <c r="U133" s="93">
        <f t="shared" si="361"/>
        <v>950</v>
      </c>
      <c r="V133" s="92">
        <f t="shared" si="362"/>
        <v>3910</v>
      </c>
    </row>
    <row r="134" ht="15" customHeight="1" outlineLevel="1">
      <c r="A134" t="s">
        <v>294</v>
      </c>
      <c r="B134" t="s">
        <v>295</v>
      </c>
      <c r="C134" s="52" t="s">
        <v>296</v>
      </c>
      <c r="D134" s="35" t="s">
        <v>295</v>
      </c>
      <c r="E134" s="63">
        <f>SUMIF('2024 AC'!$B$3:$B$250,"*"&amp;$D134&amp;"*",'2024 AC'!C$3:C$250)</f>
        <v>0</v>
      </c>
      <c r="F134" s="53">
        <f>SUMIF('2024 AC'!$B$3:$B$250,"*"&amp;$D134&amp;"*",'2024 AC'!D$3:D$250)</f>
        <v>0</v>
      </c>
      <c r="G134" s="53">
        <f>SUMIF('2024 AC'!$B$3:$B$250,"*"&amp;$D134&amp;"*",'2024 AC'!E$3:E$250)</f>
        <v>0</v>
      </c>
      <c r="H134" s="53">
        <f>SUMIF('2024 AC'!$B$3:$B$250,"*"&amp;$D134&amp;"*",'2024 AC'!F$3:F$250)</f>
        <v>0</v>
      </c>
      <c r="I134" s="53">
        <f>SUMIF('2024 AC'!$B$3:$B$250,"*"&amp;$D134&amp;"*",'2024 AC'!G$3:G$250)</f>
        <v>0</v>
      </c>
      <c r="J134" s="53">
        <f>SUMIF('2024 AC'!$B$3:$B$250,"*"&amp;$D134&amp;"*",'2024 AC'!H$3:H$250)</f>
        <v>0</v>
      </c>
      <c r="K134" s="53">
        <f>SUMIF('2024 AC'!$B$3:$B$250,"*"&amp;$D134&amp;"*",'2024 AC'!I$3:I$250)</f>
        <v>7287.25</v>
      </c>
      <c r="L134" s="53">
        <f>SUMIF('2024 AC'!$B$3:$B$250,"*"&amp;$D134&amp;"*",'2024 AC'!J$3:J$250)</f>
        <v>0</v>
      </c>
      <c r="M134" s="53">
        <f>SUMIF('2024 AC'!$B$3:$B$250,"*"&amp;$D134&amp;"*",'2024 AC'!K$3:K$250)</f>
        <v>0</v>
      </c>
      <c r="N134" s="53">
        <f>SUMIF('2024 AC'!$B$3:$B$250,"*"&amp;$D134&amp;"*",'2024 AC'!L$3:L$250)</f>
        <v>21421.5</v>
      </c>
      <c r="O134" s="53">
        <f>SUMIF('2024 AC'!$B$3:$B$250,"*"&amp;$D134&amp;"*",'2024 AC'!M$3:M$250)</f>
        <v>0</v>
      </c>
      <c r="P134" s="93">
        <f>SUMIF('2024 AC'!$B$3:$B$250,"*"&amp;$D134&amp;"*",'2024 AC'!N$3:N$250)</f>
        <v>0</v>
      </c>
      <c r="Q134" s="92">
        <f t="shared" si="357"/>
        <v>28708.75</v>
      </c>
      <c r="R134" s="93">
        <f t="shared" si="358"/>
        <v>0</v>
      </c>
      <c r="S134" s="93">
        <f t="shared" si="359"/>
        <v>0</v>
      </c>
      <c r="T134" s="93">
        <f t="shared" si="360"/>
        <v>7287.25</v>
      </c>
      <c r="U134" s="93">
        <f t="shared" si="361"/>
        <v>21421.5</v>
      </c>
      <c r="V134" s="92">
        <f t="shared" si="362"/>
        <v>28708.75</v>
      </c>
    </row>
    <row r="135" ht="15" customHeight="1" outlineLevel="1">
      <c r="A135" t="s">
        <v>297</v>
      </c>
      <c r="B135" t="s">
        <v>298</v>
      </c>
      <c r="C135" s="52" t="s">
        <v>299</v>
      </c>
      <c r="D135" s="35" t="s">
        <v>298</v>
      </c>
      <c r="E135" s="63">
        <f>SUMIF('2024 AC'!$B$3:$B$250,"*"&amp;$D135&amp;"*",'2024 AC'!C$3:C$250)</f>
        <v>0</v>
      </c>
      <c r="F135" s="53">
        <f>SUMIF('2024 AC'!$B$3:$B$250,"*"&amp;$D135&amp;"*",'2024 AC'!D$3:D$250)</f>
        <v>7062</v>
      </c>
      <c r="G135" s="53">
        <f>SUMIF('2024 AC'!$B$3:$B$250,"*"&amp;$D135&amp;"*",'2024 AC'!E$3:E$250)</f>
        <v>5024</v>
      </c>
      <c r="H135" s="53">
        <f>SUMIF('2024 AC'!$B$3:$B$250,"*"&amp;$D135&amp;"*",'2024 AC'!F$3:F$250)</f>
        <v>1616</v>
      </c>
      <c r="I135" s="53">
        <f>SUMIF('2024 AC'!$B$3:$B$250,"*"&amp;$D135&amp;"*",'2024 AC'!G$3:G$250)</f>
        <v>624</v>
      </c>
      <c r="J135" s="53">
        <f>SUMIF('2024 AC'!$B$3:$B$250,"*"&amp;$D135&amp;"*",'2024 AC'!H$3:H$250)</f>
        <v>0</v>
      </c>
      <c r="K135" s="53">
        <f>SUMIF('2024 AC'!$B$3:$B$250,"*"&amp;$D135&amp;"*",'2024 AC'!I$3:I$250)</f>
        <v>1000</v>
      </c>
      <c r="L135" s="53">
        <f>SUMIF('2024 AC'!$B$3:$B$250,"*"&amp;$D135&amp;"*",'2024 AC'!J$3:J$250)</f>
        <v>3616</v>
      </c>
      <c r="M135" s="53">
        <f>SUMIF('2024 AC'!$B$3:$B$250,"*"&amp;$D135&amp;"*",'2024 AC'!K$3:K$250)</f>
        <v>1328</v>
      </c>
      <c r="N135" s="53">
        <f>SUMIF('2024 AC'!$B$3:$B$250,"*"&amp;$D135&amp;"*",'2024 AC'!L$3:L$250)</f>
        <v>1936</v>
      </c>
      <c r="O135" s="53">
        <f>SUMIF('2024 AC'!$B$3:$B$250,"*"&amp;$D135&amp;"*",'2024 AC'!M$3:M$250)</f>
        <v>2126</v>
      </c>
      <c r="P135" s="93">
        <f>SUMIF('2024 AC'!$B$3:$B$250,"*"&amp;$D135&amp;"*",'2024 AC'!N$3:N$250)</f>
        <v>832</v>
      </c>
      <c r="Q135" s="92">
        <f t="shared" si="357"/>
        <v>25164</v>
      </c>
      <c r="R135" s="93">
        <f t="shared" si="358"/>
        <v>12086</v>
      </c>
      <c r="S135" s="93">
        <f t="shared" si="359"/>
        <v>2240</v>
      </c>
      <c r="T135" s="93">
        <f t="shared" si="360"/>
        <v>5944</v>
      </c>
      <c r="U135" s="93">
        <f t="shared" si="361"/>
        <v>4894</v>
      </c>
      <c r="V135" s="92">
        <f t="shared" si="362"/>
        <v>25164</v>
      </c>
    </row>
    <row r="136" outlineLevel="1">
      <c r="A136" t="s">
        <v>300</v>
      </c>
      <c r="B136" t="s">
        <v>301</v>
      </c>
      <c r="C136" s="52" t="s">
        <v>302</v>
      </c>
      <c r="D136" s="35" t="s">
        <v>301</v>
      </c>
      <c r="E136" s="63">
        <f>SUMIF('2024 AC'!$B$3:$B$250,"*"&amp;$D136&amp;"*",'2024 AC'!C$3:C$250)</f>
        <v>25408.330000000002</v>
      </c>
      <c r="F136" s="53">
        <f>SUMIF('2024 AC'!$B$3:$B$250,"*"&amp;$D136&amp;"*",'2024 AC'!D$3:D$250)</f>
        <v>23954.700000000001</v>
      </c>
      <c r="G136" s="53">
        <f>SUMIF('2024 AC'!$B$3:$B$250,"*"&amp;$D136&amp;"*",'2024 AC'!E$3:E$250)</f>
        <v>26134.650000000001</v>
      </c>
      <c r="H136" s="53">
        <f>SUMIF('2024 AC'!$B$3:$B$250,"*"&amp;$D136&amp;"*",'2024 AC'!F$3:F$250)</f>
        <v>0</v>
      </c>
      <c r="I136" s="53">
        <f>SUMIF('2024 AC'!$B$3:$B$250,"*"&amp;$D136&amp;"*",'2024 AC'!G$3:G$250)</f>
        <v>24888.549999999999</v>
      </c>
      <c r="J136" s="53">
        <f>SUMIF('2024 AC'!$B$3:$B$250,"*"&amp;$D136&amp;"*",'2024 AC'!H$3:H$250)</f>
        <v>25615.380000000001</v>
      </c>
      <c r="K136" s="53">
        <f>SUMIF('2024 AC'!$B$3:$B$250,"*"&amp;$D136&amp;"*",'2024 AC'!I$3:I$250)</f>
        <v>25200</v>
      </c>
      <c r="L136" s="53">
        <f>SUMIF('2024 AC'!$B$3:$B$250,"*"&amp;$D136&amp;"*",'2024 AC'!J$3:J$250)</f>
        <v>30998.080000000002</v>
      </c>
      <c r="M136" s="53">
        <f>SUMIF('2024 AC'!$B$3:$B$250,"*"&amp;$D136&amp;"*",'2024 AC'!K$3:K$250)</f>
        <v>31901.939999999999</v>
      </c>
      <c r="N136" s="53">
        <f>SUMIF('2024 AC'!$B$3:$B$250,"*"&amp;$D136&amp;"*",'2024 AC'!L$3:L$250)</f>
        <v>32641.540000000001</v>
      </c>
      <c r="O136" s="53">
        <f>SUMIF('2024 AC'!$B$3:$B$250,"*"&amp;$D136&amp;"*",'2024 AC'!M$3:M$250)</f>
        <v>34581.080000000002</v>
      </c>
      <c r="P136" s="93">
        <f>SUMIF('2024 AC'!$B$3:$B$250,"*"&amp;$D136&amp;"*",'2024 AC'!N$3:N$250)</f>
        <v>33288.75</v>
      </c>
      <c r="Q136" s="92">
        <f t="shared" si="357"/>
        <v>314613</v>
      </c>
      <c r="R136" s="93">
        <f t="shared" si="358"/>
        <v>75497.679999999993</v>
      </c>
      <c r="S136" s="93">
        <f t="shared" si="359"/>
        <v>50503.93</v>
      </c>
      <c r="T136" s="93">
        <f t="shared" si="360"/>
        <v>88100.020000000004</v>
      </c>
      <c r="U136" s="93">
        <f t="shared" si="361"/>
        <v>100511.37</v>
      </c>
      <c r="V136" s="92">
        <f t="shared" si="362"/>
        <v>314613</v>
      </c>
    </row>
    <row r="137" outlineLevel="1">
      <c r="A137" t="s">
        <v>303</v>
      </c>
      <c r="B137" t="s">
        <v>304</v>
      </c>
      <c r="C137" s="34" t="s">
        <v>305</v>
      </c>
      <c r="D137" s="35" t="s">
        <v>304</v>
      </c>
      <c r="E137" s="63">
        <f>SUMIF('2024 AC'!$B$3:$B$250,"*"&amp;$D137&amp;"*",'2024 AC'!C$3:C$250)</f>
        <v>1983.9000000000001</v>
      </c>
      <c r="F137" s="53">
        <f>SUMIF('2024 AC'!$B$3:$B$250,"*"&amp;$D137&amp;"*",'2024 AC'!D$3:D$250)</f>
        <v>0</v>
      </c>
      <c r="G137" s="53">
        <f>SUMIF('2024 AC'!$B$3:$B$250,"*"&amp;$D137&amp;"*",'2024 AC'!E$3:E$250)</f>
        <v>588.45000000000005</v>
      </c>
      <c r="H137" s="53">
        <f>SUMIF('2024 AC'!$B$3:$B$250,"*"&amp;$D137&amp;"*",'2024 AC'!F$3:F$250)</f>
        <v>225.80000000000001</v>
      </c>
      <c r="I137" s="53">
        <f>SUMIF('2024 AC'!$B$3:$B$250,"*"&amp;$D137&amp;"*",'2024 AC'!G$3:G$250)</f>
        <v>450.10000000000002</v>
      </c>
      <c r="J137" s="53">
        <f>SUMIF('2024 AC'!$B$3:$B$250,"*"&amp;$D137&amp;"*",'2024 AC'!H$3:H$250)</f>
        <v>0</v>
      </c>
      <c r="K137" s="53">
        <f>SUMIF('2024 AC'!$B$3:$B$250,"*"&amp;$D137&amp;"*",'2024 AC'!I$3:I$250)</f>
        <v>483.89999999999998</v>
      </c>
      <c r="L137" s="53">
        <f>SUMIF('2024 AC'!$B$3:$B$250,"*"&amp;$D137&amp;"*",'2024 AC'!J$3:J$250)</f>
        <v>951</v>
      </c>
      <c r="M137" s="53">
        <f>SUMIF('2024 AC'!$B$3:$B$250,"*"&amp;$D137&amp;"*",'2024 AC'!K$3:K$250)</f>
        <v>356.5</v>
      </c>
      <c r="N137" s="53">
        <f>SUMIF('2024 AC'!$B$3:$B$250,"*"&amp;$D137&amp;"*",'2024 AC'!L$3:L$250)</f>
        <v>466.75</v>
      </c>
      <c r="O137" s="53">
        <f>SUMIF('2024 AC'!$B$3:$B$250,"*"&amp;$D137&amp;"*",'2024 AC'!M$3:M$250)</f>
        <v>500</v>
      </c>
      <c r="P137" s="93">
        <f>SUMIF('2024 AC'!$B$3:$B$250,"*"&amp;$D137&amp;"*",'2024 AC'!N$3:N$250)</f>
        <v>500</v>
      </c>
      <c r="Q137" s="92">
        <f t="shared" si="357"/>
        <v>6506.4000000000005</v>
      </c>
      <c r="R137" s="93">
        <f t="shared" si="358"/>
        <v>2572.3500000000004</v>
      </c>
      <c r="S137" s="93">
        <f t="shared" si="359"/>
        <v>675.90000000000009</v>
      </c>
      <c r="T137" s="93">
        <f t="shared" si="360"/>
        <v>1791.4000000000001</v>
      </c>
      <c r="U137" s="93">
        <f t="shared" si="361"/>
        <v>1466.75</v>
      </c>
      <c r="V137" s="92">
        <f t="shared" si="362"/>
        <v>6506.4000000000005</v>
      </c>
    </row>
    <row r="138" outlineLevel="1">
      <c r="A138" t="s">
        <v>306</v>
      </c>
      <c r="B138" t="s">
        <v>307</v>
      </c>
      <c r="C138" s="34" t="s">
        <v>308</v>
      </c>
      <c r="D138" s="35" t="s">
        <v>307</v>
      </c>
      <c r="E138" s="63">
        <f>SUMIF('2024 AC'!$B$3:$B$250,"*"&amp;$D138&amp;"*",'2024 AC'!C$3:C$250)</f>
        <v>0</v>
      </c>
      <c r="F138" s="53">
        <f>SUMIF('2024 AC'!$B$3:$B$250,"*"&amp;$D138&amp;"*",'2024 AC'!D$3:D$250)</f>
        <v>0</v>
      </c>
      <c r="G138" s="53">
        <f>SUMIF('2024 AC'!$B$3:$B$250,"*"&amp;$D138&amp;"*",'2024 AC'!E$3:E$250)</f>
        <v>0</v>
      </c>
      <c r="H138" s="53">
        <f>SUMIF('2024 AC'!$B$3:$B$250,"*"&amp;$D138&amp;"*",'2024 AC'!F$3:F$250)</f>
        <v>0</v>
      </c>
      <c r="I138" s="53">
        <f>SUMIF('2024 AC'!$B$3:$B$250,"*"&amp;$D138&amp;"*",'2024 AC'!G$3:G$250)</f>
        <v>0</v>
      </c>
      <c r="J138" s="53">
        <f>SUMIF('2024 AC'!$B$3:$B$250,"*"&amp;$D138&amp;"*",'2024 AC'!H$3:H$250)</f>
        <v>0</v>
      </c>
      <c r="K138" s="53">
        <f>SUMIF('2024 AC'!$B$3:$B$250,"*"&amp;$D138&amp;"*",'2024 AC'!I$3:I$250)</f>
        <v>0</v>
      </c>
      <c r="L138" s="53">
        <f>SUMIF('2024 AC'!$B$3:$B$250,"*"&amp;$D138&amp;"*",'2024 AC'!J$3:J$250)</f>
        <v>0</v>
      </c>
      <c r="M138" s="53">
        <f>SUMIF('2024 AC'!$B$3:$B$250,"*"&amp;$D138&amp;"*",'2024 AC'!K$3:K$250)</f>
        <v>0</v>
      </c>
      <c r="N138" s="53">
        <f>SUMIF('2024 AC'!$B$3:$B$250,"*"&amp;$D138&amp;"*",'2024 AC'!L$3:L$250)</f>
        <v>0</v>
      </c>
      <c r="O138" s="53">
        <f>SUMIF('2024 AC'!$B$3:$B$250,"*"&amp;$D138&amp;"*",'2024 AC'!M$3:M$250)</f>
        <v>0</v>
      </c>
      <c r="P138" s="93">
        <f>SUMIF('2024 AC'!$B$3:$B$250,"*"&amp;$D138&amp;"*",'2024 AC'!N$3:N$250)</f>
        <v>0</v>
      </c>
      <c r="Q138" s="92">
        <f t="shared" ref="Q138:Q201" si="368">SUM(E138:P138)</f>
        <v>0</v>
      </c>
      <c r="R138" s="93">
        <f t="shared" ref="R138:R201" si="369">SUM(E138:G138)</f>
        <v>0</v>
      </c>
      <c r="S138" s="93">
        <f t="shared" ref="S138:S201" si="370">SUM(H138:J138)</f>
        <v>0</v>
      </c>
      <c r="T138" s="93">
        <f t="shared" ref="T138:T201" si="371">SUM(K138:M138)</f>
        <v>0</v>
      </c>
      <c r="U138" s="93">
        <f t="shared" ref="U138:U201" si="372">SUM(N138:P138)</f>
        <v>0</v>
      </c>
      <c r="V138" s="92">
        <f t="shared" ref="V138:V201" si="373">SUM(R138:U138)</f>
        <v>0</v>
      </c>
    </row>
    <row r="139" outlineLevel="1">
      <c r="A139" t="s">
        <v>309</v>
      </c>
      <c r="B139" t="s">
        <v>310</v>
      </c>
      <c r="C139" s="52" t="s">
        <v>311</v>
      </c>
      <c r="D139" s="35" t="s">
        <v>310</v>
      </c>
      <c r="E139" s="63">
        <f>SUMIF('2024 AC'!$B$3:$B$250,"*"&amp;$D139&amp;"*",'2024 AC'!C$3:C$250)</f>
        <v>6403.8000000000002</v>
      </c>
      <c r="F139" s="53">
        <f>SUMIF('2024 AC'!$B$3:$B$250,"*"&amp;$D139&amp;"*",'2024 AC'!D$3:D$250)</f>
        <v>800</v>
      </c>
      <c r="G139" s="53">
        <f>SUMIF('2024 AC'!$B$3:$B$250,"*"&amp;$D139&amp;"*",'2024 AC'!E$3:E$250)</f>
        <v>593</v>
      </c>
      <c r="H139" s="53">
        <f>SUMIF('2024 AC'!$B$3:$B$250,"*"&amp;$D139&amp;"*",'2024 AC'!F$3:F$250)</f>
        <v>1461</v>
      </c>
      <c r="I139" s="53">
        <f>SUMIF('2024 AC'!$B$3:$B$250,"*"&amp;$D139&amp;"*",'2024 AC'!G$3:G$250)</f>
        <v>1383</v>
      </c>
      <c r="J139" s="53">
        <f>SUMIF('2024 AC'!$B$3:$B$250,"*"&amp;$D139&amp;"*",'2024 AC'!H$3:H$250)</f>
        <v>2753</v>
      </c>
      <c r="K139" s="53">
        <f>SUMIF('2024 AC'!$B$3:$B$250,"*"&amp;$D139&amp;"*",'2024 AC'!I$3:I$250)</f>
        <v>1551</v>
      </c>
      <c r="L139" s="53">
        <f>SUMIF('2024 AC'!$B$3:$B$250,"*"&amp;$D139&amp;"*",'2024 AC'!J$3:J$250)</f>
        <v>2073</v>
      </c>
      <c r="M139" s="53">
        <f>SUMIF('2024 AC'!$B$3:$B$250,"*"&amp;$D139&amp;"*",'2024 AC'!K$3:K$250)</f>
        <v>467</v>
      </c>
      <c r="N139" s="53">
        <f>SUMIF('2024 AC'!$B$3:$B$250,"*"&amp;$D139&amp;"*",'2024 AC'!L$3:L$250)</f>
        <v>1254</v>
      </c>
      <c r="O139" s="53">
        <f>SUMIF('2024 AC'!$B$3:$B$250,"*"&amp;$D139&amp;"*",'2024 AC'!M$3:M$250)</f>
        <v>1664</v>
      </c>
      <c r="P139" s="93">
        <f>SUMIF('2024 AC'!$B$3:$B$250,"*"&amp;$D139&amp;"*",'2024 AC'!N$3:N$250)</f>
        <v>653</v>
      </c>
      <c r="Q139" s="92">
        <f t="shared" si="368"/>
        <v>21055.799999999999</v>
      </c>
      <c r="R139" s="93">
        <f t="shared" si="369"/>
        <v>7796.8000000000002</v>
      </c>
      <c r="S139" s="93">
        <f t="shared" si="370"/>
        <v>5597</v>
      </c>
      <c r="T139" s="93">
        <f t="shared" si="371"/>
        <v>4091</v>
      </c>
      <c r="U139" s="93">
        <f t="shared" si="372"/>
        <v>3571</v>
      </c>
      <c r="V139" s="92">
        <f t="shared" si="373"/>
        <v>21055.799999999999</v>
      </c>
    </row>
    <row r="140" outlineLevel="1">
      <c r="A140" t="s">
        <v>312</v>
      </c>
      <c r="B140" t="s">
        <v>313</v>
      </c>
      <c r="C140" s="34" t="s">
        <v>314</v>
      </c>
      <c r="D140" s="35" t="s">
        <v>313</v>
      </c>
      <c r="E140" s="63">
        <f>SUMIF('2024 AC'!$B$3:$B$250,"*"&amp;$D140&amp;"*",'2024 AC'!C$3:C$250)</f>
        <v>-1000</v>
      </c>
      <c r="F140" s="53">
        <f>SUMIF('2024 AC'!$B$3:$B$250,"*"&amp;$D140&amp;"*",'2024 AC'!D$3:D$250)</f>
        <v>-330</v>
      </c>
      <c r="G140" s="53">
        <f>SUMIF('2024 AC'!$B$3:$B$250,"*"&amp;$D140&amp;"*",'2024 AC'!E$3:E$250)</f>
        <v>-328</v>
      </c>
      <c r="H140" s="53">
        <f>SUMIF('2024 AC'!$B$3:$B$250,"*"&amp;$D140&amp;"*",'2024 AC'!F$3:F$250)</f>
        <v>-550</v>
      </c>
      <c r="I140" s="53">
        <f>SUMIF('2024 AC'!$B$3:$B$250,"*"&amp;$D140&amp;"*",'2024 AC'!G$3:G$250)</f>
        <v>-180</v>
      </c>
      <c r="J140" s="53">
        <f>SUMIF('2024 AC'!$B$3:$B$250,"*"&amp;$D140&amp;"*",'2024 AC'!H$3:H$250)</f>
        <v>-764</v>
      </c>
      <c r="K140" s="53">
        <f>SUMIF('2024 AC'!$B$3:$B$250,"*"&amp;$D140&amp;"*",'2024 AC'!I$3:I$250)</f>
        <v>-390</v>
      </c>
      <c r="L140" s="53">
        <f>SUMIF('2024 AC'!$B$3:$B$250,"*"&amp;$D140&amp;"*",'2024 AC'!J$3:J$250)</f>
        <v>-150</v>
      </c>
      <c r="M140" s="53">
        <f>SUMIF('2024 AC'!$B$3:$B$250,"*"&amp;$D140&amp;"*",'2024 AC'!K$3:K$250)</f>
        <v>-460</v>
      </c>
      <c r="N140" s="53">
        <f>SUMIF('2024 AC'!$B$3:$B$250,"*"&amp;$D140&amp;"*",'2024 AC'!L$3:L$250)</f>
        <v>-120</v>
      </c>
      <c r="O140" s="53">
        <f>SUMIF('2024 AC'!$B$3:$B$250,"*"&amp;$D140&amp;"*",'2024 AC'!M$3:M$250)</f>
        <v>-240</v>
      </c>
      <c r="P140" s="93">
        <f>SUMIF('2024 AC'!$B$3:$B$250,"*"&amp;$D140&amp;"*",'2024 AC'!N$3:N$250)</f>
        <v>-674</v>
      </c>
      <c r="Q140" s="92">
        <f t="shared" si="368"/>
        <v>-5186</v>
      </c>
      <c r="R140" s="93">
        <f t="shared" si="369"/>
        <v>-1658</v>
      </c>
      <c r="S140" s="93">
        <f t="shared" si="370"/>
        <v>-1494</v>
      </c>
      <c r="T140" s="93">
        <f t="shared" si="371"/>
        <v>-1000</v>
      </c>
      <c r="U140" s="93">
        <f t="shared" si="372"/>
        <v>-1034</v>
      </c>
      <c r="V140" s="92">
        <f t="shared" si="373"/>
        <v>-5186</v>
      </c>
    </row>
    <row r="141" outlineLevel="1">
      <c r="A141" t="s">
        <v>315</v>
      </c>
      <c r="B141" t="s">
        <v>316</v>
      </c>
      <c r="C141" s="52" t="s">
        <v>317</v>
      </c>
      <c r="D141" s="35" t="s">
        <v>316</v>
      </c>
      <c r="E141" s="63">
        <f>SUMIF('2024 AC'!$B$3:$B$250,"*"&amp;$D141&amp;"*",'2024 AC'!C$3:C$250)</f>
        <v>0</v>
      </c>
      <c r="F141" s="53">
        <f>SUMIF('2024 AC'!$B$3:$B$250,"*"&amp;$D141&amp;"*",'2024 AC'!D$3:D$250)</f>
        <v>0</v>
      </c>
      <c r="G141" s="53">
        <f>SUMIF('2024 AC'!$B$3:$B$250,"*"&amp;$D141&amp;"*",'2024 AC'!E$3:E$250)</f>
        <v>370</v>
      </c>
      <c r="H141" s="53">
        <f>SUMIF('2024 AC'!$B$3:$B$250,"*"&amp;$D141&amp;"*",'2024 AC'!F$3:F$250)</f>
        <v>0</v>
      </c>
      <c r="I141" s="53">
        <f>SUMIF('2024 AC'!$B$3:$B$250,"*"&amp;$D141&amp;"*",'2024 AC'!G$3:G$250)</f>
        <v>0</v>
      </c>
      <c r="J141" s="53">
        <f>SUMIF('2024 AC'!$B$3:$B$250,"*"&amp;$D141&amp;"*",'2024 AC'!H$3:H$250)</f>
        <v>0</v>
      </c>
      <c r="K141" s="53">
        <f>SUMIF('2024 AC'!$B$3:$B$250,"*"&amp;$D141&amp;"*",'2024 AC'!I$3:I$250)</f>
        <v>210</v>
      </c>
      <c r="L141" s="53">
        <f>SUMIF('2024 AC'!$B$3:$B$250,"*"&amp;$D141&amp;"*",'2024 AC'!J$3:J$250)</f>
        <v>0</v>
      </c>
      <c r="M141" s="53">
        <f>SUMIF('2024 AC'!$B$3:$B$250,"*"&amp;$D141&amp;"*",'2024 AC'!K$3:K$250)</f>
        <v>0</v>
      </c>
      <c r="N141" s="53">
        <f>SUMIF('2024 AC'!$B$3:$B$250,"*"&amp;$D141&amp;"*",'2024 AC'!L$3:L$250)</f>
        <v>0</v>
      </c>
      <c r="O141" s="53">
        <f>SUMIF('2024 AC'!$B$3:$B$250,"*"&amp;$D141&amp;"*",'2024 AC'!M$3:M$250)</f>
        <v>0</v>
      </c>
      <c r="P141" s="93">
        <f>SUMIF('2024 AC'!$B$3:$B$250,"*"&amp;$D141&amp;"*",'2024 AC'!N$3:N$250)</f>
        <v>0</v>
      </c>
      <c r="Q141" s="92">
        <f t="shared" si="368"/>
        <v>580</v>
      </c>
      <c r="R141" s="93">
        <f t="shared" si="369"/>
        <v>370</v>
      </c>
      <c r="S141" s="93">
        <f t="shared" si="370"/>
        <v>0</v>
      </c>
      <c r="T141" s="93">
        <f t="shared" si="371"/>
        <v>210</v>
      </c>
      <c r="U141" s="93">
        <f t="shared" si="372"/>
        <v>0</v>
      </c>
      <c r="V141" s="92">
        <f t="shared" si="373"/>
        <v>580</v>
      </c>
    </row>
    <row r="142" outlineLevel="1">
      <c r="A142" t="s">
        <v>318</v>
      </c>
      <c r="B142" t="s">
        <v>319</v>
      </c>
      <c r="C142" s="34" t="s">
        <v>320</v>
      </c>
      <c r="D142" s="35" t="s">
        <v>319</v>
      </c>
      <c r="E142" s="63">
        <f>SUMIF('2024 AC'!$B$3:$B$250,"*"&amp;$D142&amp;"*",'2024 AC'!C$3:C$250)</f>
        <v>0</v>
      </c>
      <c r="F142" s="53">
        <f>SUMIF('2024 AC'!$B$3:$B$250,"*"&amp;$D142&amp;"*",'2024 AC'!D$3:D$250)</f>
        <v>0</v>
      </c>
      <c r="G142" s="53">
        <f>SUMIF('2024 AC'!$B$3:$B$250,"*"&amp;$D142&amp;"*",'2024 AC'!E$3:E$250)</f>
        <v>0</v>
      </c>
      <c r="H142" s="53">
        <f>SUMIF('2024 AC'!$B$3:$B$250,"*"&amp;$D142&amp;"*",'2024 AC'!F$3:F$250)</f>
        <v>0</v>
      </c>
      <c r="I142" s="53">
        <f>SUMIF('2024 AC'!$B$3:$B$250,"*"&amp;$D142&amp;"*",'2024 AC'!G$3:G$250)</f>
        <v>0</v>
      </c>
      <c r="J142" s="53">
        <f>SUMIF('2024 AC'!$B$3:$B$250,"*"&amp;$D142&amp;"*",'2024 AC'!H$3:H$250)</f>
        <v>0</v>
      </c>
      <c r="K142" s="53">
        <f>SUMIF('2024 AC'!$B$3:$B$250,"*"&amp;$D142&amp;"*",'2024 AC'!I$3:I$250)</f>
        <v>0</v>
      </c>
      <c r="L142" s="53">
        <f>SUMIF('2024 AC'!$B$3:$B$250,"*"&amp;$D142&amp;"*",'2024 AC'!J$3:J$250)</f>
        <v>0</v>
      </c>
      <c r="M142" s="53">
        <f>SUMIF('2024 AC'!$B$3:$B$250,"*"&amp;$D142&amp;"*",'2024 AC'!K$3:K$250)</f>
        <v>0</v>
      </c>
      <c r="N142" s="53">
        <f>SUMIF('2024 AC'!$B$3:$B$250,"*"&amp;$D142&amp;"*",'2024 AC'!L$3:L$250)</f>
        <v>0</v>
      </c>
      <c r="O142" s="53">
        <f>SUMIF('2024 AC'!$B$3:$B$250,"*"&amp;$D142&amp;"*",'2024 AC'!M$3:M$250)</f>
        <v>0</v>
      </c>
      <c r="P142" s="93">
        <f>SUMIF('2024 AC'!$B$3:$B$250,"*"&amp;$D142&amp;"*",'2024 AC'!N$3:N$250)</f>
        <v>0</v>
      </c>
      <c r="Q142" s="92">
        <f t="shared" si="368"/>
        <v>0</v>
      </c>
      <c r="R142" s="93">
        <f t="shared" si="369"/>
        <v>0</v>
      </c>
      <c r="S142" s="93">
        <f t="shared" si="370"/>
        <v>0</v>
      </c>
      <c r="T142" s="93">
        <f t="shared" si="371"/>
        <v>0</v>
      </c>
      <c r="U142" s="93">
        <f t="shared" si="372"/>
        <v>0</v>
      </c>
      <c r="V142" s="92">
        <f t="shared" si="373"/>
        <v>0</v>
      </c>
    </row>
    <row r="143" outlineLevel="1">
      <c r="A143" t="s">
        <v>321</v>
      </c>
      <c r="B143" t="s">
        <v>322</v>
      </c>
      <c r="C143" s="34" t="s">
        <v>323</v>
      </c>
      <c r="D143" s="35" t="s">
        <v>322</v>
      </c>
      <c r="E143" s="63">
        <f>SUMIF('2024 AC'!$B$3:$B$250,"*"&amp;$D143&amp;"*",'2024 AC'!C$3:C$250)</f>
        <v>0</v>
      </c>
      <c r="F143" s="53">
        <f>SUMIF('2024 AC'!$B$3:$B$250,"*"&amp;$D143&amp;"*",'2024 AC'!D$3:D$250)</f>
        <v>0</v>
      </c>
      <c r="G143" s="53">
        <f>SUMIF('2024 AC'!$B$3:$B$250,"*"&amp;$D143&amp;"*",'2024 AC'!E$3:E$250)</f>
        <v>0</v>
      </c>
      <c r="H143" s="53">
        <f>SUMIF('2024 AC'!$B$3:$B$250,"*"&amp;$D143&amp;"*",'2024 AC'!F$3:F$250)</f>
        <v>0</v>
      </c>
      <c r="I143" s="53">
        <f>SUMIF('2024 AC'!$B$3:$B$250,"*"&amp;$D143&amp;"*",'2024 AC'!G$3:G$250)</f>
        <v>0</v>
      </c>
      <c r="J143" s="53">
        <f>SUMIF('2024 AC'!$B$3:$B$250,"*"&amp;$D143&amp;"*",'2024 AC'!H$3:H$250)</f>
        <v>0</v>
      </c>
      <c r="K143" s="53">
        <f>SUMIF('2024 AC'!$B$3:$B$250,"*"&amp;$D143&amp;"*",'2024 AC'!I$3:I$250)</f>
        <v>29840.139999999999</v>
      </c>
      <c r="L143" s="53">
        <f>SUMIF('2024 AC'!$B$3:$B$250,"*"&amp;$D143&amp;"*",'2024 AC'!J$3:J$250)</f>
        <v>0</v>
      </c>
      <c r="M143" s="53">
        <f>SUMIF('2024 AC'!$B$3:$B$250,"*"&amp;$D143&amp;"*",'2024 AC'!K$3:K$250)</f>
        <v>0</v>
      </c>
      <c r="N143" s="53">
        <f>SUMIF('2024 AC'!$B$3:$B$250,"*"&amp;$D143&amp;"*",'2024 AC'!L$3:L$250)</f>
        <v>662.25</v>
      </c>
      <c r="O143" s="53">
        <f>SUMIF('2024 AC'!$B$3:$B$250,"*"&amp;$D143&amp;"*",'2024 AC'!M$3:M$250)</f>
        <v>-2512.8899999999999</v>
      </c>
      <c r="P143" s="93">
        <f>SUMIF('2024 AC'!$B$3:$B$250,"*"&amp;$D143&amp;"*",'2024 AC'!N$3:N$250)</f>
        <v>422.05000000000001</v>
      </c>
      <c r="Q143" s="92">
        <f t="shared" si="368"/>
        <v>28411.549999999999</v>
      </c>
      <c r="R143" s="93">
        <f t="shared" si="369"/>
        <v>0</v>
      </c>
      <c r="S143" s="93">
        <f t="shared" si="370"/>
        <v>0</v>
      </c>
      <c r="T143" s="93">
        <f t="shared" si="371"/>
        <v>29840.139999999999</v>
      </c>
      <c r="U143" s="93">
        <f t="shared" si="372"/>
        <v>-1428.5899999999999</v>
      </c>
      <c r="V143" s="92">
        <f t="shared" si="373"/>
        <v>28411.549999999999</v>
      </c>
    </row>
    <row r="144" outlineLevel="1">
      <c r="A144" t="s">
        <v>324</v>
      </c>
      <c r="B144" t="s">
        <v>325</v>
      </c>
      <c r="C144" s="34" t="s">
        <v>326</v>
      </c>
      <c r="D144" s="35" t="s">
        <v>325</v>
      </c>
      <c r="E144" s="63">
        <f>SUMIF('2024 AC'!$B$3:$B$250,"*"&amp;$D144&amp;"*",'2024 AC'!C$3:C$250)</f>
        <v>0</v>
      </c>
      <c r="F144" s="53">
        <f>SUMIF('2024 AC'!$B$3:$B$250,"*"&amp;$D144&amp;"*",'2024 AC'!D$3:D$250)</f>
        <v>450</v>
      </c>
      <c r="G144" s="53">
        <f>SUMIF('2024 AC'!$B$3:$B$250,"*"&amp;$D144&amp;"*",'2024 AC'!E$3:E$250)</f>
        <v>450</v>
      </c>
      <c r="H144" s="53">
        <f>SUMIF('2024 AC'!$B$3:$B$250,"*"&amp;$D144&amp;"*",'2024 AC'!F$3:F$250)</f>
        <v>900</v>
      </c>
      <c r="I144" s="53">
        <f>SUMIF('2024 AC'!$B$3:$B$250,"*"&amp;$D144&amp;"*",'2024 AC'!G$3:G$250)</f>
        <v>0</v>
      </c>
      <c r="J144" s="53">
        <f>SUMIF('2024 AC'!$B$3:$B$250,"*"&amp;$D144&amp;"*",'2024 AC'!H$3:H$250)</f>
        <v>0</v>
      </c>
      <c r="K144" s="53">
        <f>SUMIF('2024 AC'!$B$3:$B$250,"*"&amp;$D144&amp;"*",'2024 AC'!I$3:I$250)</f>
        <v>900</v>
      </c>
      <c r="L144" s="53">
        <f>SUMIF('2024 AC'!$B$3:$B$250,"*"&amp;$D144&amp;"*",'2024 AC'!J$3:J$250)</f>
        <v>900</v>
      </c>
      <c r="M144" s="53">
        <f>SUMIF('2024 AC'!$B$3:$B$250,"*"&amp;$D144&amp;"*",'2024 AC'!K$3:K$250)</f>
        <v>450</v>
      </c>
      <c r="N144" s="53">
        <f>SUMIF('2024 AC'!$B$3:$B$250,"*"&amp;$D144&amp;"*",'2024 AC'!L$3:L$250)</f>
        <v>600</v>
      </c>
      <c r="O144" s="53">
        <f>SUMIF('2024 AC'!$B$3:$B$250,"*"&amp;$D144&amp;"*",'2024 AC'!M$3:M$250)</f>
        <v>600</v>
      </c>
      <c r="P144" s="93">
        <f>SUMIF('2024 AC'!$B$3:$B$250,"*"&amp;$D144&amp;"*",'2024 AC'!N$3:N$250)</f>
        <v>600</v>
      </c>
      <c r="Q144" s="92">
        <f t="shared" si="368"/>
        <v>5850</v>
      </c>
      <c r="R144" s="93">
        <f t="shared" si="369"/>
        <v>900</v>
      </c>
      <c r="S144" s="93">
        <f t="shared" si="370"/>
        <v>900</v>
      </c>
      <c r="T144" s="93">
        <f t="shared" si="371"/>
        <v>2250</v>
      </c>
      <c r="U144" s="93">
        <f t="shared" si="372"/>
        <v>1800</v>
      </c>
      <c r="V144" s="92">
        <f t="shared" si="373"/>
        <v>5850</v>
      </c>
    </row>
    <row r="145" outlineLevel="1">
      <c r="A145" t="s">
        <v>327</v>
      </c>
      <c r="B145" t="s">
        <v>328</v>
      </c>
      <c r="C145" s="34" t="s">
        <v>329</v>
      </c>
      <c r="D145" s="35" t="s">
        <v>328</v>
      </c>
      <c r="E145" s="63">
        <f>SUMIF('2024 AC'!$B$3:$B$250,"*"&amp;$D145&amp;"*",'2024 AC'!C$3:C$250)</f>
        <v>-959.79999999999995</v>
      </c>
      <c r="F145" s="53">
        <f>SUMIF('2024 AC'!$B$3:$B$250,"*"&amp;$D145&amp;"*",'2024 AC'!D$3:D$250)</f>
        <v>-4028.25</v>
      </c>
      <c r="G145" s="53">
        <f>SUMIF('2024 AC'!$B$3:$B$250,"*"&amp;$D145&amp;"*",'2024 AC'!E$3:E$250)</f>
        <v>-2000</v>
      </c>
      <c r="H145" s="53">
        <f>SUMIF('2024 AC'!$B$3:$B$250,"*"&amp;$D145&amp;"*",'2024 AC'!F$3:F$250)</f>
        <v>-1643</v>
      </c>
      <c r="I145" s="53">
        <f>SUMIF('2024 AC'!$B$3:$B$250,"*"&amp;$D145&amp;"*",'2024 AC'!G$3:G$250)</f>
        <v>-2400</v>
      </c>
      <c r="J145" s="53">
        <f>SUMIF('2024 AC'!$B$3:$B$250,"*"&amp;$D145&amp;"*",'2024 AC'!H$3:H$250)</f>
        <v>-2150</v>
      </c>
      <c r="K145" s="53">
        <f>SUMIF('2024 AC'!$B$3:$B$250,"*"&amp;$D145&amp;"*",'2024 AC'!I$3:I$250)</f>
        <v>-1732.3199999999999</v>
      </c>
      <c r="L145" s="53">
        <f>SUMIF('2024 AC'!$B$3:$B$250,"*"&amp;$D145&amp;"*",'2024 AC'!J$3:J$250)</f>
        <v>-1850</v>
      </c>
      <c r="M145" s="53">
        <f>SUMIF('2024 AC'!$B$3:$B$250,"*"&amp;$D145&amp;"*",'2024 AC'!K$3:K$250)</f>
        <v>-2100</v>
      </c>
      <c r="N145" s="53">
        <f>SUMIF('2024 AC'!$B$3:$B$250,"*"&amp;$D145&amp;"*",'2024 AC'!L$3:L$250)</f>
        <v>-1440</v>
      </c>
      <c r="O145" s="53">
        <f>SUMIF('2024 AC'!$B$3:$B$250,"*"&amp;$D145&amp;"*",'2024 AC'!M$3:M$250)</f>
        <v>-1120</v>
      </c>
      <c r="P145" s="93">
        <f>SUMIF('2024 AC'!$B$3:$B$250,"*"&amp;$D145&amp;"*",'2024 AC'!N$3:N$250)</f>
        <v>-550</v>
      </c>
      <c r="Q145" s="92">
        <f t="shared" si="368"/>
        <v>-21973.369999999999</v>
      </c>
      <c r="R145" s="93">
        <f t="shared" si="369"/>
        <v>-6988.0500000000002</v>
      </c>
      <c r="S145" s="93">
        <f t="shared" si="370"/>
        <v>-6193</v>
      </c>
      <c r="T145" s="93">
        <f t="shared" si="371"/>
        <v>-5682.3199999999997</v>
      </c>
      <c r="U145" s="93">
        <f t="shared" si="372"/>
        <v>-3110</v>
      </c>
      <c r="V145" s="92">
        <f t="shared" si="373"/>
        <v>-21973.369999999999</v>
      </c>
    </row>
    <row r="146" outlineLevel="1">
      <c r="A146" t="s">
        <v>330</v>
      </c>
      <c r="B146" t="s">
        <v>331</v>
      </c>
      <c r="C146" s="34" t="s">
        <v>332</v>
      </c>
      <c r="D146" s="35" t="s">
        <v>331</v>
      </c>
      <c r="E146" s="63">
        <f>SUMIF('2024 AC'!$B$3:$B$250,"*"&amp;$D146&amp;"*",'2024 AC'!C$3:C$250)</f>
        <v>0</v>
      </c>
      <c r="F146" s="53">
        <f>SUMIF('2024 AC'!$B$3:$B$250,"*"&amp;$D146&amp;"*",'2024 AC'!D$3:D$250)</f>
        <v>0</v>
      </c>
      <c r="G146" s="53">
        <f>SUMIF('2024 AC'!$B$3:$B$250,"*"&amp;$D146&amp;"*",'2024 AC'!E$3:E$250)</f>
        <v>0</v>
      </c>
      <c r="H146" s="53">
        <f>SUMIF('2024 AC'!$B$3:$B$250,"*"&amp;$D146&amp;"*",'2024 AC'!F$3:F$250)</f>
        <v>0</v>
      </c>
      <c r="I146" s="53">
        <f>SUMIF('2024 AC'!$B$3:$B$250,"*"&amp;$D146&amp;"*",'2024 AC'!G$3:G$250)</f>
        <v>0</v>
      </c>
      <c r="J146" s="53">
        <f>SUMIF('2024 AC'!$B$3:$B$250,"*"&amp;$D146&amp;"*",'2024 AC'!H$3:H$250)</f>
        <v>0</v>
      </c>
      <c r="K146" s="53">
        <f>SUMIF('2024 AC'!$B$3:$B$250,"*"&amp;$D146&amp;"*",'2024 AC'!I$3:I$250)</f>
        <v>0</v>
      </c>
      <c r="L146" s="53">
        <f>SUMIF('2024 AC'!$B$3:$B$250,"*"&amp;$D146&amp;"*",'2024 AC'!J$3:J$250)</f>
        <v>0</v>
      </c>
      <c r="M146" s="53">
        <f>SUMIF('2024 AC'!$B$3:$B$250,"*"&amp;$D146&amp;"*",'2024 AC'!K$3:K$250)</f>
        <v>5005</v>
      </c>
      <c r="N146" s="53">
        <f>SUMIF('2024 AC'!$B$3:$B$250,"*"&amp;$D146&amp;"*",'2024 AC'!L$3:L$250)</f>
        <v>0</v>
      </c>
      <c r="O146" s="53">
        <f>SUMIF('2024 AC'!$B$3:$B$250,"*"&amp;$D146&amp;"*",'2024 AC'!M$3:M$250)</f>
        <v>5280</v>
      </c>
      <c r="P146" s="93">
        <f>SUMIF('2024 AC'!$B$3:$B$250,"*"&amp;$D146&amp;"*",'2024 AC'!N$3:N$250)</f>
        <v>4284</v>
      </c>
      <c r="Q146" s="92">
        <f t="shared" si="368"/>
        <v>14569</v>
      </c>
      <c r="R146" s="93">
        <f t="shared" si="369"/>
        <v>0</v>
      </c>
      <c r="S146" s="93">
        <f t="shared" si="370"/>
        <v>0</v>
      </c>
      <c r="T146" s="93">
        <f t="shared" si="371"/>
        <v>5005</v>
      </c>
      <c r="U146" s="93">
        <f t="shared" si="372"/>
        <v>9564</v>
      </c>
      <c r="V146" s="92">
        <f t="shared" si="373"/>
        <v>14569</v>
      </c>
    </row>
    <row r="147" outlineLevel="1">
      <c r="A147" t="s">
        <v>333</v>
      </c>
      <c r="B147" t="s">
        <v>334</v>
      </c>
      <c r="C147" s="52" t="s">
        <v>335</v>
      </c>
      <c r="D147" s="35" t="s">
        <v>334</v>
      </c>
      <c r="E147" s="168">
        <f>SUMIF('2024 AC'!$B$3:$B$250,"*"&amp;$D147&amp;"*",'2024 AC'!C$3:C$250)</f>
        <v>0</v>
      </c>
      <c r="F147" s="169">
        <f>SUMIF('2024 AC'!$B$3:$B$250,"*"&amp;$D147&amp;"*",'2024 AC'!D$3:D$250)</f>
        <v>0</v>
      </c>
      <c r="G147" s="169">
        <f>SUMIF('2024 AC'!$B$3:$B$250,"*"&amp;$D147&amp;"*",'2024 AC'!E$3:E$250)</f>
        <v>0</v>
      </c>
      <c r="H147" s="169">
        <f>SUMIF('2024 AC'!$B$3:$B$250,"*"&amp;$D147&amp;"*",'2024 AC'!F$3:F$250)</f>
        <v>0</v>
      </c>
      <c r="I147" s="169">
        <f>SUMIF('2024 AC'!$B$3:$B$250,"*"&amp;$D147&amp;"*",'2024 AC'!G$3:G$250)</f>
        <v>1950</v>
      </c>
      <c r="J147" s="169">
        <f>SUMIF('2024 AC'!$B$3:$B$250,"*"&amp;$D147&amp;"*",'2024 AC'!H$3:H$250)</f>
        <v>0</v>
      </c>
      <c r="K147" s="169">
        <f>SUMIF('2024 AC'!$B$3:$B$250,"*"&amp;$D147&amp;"*",'2024 AC'!I$3:I$250)</f>
        <v>0</v>
      </c>
      <c r="L147" s="169">
        <f>SUMIF('2024 AC'!$B$3:$B$250,"*"&amp;$D147&amp;"*",'2024 AC'!J$3:J$250)</f>
        <v>0</v>
      </c>
      <c r="M147" s="169">
        <f>SUMIF('2024 AC'!$B$3:$B$250,"*"&amp;$D147&amp;"*",'2024 AC'!K$3:K$250)</f>
        <v>0</v>
      </c>
      <c r="N147" s="169">
        <f>SUMIF('2024 AC'!$B$3:$B$250,"*"&amp;$D147&amp;"*",'2024 AC'!L$3:L$250)</f>
        <v>0</v>
      </c>
      <c r="O147" s="169">
        <f>SUMIF('2024 AC'!$B$3:$B$250,"*"&amp;$D147&amp;"*",'2024 AC'!M$3:M$250)</f>
        <v>0</v>
      </c>
      <c r="P147" s="170">
        <f>SUMIF('2024 AC'!$B$3:$B$250,"*"&amp;$D147&amp;"*",'2024 AC'!N$3:N$250)</f>
        <v>0</v>
      </c>
      <c r="Q147" s="171">
        <f t="shared" si="368"/>
        <v>1950</v>
      </c>
      <c r="R147" s="170">
        <f t="shared" si="369"/>
        <v>0</v>
      </c>
      <c r="S147" s="170">
        <f t="shared" si="370"/>
        <v>1950</v>
      </c>
      <c r="T147" s="170">
        <f t="shared" si="371"/>
        <v>0</v>
      </c>
      <c r="U147" s="170">
        <f t="shared" si="372"/>
        <v>0</v>
      </c>
      <c r="V147" s="171">
        <f t="shared" si="373"/>
        <v>1950</v>
      </c>
    </row>
    <row r="148" outlineLevel="1">
      <c r="A148" t="s">
        <v>336</v>
      </c>
      <c r="B148" t="s">
        <v>337</v>
      </c>
      <c r="C148" s="34" t="s">
        <v>338</v>
      </c>
      <c r="D148" s="35" t="s">
        <v>337</v>
      </c>
      <c r="E148" s="63">
        <f>SUMIF('2024 AC'!$B$3:$B$250,"*"&amp;$D148&amp;"*",'2024 AC'!C$3:C$250)</f>
        <v>76</v>
      </c>
      <c r="F148" s="53">
        <f>SUMIF('2024 AC'!$B$3:$B$250,"*"&amp;$D148&amp;"*",'2024 AC'!D$3:D$250)</f>
        <v>0</v>
      </c>
      <c r="G148" s="53">
        <f>SUMIF('2024 AC'!$B$3:$B$250,"*"&amp;$D148&amp;"*",'2024 AC'!E$3:E$250)</f>
        <v>0</v>
      </c>
      <c r="H148" s="53">
        <f>SUMIF('2024 AC'!$B$3:$B$250,"*"&amp;$D148&amp;"*",'2024 AC'!F$3:F$250)</f>
        <v>217.59999999999999</v>
      </c>
      <c r="I148" s="53">
        <f>SUMIF('2024 AC'!$B$3:$B$250,"*"&amp;$D148&amp;"*",'2024 AC'!G$3:G$250)</f>
        <v>0</v>
      </c>
      <c r="J148" s="53">
        <f>SUMIF('2024 AC'!$B$3:$B$250,"*"&amp;$D148&amp;"*",'2024 AC'!H$3:H$250)</f>
        <v>28</v>
      </c>
      <c r="K148" s="53">
        <f>SUMIF('2024 AC'!$B$3:$B$250,"*"&amp;$D148&amp;"*",'2024 AC'!I$3:I$250)</f>
        <v>183</v>
      </c>
      <c r="L148" s="53">
        <f>SUMIF('2024 AC'!$B$3:$B$250,"*"&amp;$D148&amp;"*",'2024 AC'!J$3:J$250)</f>
        <v>0</v>
      </c>
      <c r="M148" s="53">
        <f>SUMIF('2024 AC'!$B$3:$B$250,"*"&amp;$D148&amp;"*",'2024 AC'!K$3:K$250)</f>
        <v>190</v>
      </c>
      <c r="N148" s="53">
        <f>SUMIF('2024 AC'!$B$3:$B$250,"*"&amp;$D148&amp;"*",'2024 AC'!L$3:L$250)</f>
        <v>0</v>
      </c>
      <c r="O148" s="53">
        <f>SUMIF('2024 AC'!$B$3:$B$250,"*"&amp;$D148&amp;"*",'2024 AC'!M$3:M$250)</f>
        <v>0</v>
      </c>
      <c r="P148" s="93">
        <f>SUMIF('2024 AC'!$B$3:$B$250,"*"&amp;$D148&amp;"*",'2024 AC'!N$3:N$250)</f>
        <v>9720</v>
      </c>
      <c r="Q148" s="92">
        <f t="shared" si="368"/>
        <v>10414.6</v>
      </c>
      <c r="R148" s="93">
        <f t="shared" si="369"/>
        <v>76</v>
      </c>
      <c r="S148" s="93">
        <f t="shared" si="370"/>
        <v>245.59999999999999</v>
      </c>
      <c r="T148" s="93">
        <f t="shared" si="371"/>
        <v>373</v>
      </c>
      <c r="U148" s="93">
        <f t="shared" si="372"/>
        <v>9720</v>
      </c>
      <c r="V148" s="92">
        <f t="shared" si="373"/>
        <v>10414.6</v>
      </c>
    </row>
    <row r="149" outlineLevel="1">
      <c r="A149" t="s">
        <v>339</v>
      </c>
      <c r="B149" t="s">
        <v>340</v>
      </c>
      <c r="C149" s="52" t="s">
        <v>341</v>
      </c>
      <c r="D149" s="35" t="s">
        <v>340</v>
      </c>
      <c r="E149" s="63">
        <f>SUMIF('2024 AC'!$B$3:$B$250,"*"&amp;$D149&amp;"*",'2024 AC'!C$3:C$250)</f>
        <v>0</v>
      </c>
      <c r="F149" s="53">
        <f>SUMIF('2024 AC'!$B$3:$B$250,"*"&amp;$D149&amp;"*",'2024 AC'!D$3:D$250)</f>
        <v>0</v>
      </c>
      <c r="G149" s="53">
        <f>SUMIF('2024 AC'!$B$3:$B$250,"*"&amp;$D149&amp;"*",'2024 AC'!E$3:E$250)</f>
        <v>0</v>
      </c>
      <c r="H149" s="53">
        <f>SUMIF('2024 AC'!$B$3:$B$250,"*"&amp;$D149&amp;"*",'2024 AC'!F$3:F$250)</f>
        <v>0</v>
      </c>
      <c r="I149" s="53">
        <f>SUMIF('2024 AC'!$B$3:$B$250,"*"&amp;$D149&amp;"*",'2024 AC'!G$3:G$250)</f>
        <v>0</v>
      </c>
      <c r="J149" s="53">
        <f>SUMIF('2024 AC'!$B$3:$B$250,"*"&amp;$D149&amp;"*",'2024 AC'!H$3:H$250)</f>
        <v>0</v>
      </c>
      <c r="K149" s="53">
        <f>SUMIF('2024 AC'!$B$3:$B$250,"*"&amp;$D149&amp;"*",'2024 AC'!I$3:I$250)</f>
        <v>886.67999999999995</v>
      </c>
      <c r="L149" s="53">
        <f>SUMIF('2024 AC'!$B$3:$B$250,"*"&amp;$D149&amp;"*",'2024 AC'!J$3:J$250)</f>
        <v>865.08000000000004</v>
      </c>
      <c r="M149" s="53">
        <f>SUMIF('2024 AC'!$B$3:$B$250,"*"&amp;$D149&amp;"*",'2024 AC'!K$3:K$250)</f>
        <v>0</v>
      </c>
      <c r="N149" s="53">
        <f>SUMIF('2024 AC'!$B$3:$B$250,"*"&amp;$D149&amp;"*",'2024 AC'!L$3:L$250)</f>
        <v>0</v>
      </c>
      <c r="O149" s="53">
        <f>SUMIF('2024 AC'!$B$3:$B$250,"*"&amp;$D149&amp;"*",'2024 AC'!M$3:M$250)</f>
        <v>0</v>
      </c>
      <c r="P149" s="93">
        <f>SUMIF('2024 AC'!$B$3:$B$250,"*"&amp;$D149&amp;"*",'2024 AC'!N$3:N$250)</f>
        <v>0</v>
      </c>
      <c r="Q149" s="92">
        <f t="shared" si="368"/>
        <v>1751.76</v>
      </c>
      <c r="R149" s="93">
        <f t="shared" si="369"/>
        <v>0</v>
      </c>
      <c r="S149" s="93">
        <f t="shared" si="370"/>
        <v>0</v>
      </c>
      <c r="T149" s="93">
        <f t="shared" si="371"/>
        <v>1751.76</v>
      </c>
      <c r="U149" s="93">
        <f t="shared" si="372"/>
        <v>0</v>
      </c>
      <c r="V149" s="92">
        <f t="shared" si="373"/>
        <v>1751.76</v>
      </c>
    </row>
    <row r="150" outlineLevel="1">
      <c r="A150" t="s">
        <v>342</v>
      </c>
      <c r="B150" t="s">
        <v>343</v>
      </c>
      <c r="C150" s="52" t="s">
        <v>344</v>
      </c>
      <c r="D150" s="35" t="s">
        <v>343</v>
      </c>
      <c r="E150" s="63">
        <f>SUMIF('2024 AC'!$B$3:$B$250,"*"&amp;$D150&amp;"*",'2024 AC'!C$3:C$250)</f>
        <v>0</v>
      </c>
      <c r="F150" s="53">
        <f>SUMIF('2024 AC'!$B$3:$B$250,"*"&amp;$D150&amp;"*",'2024 AC'!D$3:D$250)</f>
        <v>0</v>
      </c>
      <c r="G150" s="53">
        <f>SUMIF('2024 AC'!$B$3:$B$250,"*"&amp;$D150&amp;"*",'2024 AC'!E$3:E$250)</f>
        <v>0</v>
      </c>
      <c r="H150" s="53">
        <f>SUMIF('2024 AC'!$B$3:$B$250,"*"&amp;$D150&amp;"*",'2024 AC'!F$3:F$250)</f>
        <v>0</v>
      </c>
      <c r="I150" s="53">
        <f>SUMIF('2024 AC'!$B$3:$B$250,"*"&amp;$D150&amp;"*",'2024 AC'!G$3:G$250)</f>
        <v>0</v>
      </c>
      <c r="J150" s="53">
        <f>SUMIF('2024 AC'!$B$3:$B$250,"*"&amp;$D150&amp;"*",'2024 AC'!H$3:H$250)</f>
        <v>0</v>
      </c>
      <c r="K150" s="53">
        <f>SUMIF('2024 AC'!$B$3:$B$250,"*"&amp;$D150&amp;"*",'2024 AC'!I$3:I$250)</f>
        <v>0</v>
      </c>
      <c r="L150" s="53">
        <f>SUMIF('2024 AC'!$B$3:$B$250,"*"&amp;$D150&amp;"*",'2024 AC'!J$3:J$250)</f>
        <v>0</v>
      </c>
      <c r="M150" s="53">
        <f>SUMIF('2024 AC'!$B$3:$B$250,"*"&amp;$D150&amp;"*",'2024 AC'!K$3:K$250)</f>
        <v>0</v>
      </c>
      <c r="N150" s="53">
        <f>SUMIF('2024 AC'!$B$3:$B$250,"*"&amp;$D150&amp;"*",'2024 AC'!L$3:L$250)</f>
        <v>0</v>
      </c>
      <c r="O150" s="53">
        <f>SUMIF('2024 AC'!$B$3:$B$250,"*"&amp;$D150&amp;"*",'2024 AC'!M$3:M$250)</f>
        <v>0</v>
      </c>
      <c r="P150" s="93">
        <f>SUMIF('2024 AC'!$B$3:$B$250,"*"&amp;$D150&amp;"*",'2024 AC'!N$3:N$250)</f>
        <v>0</v>
      </c>
      <c r="Q150" s="92">
        <f t="shared" si="368"/>
        <v>0</v>
      </c>
      <c r="R150" s="93">
        <f t="shared" si="369"/>
        <v>0</v>
      </c>
      <c r="S150" s="93">
        <f t="shared" si="370"/>
        <v>0</v>
      </c>
      <c r="T150" s="93">
        <f t="shared" si="371"/>
        <v>0</v>
      </c>
      <c r="U150" s="93">
        <f t="shared" si="372"/>
        <v>0</v>
      </c>
      <c r="V150" s="92">
        <f t="shared" si="373"/>
        <v>0</v>
      </c>
    </row>
    <row r="151" outlineLevel="1">
      <c r="A151" t="s">
        <v>345</v>
      </c>
      <c r="B151" t="s">
        <v>346</v>
      </c>
      <c r="C151" s="34" t="s">
        <v>347</v>
      </c>
      <c r="D151" s="35" t="s">
        <v>346</v>
      </c>
      <c r="E151" s="63">
        <f>SUMIF('2024 AC'!$B$3:$B$250,"*"&amp;$D151&amp;"*",'2024 AC'!C$3:C$250)</f>
        <v>0</v>
      </c>
      <c r="F151" s="53">
        <f>SUMIF('2024 AC'!$B$3:$B$250,"*"&amp;$D151&amp;"*",'2024 AC'!D$3:D$250)</f>
        <v>0</v>
      </c>
      <c r="G151" s="53">
        <f>SUMIF('2024 AC'!$B$3:$B$250,"*"&amp;$D151&amp;"*",'2024 AC'!E$3:E$250)</f>
        <v>0</v>
      </c>
      <c r="H151" s="53">
        <f>SUMIF('2024 AC'!$B$3:$B$250,"*"&amp;$D151&amp;"*",'2024 AC'!F$3:F$250)</f>
        <v>0</v>
      </c>
      <c r="I151" s="53">
        <f>SUMIF('2024 AC'!$B$3:$B$250,"*"&amp;$D151&amp;"*",'2024 AC'!G$3:G$250)</f>
        <v>0</v>
      </c>
      <c r="J151" s="53">
        <f>SUMIF('2024 AC'!$B$3:$B$250,"*"&amp;$D151&amp;"*",'2024 AC'!H$3:H$250)</f>
        <v>0</v>
      </c>
      <c r="K151" s="53">
        <f>SUMIF('2024 AC'!$B$3:$B$250,"*"&amp;$D151&amp;"*",'2024 AC'!I$3:I$250)</f>
        <v>0</v>
      </c>
      <c r="L151" s="53">
        <f>SUMIF('2024 AC'!$B$3:$B$250,"*"&amp;$D151&amp;"*",'2024 AC'!J$3:J$250)</f>
        <v>0</v>
      </c>
      <c r="M151" s="53">
        <f>SUMIF('2024 AC'!$B$3:$B$250,"*"&amp;$D151&amp;"*",'2024 AC'!K$3:K$250)</f>
        <v>0</v>
      </c>
      <c r="N151" s="53">
        <f>SUMIF('2024 AC'!$B$3:$B$250,"*"&amp;$D151&amp;"*",'2024 AC'!L$3:L$250)</f>
        <v>0</v>
      </c>
      <c r="O151" s="53">
        <f>SUMIF('2024 AC'!$B$3:$B$250,"*"&amp;$D151&amp;"*",'2024 AC'!M$3:M$250)</f>
        <v>0</v>
      </c>
      <c r="P151" s="93">
        <f>SUMIF('2024 AC'!$B$3:$B$250,"*"&amp;$D151&amp;"*",'2024 AC'!N$3:N$250)</f>
        <v>0</v>
      </c>
      <c r="Q151" s="92">
        <f t="shared" si="368"/>
        <v>0</v>
      </c>
      <c r="R151" s="93">
        <f t="shared" si="369"/>
        <v>0</v>
      </c>
      <c r="S151" s="93">
        <f t="shared" si="370"/>
        <v>0</v>
      </c>
      <c r="T151" s="93">
        <f t="shared" si="371"/>
        <v>0</v>
      </c>
      <c r="U151" s="93">
        <f t="shared" si="372"/>
        <v>0</v>
      </c>
      <c r="V151" s="92">
        <f t="shared" si="373"/>
        <v>0</v>
      </c>
    </row>
    <row r="152" outlineLevel="1">
      <c r="A152" t="s">
        <v>348</v>
      </c>
      <c r="B152" t="s">
        <v>349</v>
      </c>
      <c r="C152" s="34" t="s">
        <v>350</v>
      </c>
      <c r="D152" s="35" t="s">
        <v>349</v>
      </c>
      <c r="E152" s="63">
        <f>SUMIF('2024 AC'!$B$3:$B$250,"*"&amp;$D152&amp;"*",'2024 AC'!C$3:C$250)</f>
        <v>2952.6799999999998</v>
      </c>
      <c r="F152" s="53">
        <f>SUMIF('2024 AC'!$B$3:$B$250,"*"&amp;$D152&amp;"*",'2024 AC'!D$3:D$250)</f>
        <v>2851.0300000000002</v>
      </c>
      <c r="G152" s="53">
        <f>SUMIF('2024 AC'!$B$3:$B$250,"*"&amp;$D152&amp;"*",'2024 AC'!E$3:E$250)</f>
        <v>3215.8000000000002</v>
      </c>
      <c r="H152" s="53">
        <f>SUMIF('2024 AC'!$B$3:$B$250,"*"&amp;$D152&amp;"*",'2024 AC'!F$3:F$250)</f>
        <v>2834.5599999999999</v>
      </c>
      <c r="I152" s="53">
        <f>SUMIF('2024 AC'!$B$3:$B$250,"*"&amp;$D152&amp;"*",'2024 AC'!G$3:G$250)</f>
        <v>3009.8499999999999</v>
      </c>
      <c r="J152" s="53">
        <f>SUMIF('2024 AC'!$B$3:$B$250,"*"&amp;$D152&amp;"*",'2024 AC'!H$3:H$250)</f>
        <v>3043.4400000000001</v>
      </c>
      <c r="K152" s="53">
        <f>SUMIF('2024 AC'!$B$3:$B$250,"*"&amp;$D152&amp;"*",'2024 AC'!I$3:I$250)</f>
        <v>3293.7800000000002</v>
      </c>
      <c r="L152" s="53">
        <f>SUMIF('2024 AC'!$B$3:$B$250,"*"&amp;$D152&amp;"*",'2024 AC'!J$3:J$250)</f>
        <v>2961.9499999999998</v>
      </c>
      <c r="M152" s="53">
        <f>SUMIF('2024 AC'!$B$3:$B$250,"*"&amp;$D152&amp;"*",'2024 AC'!K$3:K$250)</f>
        <v>2681.2600000000002</v>
      </c>
      <c r="N152" s="53">
        <f>SUMIF('2024 AC'!$B$3:$B$250,"*"&amp;$D152&amp;"*",'2024 AC'!L$3:L$250)</f>
        <v>2759.4499999999998</v>
      </c>
      <c r="O152" s="53">
        <f>SUMIF('2024 AC'!$B$3:$B$250,"*"&amp;$D152&amp;"*",'2024 AC'!M$3:M$250)</f>
        <v>2669.7600000000002</v>
      </c>
      <c r="P152" s="93">
        <f>SUMIF('2024 AC'!$B$3:$B$250,"*"&amp;$D152&amp;"*",'2024 AC'!N$3:N$250)</f>
        <v>3105.6999999999998</v>
      </c>
      <c r="Q152" s="92">
        <f t="shared" si="368"/>
        <v>35379.259999999995</v>
      </c>
      <c r="R152" s="93">
        <f t="shared" si="369"/>
        <v>9019.5100000000002</v>
      </c>
      <c r="S152" s="93">
        <f t="shared" si="370"/>
        <v>8887.8500000000004</v>
      </c>
      <c r="T152" s="93">
        <f t="shared" si="371"/>
        <v>8936.9899999999998</v>
      </c>
      <c r="U152" s="93">
        <f t="shared" si="372"/>
        <v>8534.9099999999999</v>
      </c>
      <c r="V152" s="92">
        <f t="shared" si="373"/>
        <v>35379.259999999995</v>
      </c>
    </row>
    <row r="153" outlineLevel="1">
      <c r="A153" t="s">
        <v>351</v>
      </c>
      <c r="B153" t="s">
        <v>352</v>
      </c>
      <c r="C153" s="34" t="s">
        <v>353</v>
      </c>
      <c r="D153" s="35" t="s">
        <v>352</v>
      </c>
      <c r="E153" s="63">
        <f>SUMIF('2024 AC'!$B$3:$B$250,"*"&amp;$D153&amp;"*",'2024 AC'!C$3:C$250)</f>
        <v>0</v>
      </c>
      <c r="F153" s="53">
        <f>SUMIF('2024 AC'!$B$3:$B$250,"*"&amp;$D153&amp;"*",'2024 AC'!D$3:D$250)</f>
        <v>86</v>
      </c>
      <c r="G153" s="53">
        <f>SUMIF('2024 AC'!$B$3:$B$250,"*"&amp;$D153&amp;"*",'2024 AC'!E$3:E$250)</f>
        <v>182</v>
      </c>
      <c r="H153" s="53">
        <f>SUMIF('2024 AC'!$B$3:$B$250,"*"&amp;$D153&amp;"*",'2024 AC'!F$3:F$250)</f>
        <v>0</v>
      </c>
      <c r="I153" s="53">
        <f>SUMIF('2024 AC'!$B$3:$B$250,"*"&amp;$D153&amp;"*",'2024 AC'!G$3:G$250)</f>
        <v>0</v>
      </c>
      <c r="J153" s="53">
        <f>SUMIF('2024 AC'!$B$3:$B$250,"*"&amp;$D153&amp;"*",'2024 AC'!H$3:H$250)</f>
        <v>0</v>
      </c>
      <c r="K153" s="53">
        <f>SUMIF('2024 AC'!$B$3:$B$250,"*"&amp;$D153&amp;"*",'2024 AC'!I$3:I$250)</f>
        <v>198</v>
      </c>
      <c r="L153" s="53">
        <f>SUMIF('2024 AC'!$B$3:$B$250,"*"&amp;$D153&amp;"*",'2024 AC'!J$3:J$250)</f>
        <v>286</v>
      </c>
      <c r="M153" s="53">
        <f>SUMIF('2024 AC'!$B$3:$B$250,"*"&amp;$D153&amp;"*",'2024 AC'!K$3:K$250)</f>
        <v>158</v>
      </c>
      <c r="N153" s="53">
        <f>SUMIF('2024 AC'!$B$3:$B$250,"*"&amp;$D153&amp;"*",'2024 AC'!L$3:L$250)</f>
        <v>0</v>
      </c>
      <c r="O153" s="53">
        <f>SUMIF('2024 AC'!$B$3:$B$250,"*"&amp;$D153&amp;"*",'2024 AC'!M$3:M$250)</f>
        <v>154</v>
      </c>
      <c r="P153" s="93">
        <f>SUMIF('2024 AC'!$B$3:$B$250,"*"&amp;$D153&amp;"*",'2024 AC'!N$3:N$250)</f>
        <v>64</v>
      </c>
      <c r="Q153" s="92">
        <f t="shared" si="368"/>
        <v>1128</v>
      </c>
      <c r="R153" s="93">
        <f t="shared" si="369"/>
        <v>268</v>
      </c>
      <c r="S153" s="93">
        <f t="shared" si="370"/>
        <v>0</v>
      </c>
      <c r="T153" s="93">
        <f t="shared" si="371"/>
        <v>642</v>
      </c>
      <c r="U153" s="93">
        <f t="shared" si="372"/>
        <v>218</v>
      </c>
      <c r="V153" s="92">
        <f t="shared" si="373"/>
        <v>1128</v>
      </c>
    </row>
    <row r="154" outlineLevel="1">
      <c r="A154" t="s">
        <v>354</v>
      </c>
      <c r="B154" t="s">
        <v>355</v>
      </c>
      <c r="C154" s="34" t="s">
        <v>356</v>
      </c>
      <c r="D154" s="35" t="s">
        <v>355</v>
      </c>
      <c r="E154" s="63">
        <f>SUMIF('2024 AC'!$B$3:$B$250,"*"&amp;$D154&amp;"*",'2024 AC'!C$3:C$250)</f>
        <v>1800</v>
      </c>
      <c r="F154" s="53">
        <f>SUMIF('2024 AC'!$B$3:$B$250,"*"&amp;$D154&amp;"*",'2024 AC'!D$3:D$250)</f>
        <v>1800</v>
      </c>
      <c r="G154" s="53">
        <f>SUMIF('2024 AC'!$B$3:$B$250,"*"&amp;$D154&amp;"*",'2024 AC'!E$3:E$250)</f>
        <v>1800</v>
      </c>
      <c r="H154" s="53">
        <f>SUMIF('2024 AC'!$B$3:$B$250,"*"&amp;$D154&amp;"*",'2024 AC'!F$3:F$250)</f>
        <v>1800</v>
      </c>
      <c r="I154" s="53">
        <f>SUMIF('2024 AC'!$B$3:$B$250,"*"&amp;$D154&amp;"*",'2024 AC'!G$3:G$250)</f>
        <v>1800</v>
      </c>
      <c r="J154" s="53">
        <f>SUMIF('2024 AC'!$B$3:$B$250,"*"&amp;$D154&amp;"*",'2024 AC'!H$3:H$250)</f>
        <v>1800</v>
      </c>
      <c r="K154" s="53">
        <f>SUMIF('2024 AC'!$B$3:$B$250,"*"&amp;$D154&amp;"*",'2024 AC'!I$3:I$250)</f>
        <v>1912</v>
      </c>
      <c r="L154" s="53">
        <f>SUMIF('2024 AC'!$B$3:$B$250,"*"&amp;$D154&amp;"*",'2024 AC'!J$3:J$250)</f>
        <v>1912</v>
      </c>
      <c r="M154" s="53">
        <f>SUMIF('2024 AC'!$B$3:$B$250,"*"&amp;$D154&amp;"*",'2024 AC'!K$3:K$250)</f>
        <v>1912</v>
      </c>
      <c r="N154" s="53">
        <f>SUMIF('2024 AC'!$B$3:$B$250,"*"&amp;$D154&amp;"*",'2024 AC'!L$3:L$250)</f>
        <v>1912</v>
      </c>
      <c r="O154" s="53">
        <f>SUMIF('2024 AC'!$B$3:$B$250,"*"&amp;$D154&amp;"*",'2024 AC'!M$3:M$250)</f>
        <v>1912</v>
      </c>
      <c r="P154" s="93">
        <f>SUMIF('2024 AC'!$B$3:$B$250,"*"&amp;$D154&amp;"*",'2024 AC'!N$3:N$250)</f>
        <v>1912</v>
      </c>
      <c r="Q154" s="92">
        <f t="shared" si="368"/>
        <v>22272</v>
      </c>
      <c r="R154" s="93">
        <f t="shared" si="369"/>
        <v>5400</v>
      </c>
      <c r="S154" s="93">
        <f t="shared" si="370"/>
        <v>5400</v>
      </c>
      <c r="T154" s="93">
        <f t="shared" si="371"/>
        <v>5736</v>
      </c>
      <c r="U154" s="93">
        <f t="shared" si="372"/>
        <v>5736</v>
      </c>
      <c r="V154" s="92">
        <f t="shared" si="373"/>
        <v>22272</v>
      </c>
    </row>
    <row r="155" s="137" customFormat="1">
      <c r="A155" s="137" t="s">
        <v>357</v>
      </c>
      <c r="B155" s="137" t="s">
        <v>358</v>
      </c>
      <c r="C155" s="187" t="s">
        <v>359</v>
      </c>
      <c r="D155" s="139" t="s">
        <v>360</v>
      </c>
      <c r="E155" s="145">
        <f>SUMIF('2024 AC'!$B$3:$B$250,"*"&amp;$D155&amp;"*",'2024 AC'!C$3:C$250)</f>
        <v>59.5</v>
      </c>
      <c r="F155" s="146">
        <f>SUMIF('2024 AC'!$B$3:$B$250,"*"&amp;$D155&amp;"*",'2024 AC'!D$3:D$250)</f>
        <v>34.5</v>
      </c>
      <c r="G155" s="146">
        <f>SUMIF('2024 AC'!$B$3:$B$250,"*"&amp;$D155&amp;"*",'2024 AC'!E$3:E$250)</f>
        <v>40.5</v>
      </c>
      <c r="H155" s="146">
        <f>SUMIF('2024 AC'!$B$3:$B$250,"*"&amp;$D155&amp;"*",'2024 AC'!F$3:F$250)</f>
        <v>37.5</v>
      </c>
      <c r="I155" s="146">
        <f>SUMIF('2024 AC'!$B$3:$B$250,"*"&amp;$D155&amp;"*",'2024 AC'!G$3:G$250)</f>
        <v>32.5</v>
      </c>
      <c r="J155" s="146">
        <f>SUMIF('2024 AC'!$B$3:$B$250,"*"&amp;$D155&amp;"*",'2024 AC'!H$3:H$250)</f>
        <v>81</v>
      </c>
      <c r="K155" s="146">
        <f>SUMIF('2024 AC'!$B$3:$B$250,"*"&amp;$D155&amp;"*",'2024 AC'!I$3:I$250)</f>
        <v>2678.6999999999998</v>
      </c>
      <c r="L155" s="146">
        <f>SUMIF('2024 AC'!$B$3:$B$250,"*"&amp;$D155&amp;"*",'2024 AC'!J$3:J$250)</f>
        <v>1.6000000000000001</v>
      </c>
      <c r="M155" s="146">
        <f>SUMIF('2024 AC'!$B$3:$B$250,"*"&amp;$D155&amp;"*",'2024 AC'!K$3:K$250)</f>
        <v>5.9000000000000004</v>
      </c>
      <c r="N155" s="146">
        <f>SUMIF('2024 AC'!$B$3:$B$250,"*"&amp;$D155&amp;"*",'2024 AC'!L$3:L$250)</f>
        <v>5</v>
      </c>
      <c r="O155" s="146">
        <f>SUMIF('2024 AC'!$B$3:$B$250,"*"&amp;$D155&amp;"*",'2024 AC'!M$3:M$250)</f>
        <v>5.5</v>
      </c>
      <c r="P155" s="147">
        <f>SUMIF('2024 AC'!$B$3:$B$250,"*"&amp;$D155&amp;"*",'2024 AC'!N$3:N$250)</f>
        <v>4.7000000000000002</v>
      </c>
      <c r="Q155" s="148">
        <f t="shared" si="368"/>
        <v>2986.8999999999996</v>
      </c>
      <c r="R155" s="147">
        <f t="shared" si="369"/>
        <v>134.5</v>
      </c>
      <c r="S155" s="147">
        <f t="shared" si="370"/>
        <v>151</v>
      </c>
      <c r="T155" s="147">
        <f t="shared" si="371"/>
        <v>2686.1999999999998</v>
      </c>
      <c r="U155" s="147">
        <f t="shared" si="372"/>
        <v>15.199999999999999</v>
      </c>
      <c r="V155" s="148">
        <f t="shared" si="373"/>
        <v>2986.8999999999996</v>
      </c>
    </row>
    <row r="156" ht="15" customHeight="1" outlineLevel="1">
      <c r="A156" t="s">
        <v>361</v>
      </c>
      <c r="B156" t="s">
        <v>362</v>
      </c>
      <c r="C156" s="52" t="s">
        <v>363</v>
      </c>
      <c r="D156" s="35" t="s">
        <v>364</v>
      </c>
      <c r="E156" s="63">
        <f>SUMIF('2024 AC'!$B$3:$B$250,"*"&amp;$D156&amp;"*",'2024 AC'!C$3:C$250)</f>
        <v>59.5</v>
      </c>
      <c r="F156" s="53">
        <f>SUMIF('2024 AC'!$B$3:$B$250,"*"&amp;$D156&amp;"*",'2024 AC'!D$3:D$250)</f>
        <v>34.5</v>
      </c>
      <c r="G156" s="53">
        <f>SUMIF('2024 AC'!$B$3:$B$250,"*"&amp;$D156&amp;"*",'2024 AC'!E$3:E$250)</f>
        <v>40.5</v>
      </c>
      <c r="H156" s="53">
        <f>SUMIF('2024 AC'!$B$3:$B$250,"*"&amp;$D156&amp;"*",'2024 AC'!F$3:F$250)</f>
        <v>37.5</v>
      </c>
      <c r="I156" s="53">
        <f>SUMIF('2024 AC'!$B$3:$B$250,"*"&amp;$D156&amp;"*",'2024 AC'!G$3:G$250)</f>
        <v>32.5</v>
      </c>
      <c r="J156" s="53">
        <f>SUMIF('2024 AC'!$B$3:$B$250,"*"&amp;$D156&amp;"*",'2024 AC'!H$3:H$250)</f>
        <v>81</v>
      </c>
      <c r="K156" s="53">
        <f>SUMIF('2024 AC'!$B$3:$B$250,"*"&amp;$D156&amp;"*",'2024 AC'!I$3:I$250)</f>
        <v>40.700000000000003</v>
      </c>
      <c r="L156" s="53">
        <f>SUMIF('2024 AC'!$B$3:$B$250,"*"&amp;$D156&amp;"*",'2024 AC'!J$3:J$250)</f>
        <v>1.6000000000000001</v>
      </c>
      <c r="M156" s="53">
        <f>SUMIF('2024 AC'!$B$3:$B$250,"*"&amp;$D156&amp;"*",'2024 AC'!K$3:K$250)</f>
        <v>5.9000000000000004</v>
      </c>
      <c r="N156" s="53">
        <f>SUMIF('2024 AC'!$B$3:$B$250,"*"&amp;$D156&amp;"*",'2024 AC'!L$3:L$250)</f>
        <v>5</v>
      </c>
      <c r="O156" s="53">
        <f>SUMIF('2024 AC'!$B$3:$B$250,"*"&amp;$D156&amp;"*",'2024 AC'!M$3:M$250)</f>
        <v>5.5</v>
      </c>
      <c r="P156" s="93">
        <f>SUMIF('2024 AC'!$B$3:$B$250,"*"&amp;$D156&amp;"*",'2024 AC'!N$3:N$250)</f>
        <v>4.7000000000000002</v>
      </c>
      <c r="Q156" s="92">
        <f t="shared" si="368"/>
        <v>348.89999999999998</v>
      </c>
      <c r="R156" s="93">
        <f t="shared" si="369"/>
        <v>134.5</v>
      </c>
      <c r="S156" s="93">
        <f t="shared" si="370"/>
        <v>151</v>
      </c>
      <c r="T156" s="93">
        <f t="shared" si="371"/>
        <v>48.200000000000003</v>
      </c>
      <c r="U156" s="93">
        <f t="shared" si="372"/>
        <v>15.199999999999999</v>
      </c>
      <c r="V156" s="92">
        <f t="shared" si="373"/>
        <v>348.89999999999998</v>
      </c>
    </row>
    <row r="157" ht="15" customHeight="1" outlineLevel="1">
      <c r="A157" t="s">
        <v>365</v>
      </c>
      <c r="B157" t="s">
        <v>366</v>
      </c>
      <c r="C157" s="52" t="s">
        <v>367</v>
      </c>
      <c r="D157" s="35" t="s">
        <v>368</v>
      </c>
      <c r="E157" s="63">
        <f>SUMIF('2024 AC'!$B$3:$B$250,"*"&amp;$D157&amp;"*",'2024 AC'!C$3:C$250)</f>
        <v>0</v>
      </c>
      <c r="F157" s="53">
        <f>SUMIF('2024 AC'!$B$3:$B$250,"*"&amp;$D157&amp;"*",'2024 AC'!D$3:D$250)</f>
        <v>0</v>
      </c>
      <c r="G157" s="53">
        <f>SUMIF('2024 AC'!$B$3:$B$250,"*"&amp;$D157&amp;"*",'2024 AC'!E$3:E$250)</f>
        <v>0</v>
      </c>
      <c r="H157" s="53">
        <f>SUMIF('2024 AC'!$B$3:$B$250,"*"&amp;$D157&amp;"*",'2024 AC'!F$3:F$250)</f>
        <v>0</v>
      </c>
      <c r="I157" s="53">
        <f>SUMIF('2024 AC'!$B$3:$B$250,"*"&amp;$D157&amp;"*",'2024 AC'!G$3:G$250)</f>
        <v>0</v>
      </c>
      <c r="J157" s="53">
        <f>SUMIF('2024 AC'!$B$3:$B$250,"*"&amp;$D157&amp;"*",'2024 AC'!H$3:H$250)</f>
        <v>0</v>
      </c>
      <c r="K157" s="53">
        <f>SUMIF('2024 AC'!$B$3:$B$250,"*"&amp;$D157&amp;"*",'2024 AC'!I$3:I$250)</f>
        <v>2638</v>
      </c>
      <c r="L157" s="53">
        <f>SUMIF('2024 AC'!$B$3:$B$250,"*"&amp;$D157&amp;"*",'2024 AC'!J$3:J$250)</f>
        <v>0</v>
      </c>
      <c r="M157" s="53">
        <f>SUMIF('2024 AC'!$B$3:$B$250,"*"&amp;$D157&amp;"*",'2024 AC'!K$3:K$250)</f>
        <v>0</v>
      </c>
      <c r="N157" s="53">
        <f>SUMIF('2024 AC'!$B$3:$B$250,"*"&amp;$D157&amp;"*",'2024 AC'!L$3:L$250)</f>
        <v>0</v>
      </c>
      <c r="O157" s="53">
        <f>SUMIF('2024 AC'!$B$3:$B$250,"*"&amp;$D157&amp;"*",'2024 AC'!M$3:M$250)</f>
        <v>0</v>
      </c>
      <c r="P157" s="93">
        <f>SUMIF('2024 AC'!$B$3:$B$250,"*"&amp;$D157&amp;"*",'2024 AC'!N$3:N$250)</f>
        <v>0</v>
      </c>
      <c r="Q157" s="92">
        <f t="shared" si="368"/>
        <v>2638</v>
      </c>
      <c r="R157" s="93">
        <f t="shared" si="369"/>
        <v>0</v>
      </c>
      <c r="S157" s="93">
        <f t="shared" si="370"/>
        <v>0</v>
      </c>
      <c r="T157" s="93">
        <f t="shared" si="371"/>
        <v>2638</v>
      </c>
      <c r="U157" s="93">
        <f t="shared" si="372"/>
        <v>0</v>
      </c>
      <c r="V157" s="92">
        <f t="shared" si="373"/>
        <v>2638</v>
      </c>
    </row>
    <row r="158" s="137" customFormat="1" ht="15" customHeight="1">
      <c r="A158" s="137" t="s">
        <v>369</v>
      </c>
      <c r="B158" s="137" t="s">
        <v>370</v>
      </c>
      <c r="C158" s="187" t="s">
        <v>371</v>
      </c>
      <c r="D158" s="139" t="s">
        <v>372</v>
      </c>
      <c r="E158" s="145">
        <f>SUMIF('2024 AC'!$B$3:$B$250,"*"&amp;$D158&amp;"*",'2024 AC'!C$3:C$250)</f>
        <v>0</v>
      </c>
      <c r="F158" s="146">
        <f>SUMIF('2024 AC'!$B$3:$B$250,"*"&amp;$D158&amp;"*",'2024 AC'!D$3:D$250)</f>
        <v>0</v>
      </c>
      <c r="G158" s="146">
        <f>SUMIF('2024 AC'!$B$3:$B$250,"*"&amp;$D158&amp;"*",'2024 AC'!E$3:E$250)</f>
        <v>0</v>
      </c>
      <c r="H158" s="146">
        <f>SUMIF('2024 AC'!$B$3:$B$250,"*"&amp;$D158&amp;"*",'2024 AC'!F$3:F$250)</f>
        <v>0</v>
      </c>
      <c r="I158" s="146">
        <f>SUMIF('2024 AC'!$B$3:$B$250,"*"&amp;$D158&amp;"*",'2024 AC'!G$3:G$250)</f>
        <v>0</v>
      </c>
      <c r="J158" s="146">
        <f>SUMIF('2024 AC'!$B$3:$B$250,"*"&amp;$D158&amp;"*",'2024 AC'!H$3:H$250)</f>
        <v>0</v>
      </c>
      <c r="K158" s="146">
        <f>SUMIF('2024 AC'!$B$3:$B$250,"*"&amp;$D158&amp;"*",'2024 AC'!I$3:I$250)</f>
        <v>0</v>
      </c>
      <c r="L158" s="146">
        <f>SUMIF('2024 AC'!$B$3:$B$250,"*"&amp;$D158&amp;"*",'2024 AC'!J$3:J$250)</f>
        <v>0</v>
      </c>
      <c r="M158" s="146">
        <f>SUMIF('2024 AC'!$B$3:$B$250,"*"&amp;$D158&amp;"*",'2024 AC'!K$3:K$250)</f>
        <v>0</v>
      </c>
      <c r="N158" s="146">
        <f>SUMIF('2024 AC'!$B$3:$B$250,"*"&amp;$D158&amp;"*",'2024 AC'!L$3:L$250)</f>
        <v>0</v>
      </c>
      <c r="O158" s="146">
        <f>SUMIF('2024 AC'!$B$3:$B$250,"*"&amp;$D158&amp;"*",'2024 AC'!M$3:M$250)</f>
        <v>0</v>
      </c>
      <c r="P158" s="147">
        <f>SUMIF('2024 AC'!$B$3:$B$250,"*"&amp;$D158&amp;"*",'2024 AC'!N$3:N$250)</f>
        <v>0</v>
      </c>
      <c r="Q158" s="148">
        <f t="shared" si="368"/>
        <v>0</v>
      </c>
      <c r="R158" s="147">
        <f t="shared" si="369"/>
        <v>0</v>
      </c>
      <c r="S158" s="147">
        <f t="shared" si="370"/>
        <v>0</v>
      </c>
      <c r="T158" s="147">
        <f t="shared" si="371"/>
        <v>0</v>
      </c>
      <c r="U158" s="147">
        <f t="shared" si="372"/>
        <v>0</v>
      </c>
      <c r="V158" s="148">
        <f t="shared" si="373"/>
        <v>0</v>
      </c>
    </row>
    <row r="159" s="137" customFormat="1" ht="15" customHeight="1">
      <c r="A159" s="137" t="s">
        <v>373</v>
      </c>
      <c r="B159" s="137" t="s">
        <v>374</v>
      </c>
      <c r="C159" s="187" t="s">
        <v>268</v>
      </c>
      <c r="D159" s="139" t="s">
        <v>375</v>
      </c>
      <c r="E159" s="145">
        <f>SUMIF('2024 AC'!$B$3:$B$250,"*"&amp;$D159&amp;"*",'2024 AC'!C$3:C$250)</f>
        <v>227602.51999999999</v>
      </c>
      <c r="F159" s="146">
        <f>SUMIF('2024 AC'!$B$3:$B$250,"*"&amp;$D159&amp;"*",'2024 AC'!D$3:D$250)</f>
        <v>140937.23999999999</v>
      </c>
      <c r="G159" s="146">
        <f>SUMIF('2024 AC'!$B$3:$B$250,"*"&amp;$D159&amp;"*",'2024 AC'!E$3:E$250)</f>
        <v>170948.78</v>
      </c>
      <c r="H159" s="146">
        <f>SUMIF('2024 AC'!$B$3:$B$250,"*"&amp;$D159&amp;"*",'2024 AC'!F$3:F$250)</f>
        <v>162292.69</v>
      </c>
      <c r="I159" s="146">
        <f>SUMIF('2024 AC'!$B$3:$B$250,"*"&amp;$D159&amp;"*",'2024 AC'!G$3:G$250)</f>
        <v>168619.19</v>
      </c>
      <c r="J159" s="146">
        <f>SUMIF('2024 AC'!$B$3:$B$250,"*"&amp;$D159&amp;"*",'2024 AC'!H$3:H$250)</f>
        <v>166263.60000000001</v>
      </c>
      <c r="K159" s="146">
        <f>SUMIF('2024 AC'!$B$3:$B$250,"*"&amp;$D159&amp;"*",'2024 AC'!I$3:I$250)</f>
        <v>262687.96000000002</v>
      </c>
      <c r="L159" s="146">
        <f>SUMIF('2024 AC'!$B$3:$B$250,"*"&amp;$D159&amp;"*",'2024 AC'!J$3:J$250)</f>
        <v>190364.32999999999</v>
      </c>
      <c r="M159" s="146">
        <f>SUMIF('2024 AC'!$B$3:$B$250,"*"&amp;$D159&amp;"*",'2024 AC'!K$3:K$250)</f>
        <v>181808.91</v>
      </c>
      <c r="N159" s="146">
        <f>SUMIF('2024 AC'!$B$3:$B$250,"*"&amp;$D159&amp;"*",'2024 AC'!L$3:L$250)</f>
        <v>181719.17000000001</v>
      </c>
      <c r="O159" s="146">
        <f>SUMIF('2024 AC'!$B$3:$B$250,"*"&amp;$D159&amp;"*",'2024 AC'!M$3:M$250)</f>
        <v>172555.59</v>
      </c>
      <c r="P159" s="147">
        <f>SUMIF('2024 AC'!$B$3:$B$250,"*"&amp;$D159&amp;"*",'2024 AC'!N$3:N$250)</f>
        <v>223959.39000000001</v>
      </c>
      <c r="Q159" s="148">
        <f t="shared" si="368"/>
        <v>2249759.3700000001</v>
      </c>
      <c r="R159" s="147">
        <f t="shared" si="369"/>
        <v>539488.54000000004</v>
      </c>
      <c r="S159" s="147">
        <f t="shared" si="370"/>
        <v>497175.47999999998</v>
      </c>
      <c r="T159" s="147">
        <f t="shared" si="371"/>
        <v>634861.20000000007</v>
      </c>
      <c r="U159" s="147">
        <f t="shared" si="372"/>
        <v>578234.15000000002</v>
      </c>
      <c r="V159" s="148">
        <f t="shared" si="373"/>
        <v>2249759.3700000001</v>
      </c>
    </row>
    <row r="160" ht="15" customHeight="1" outlineLevel="1">
      <c r="A160" t="s">
        <v>376</v>
      </c>
      <c r="B160" t="s">
        <v>377</v>
      </c>
      <c r="C160" s="34" t="s">
        <v>378</v>
      </c>
      <c r="D160" s="35" t="s">
        <v>379</v>
      </c>
      <c r="E160" s="63">
        <f>SUMIF('2024 AC'!$B$3:$B$250,"*"&amp;$D160&amp;"*",'2024 AC'!C$3:C$250)</f>
        <v>0</v>
      </c>
      <c r="F160" s="53">
        <f>SUMIF('2024 AC'!$B$3:$B$250,"*"&amp;$D160&amp;"*",'2024 AC'!D$3:D$250)</f>
        <v>0</v>
      </c>
      <c r="G160" s="53">
        <f>SUMIF('2024 AC'!$B$3:$B$250,"*"&amp;$D160&amp;"*",'2024 AC'!E$3:E$250)</f>
        <v>460.89999999999998</v>
      </c>
      <c r="H160" s="53">
        <f>SUMIF('2024 AC'!$B$3:$B$250,"*"&amp;$D160&amp;"*",'2024 AC'!F$3:F$250)</f>
        <v>312.19999999999999</v>
      </c>
      <c r="I160" s="53">
        <f>SUMIF('2024 AC'!$B$3:$B$250,"*"&amp;$D160&amp;"*",'2024 AC'!G$3:G$250)</f>
        <v>0</v>
      </c>
      <c r="J160" s="53">
        <f>SUMIF('2024 AC'!$B$3:$B$250,"*"&amp;$D160&amp;"*",'2024 AC'!H$3:H$250)</f>
        <v>0</v>
      </c>
      <c r="K160" s="53">
        <f>SUMIF('2024 AC'!$B$3:$B$250,"*"&amp;$D160&amp;"*",'2024 AC'!I$3:I$250)</f>
        <v>0</v>
      </c>
      <c r="L160" s="53">
        <f>SUMIF('2024 AC'!$B$3:$B$250,"*"&amp;$D160&amp;"*",'2024 AC'!J$3:J$250)</f>
        <v>0</v>
      </c>
      <c r="M160" s="53">
        <f>SUMIF('2024 AC'!$B$3:$B$250,"*"&amp;$D160&amp;"*",'2024 AC'!K$3:K$250)</f>
        <v>0</v>
      </c>
      <c r="N160" s="53">
        <f>SUMIF('2024 AC'!$B$3:$B$250,"*"&amp;$D160&amp;"*",'2024 AC'!L$3:L$250)</f>
        <v>0</v>
      </c>
      <c r="O160" s="53">
        <f>SUMIF('2024 AC'!$B$3:$B$250,"*"&amp;$D160&amp;"*",'2024 AC'!M$3:M$250)</f>
        <v>0</v>
      </c>
      <c r="P160" s="93">
        <f>SUMIF('2024 AC'!$B$3:$B$250,"*"&amp;$D160&amp;"*",'2024 AC'!N$3:N$250)</f>
        <v>0</v>
      </c>
      <c r="Q160" s="92">
        <f t="shared" si="368"/>
        <v>773.09999999999991</v>
      </c>
      <c r="R160" s="93">
        <f t="shared" si="369"/>
        <v>460.89999999999998</v>
      </c>
      <c r="S160" s="93">
        <f t="shared" si="370"/>
        <v>312.19999999999999</v>
      </c>
      <c r="T160" s="93">
        <f t="shared" si="371"/>
        <v>0</v>
      </c>
      <c r="U160" s="93">
        <f t="shared" si="372"/>
        <v>0</v>
      </c>
      <c r="V160" s="92">
        <f t="shared" si="373"/>
        <v>773.09999999999991</v>
      </c>
    </row>
    <row r="161" ht="15" customHeight="1" outlineLevel="1">
      <c r="A161" t="s">
        <v>380</v>
      </c>
      <c r="B161" t="s">
        <v>381</v>
      </c>
      <c r="C161" s="34" t="s">
        <v>382</v>
      </c>
      <c r="D161" s="35" t="s">
        <v>383</v>
      </c>
      <c r="E161" s="63">
        <f>SUMIF('2024 AC'!$B$3:$B$250,"*"&amp;$D161&amp;"*",'2024 AC'!C$3:C$250)</f>
        <v>0</v>
      </c>
      <c r="F161" s="53">
        <f>SUMIF('2024 AC'!$B$3:$B$250,"*"&amp;$D161&amp;"*",'2024 AC'!D$3:D$250)</f>
        <v>0</v>
      </c>
      <c r="G161" s="53">
        <f>SUMIF('2024 AC'!$B$3:$B$250,"*"&amp;$D161&amp;"*",'2024 AC'!E$3:E$250)</f>
        <v>0</v>
      </c>
      <c r="H161" s="53">
        <f>SUMIF('2024 AC'!$B$3:$B$250,"*"&amp;$D161&amp;"*",'2024 AC'!F$3:F$250)</f>
        <v>0</v>
      </c>
      <c r="I161" s="53">
        <f>SUMIF('2024 AC'!$B$3:$B$250,"*"&amp;$D161&amp;"*",'2024 AC'!G$3:G$250)</f>
        <v>0</v>
      </c>
      <c r="J161" s="53">
        <f>SUMIF('2024 AC'!$B$3:$B$250,"*"&amp;$D161&amp;"*",'2024 AC'!H$3:H$250)</f>
        <v>0</v>
      </c>
      <c r="K161" s="53">
        <f>SUMIF('2024 AC'!$B$3:$B$250,"*"&amp;$D161&amp;"*",'2024 AC'!I$3:I$250)</f>
        <v>0</v>
      </c>
      <c r="L161" s="53">
        <f>SUMIF('2024 AC'!$B$3:$B$250,"*"&amp;$D161&amp;"*",'2024 AC'!J$3:J$250)</f>
        <v>0</v>
      </c>
      <c r="M161" s="53">
        <f>SUMIF('2024 AC'!$B$3:$B$250,"*"&amp;$D161&amp;"*",'2024 AC'!K$3:K$250)</f>
        <v>0</v>
      </c>
      <c r="N161" s="53">
        <f>SUMIF('2024 AC'!$B$3:$B$250,"*"&amp;$D161&amp;"*",'2024 AC'!L$3:L$250)</f>
        <v>0</v>
      </c>
      <c r="O161" s="53">
        <f>SUMIF('2024 AC'!$B$3:$B$250,"*"&amp;$D161&amp;"*",'2024 AC'!M$3:M$250)</f>
        <v>0</v>
      </c>
      <c r="P161" s="93">
        <f>SUMIF('2024 AC'!$B$3:$B$250,"*"&amp;$D161&amp;"*",'2024 AC'!N$3:N$250)</f>
        <v>15.4</v>
      </c>
      <c r="Q161" s="92">
        <f t="shared" si="368"/>
        <v>15.4</v>
      </c>
      <c r="R161" s="93">
        <f t="shared" si="369"/>
        <v>0</v>
      </c>
      <c r="S161" s="93">
        <f t="shared" si="370"/>
        <v>0</v>
      </c>
      <c r="T161" s="93">
        <f t="shared" si="371"/>
        <v>0</v>
      </c>
      <c r="U161" s="93">
        <f t="shared" si="372"/>
        <v>15.4</v>
      </c>
      <c r="V161" s="92">
        <f t="shared" si="373"/>
        <v>15.4</v>
      </c>
    </row>
    <row r="162" ht="15" customHeight="1" outlineLevel="1">
      <c r="A162" t="s">
        <v>384</v>
      </c>
      <c r="B162" t="s">
        <v>385</v>
      </c>
      <c r="C162" s="34" t="s">
        <v>386</v>
      </c>
      <c r="D162" s="35" t="s">
        <v>387</v>
      </c>
      <c r="E162" s="63">
        <f>SUMIF('2024 AC'!$B$3:$B$250,"*"&amp;$D162&amp;"*",'2024 AC'!C$3:C$250)</f>
        <v>0</v>
      </c>
      <c r="F162" s="53">
        <f>SUMIF('2024 AC'!$B$3:$B$250,"*"&amp;$D162&amp;"*",'2024 AC'!D$3:D$250)</f>
        <v>0</v>
      </c>
      <c r="G162" s="53">
        <f>SUMIF('2024 AC'!$B$3:$B$250,"*"&amp;$D162&amp;"*",'2024 AC'!E$3:E$250)</f>
        <v>0</v>
      </c>
      <c r="H162" s="53">
        <f>SUMIF('2024 AC'!$B$3:$B$250,"*"&amp;$D162&amp;"*",'2024 AC'!F$3:F$250)</f>
        <v>0</v>
      </c>
      <c r="I162" s="53">
        <f>SUMIF('2024 AC'!$B$3:$B$250,"*"&amp;$D162&amp;"*",'2024 AC'!G$3:G$250)</f>
        <v>0</v>
      </c>
      <c r="J162" s="53">
        <f>SUMIF('2024 AC'!$B$3:$B$250,"*"&amp;$D162&amp;"*",'2024 AC'!H$3:H$250)</f>
        <v>0</v>
      </c>
      <c r="K162" s="53">
        <f>SUMIF('2024 AC'!$B$3:$B$250,"*"&amp;$D162&amp;"*",'2024 AC'!I$3:I$250)</f>
        <v>4317</v>
      </c>
      <c r="L162" s="53">
        <f>SUMIF('2024 AC'!$B$3:$B$250,"*"&amp;$D162&amp;"*",'2024 AC'!J$3:J$250)</f>
        <v>0</v>
      </c>
      <c r="M162" s="53">
        <f>SUMIF('2024 AC'!$B$3:$B$250,"*"&amp;$D162&amp;"*",'2024 AC'!K$3:K$250)</f>
        <v>0</v>
      </c>
      <c r="N162" s="53">
        <f>SUMIF('2024 AC'!$B$3:$B$250,"*"&amp;$D162&amp;"*",'2024 AC'!L$3:L$250)</f>
        <v>0</v>
      </c>
      <c r="O162" s="53">
        <f>SUMIF('2024 AC'!$B$3:$B$250,"*"&amp;$D162&amp;"*",'2024 AC'!M$3:M$250)</f>
        <v>0</v>
      </c>
      <c r="P162" s="93">
        <f>SUMIF('2024 AC'!$B$3:$B$250,"*"&amp;$D162&amp;"*",'2024 AC'!N$3:N$250)</f>
        <v>0</v>
      </c>
      <c r="Q162" s="92">
        <f t="shared" si="368"/>
        <v>4317</v>
      </c>
      <c r="R162" s="93">
        <f t="shared" si="369"/>
        <v>0</v>
      </c>
      <c r="S162" s="93">
        <f t="shared" si="370"/>
        <v>0</v>
      </c>
      <c r="T162" s="93">
        <f t="shared" si="371"/>
        <v>4317</v>
      </c>
      <c r="U162" s="93">
        <f t="shared" si="372"/>
        <v>0</v>
      </c>
      <c r="V162" s="92">
        <f t="shared" si="373"/>
        <v>4317</v>
      </c>
    </row>
    <row r="163" ht="15" customHeight="1" outlineLevel="1">
      <c r="A163" t="s">
        <v>388</v>
      </c>
      <c r="B163" t="s">
        <v>389</v>
      </c>
      <c r="C163" s="34" t="s">
        <v>390</v>
      </c>
      <c r="D163" s="35" t="s">
        <v>391</v>
      </c>
      <c r="E163" s="63">
        <f>SUMIF('2024 AC'!$B$3:$B$250,"*"&amp;$D163&amp;"*",'2024 AC'!C$3:C$250)</f>
        <v>0</v>
      </c>
      <c r="F163" s="53">
        <f>SUMIF('2024 AC'!$B$3:$B$250,"*"&amp;$D163&amp;"*",'2024 AC'!D$3:D$250)</f>
        <v>0</v>
      </c>
      <c r="G163" s="53">
        <f>SUMIF('2024 AC'!$B$3:$B$250,"*"&amp;$D163&amp;"*",'2024 AC'!E$3:E$250)</f>
        <v>0</v>
      </c>
      <c r="H163" s="53">
        <f>SUMIF('2024 AC'!$B$3:$B$250,"*"&amp;$D163&amp;"*",'2024 AC'!F$3:F$250)</f>
        <v>0</v>
      </c>
      <c r="I163" s="53">
        <f>SUMIF('2024 AC'!$B$3:$B$250,"*"&amp;$D163&amp;"*",'2024 AC'!G$3:G$250)</f>
        <v>0</v>
      </c>
      <c r="J163" s="53">
        <f>SUMIF('2024 AC'!$B$3:$B$250,"*"&amp;$D163&amp;"*",'2024 AC'!H$3:H$250)</f>
        <v>0</v>
      </c>
      <c r="K163" s="53">
        <f>SUMIF('2024 AC'!$B$3:$B$250,"*"&amp;$D163&amp;"*",'2024 AC'!I$3:I$250)</f>
        <v>107.90000000000001</v>
      </c>
      <c r="L163" s="53">
        <f>SUMIF('2024 AC'!$B$3:$B$250,"*"&amp;$D163&amp;"*",'2024 AC'!J$3:J$250)</f>
        <v>165.80000000000001</v>
      </c>
      <c r="M163" s="53">
        <f>SUMIF('2024 AC'!$B$3:$B$250,"*"&amp;$D163&amp;"*",'2024 AC'!K$3:K$250)</f>
        <v>100</v>
      </c>
      <c r="N163" s="53">
        <f>SUMIF('2024 AC'!$B$3:$B$250,"*"&amp;$D163&amp;"*",'2024 AC'!L$3:L$250)</f>
        <v>15.800000000000001</v>
      </c>
      <c r="O163" s="53">
        <f>SUMIF('2024 AC'!$B$3:$B$250,"*"&amp;$D163&amp;"*",'2024 AC'!M$3:M$250)</f>
        <v>127.40000000000001</v>
      </c>
      <c r="P163" s="93">
        <f>SUMIF('2024 AC'!$B$3:$B$250,"*"&amp;$D163&amp;"*",'2024 AC'!N$3:N$250)</f>
        <v>55.299999999999997</v>
      </c>
      <c r="Q163" s="92">
        <f t="shared" si="368"/>
        <v>572.20000000000005</v>
      </c>
      <c r="R163" s="93">
        <f t="shared" si="369"/>
        <v>0</v>
      </c>
      <c r="S163" s="93">
        <f t="shared" si="370"/>
        <v>0</v>
      </c>
      <c r="T163" s="93">
        <f t="shared" si="371"/>
        <v>373.70000000000005</v>
      </c>
      <c r="U163" s="93">
        <f t="shared" si="372"/>
        <v>198.5</v>
      </c>
      <c r="V163" s="92">
        <f t="shared" si="373"/>
        <v>572.20000000000005</v>
      </c>
    </row>
    <row r="164" ht="15" customHeight="1" outlineLevel="1">
      <c r="A164" t="s">
        <v>392</v>
      </c>
      <c r="B164" t="s">
        <v>393</v>
      </c>
      <c r="C164" s="34" t="s">
        <v>394</v>
      </c>
      <c r="D164" s="35" t="s">
        <v>395</v>
      </c>
      <c r="E164" s="63">
        <f>SUMIF('2024 AC'!$B$3:$B$250,"*"&amp;$D164&amp;"*",'2024 AC'!C$3:C$250)</f>
        <v>1899.5999999999999</v>
      </c>
      <c r="F164" s="53">
        <f>SUMIF('2024 AC'!$B$3:$B$250,"*"&amp;$D164&amp;"*",'2024 AC'!D$3:D$250)</f>
        <v>2600</v>
      </c>
      <c r="G164" s="53">
        <f>SUMIF('2024 AC'!$B$3:$B$250,"*"&amp;$D164&amp;"*",'2024 AC'!E$3:E$250)</f>
        <v>2450</v>
      </c>
      <c r="H164" s="53">
        <f>SUMIF('2024 AC'!$B$3:$B$250,"*"&amp;$D164&amp;"*",'2024 AC'!F$3:F$250)</f>
        <v>2365</v>
      </c>
      <c r="I164" s="53">
        <f>SUMIF('2024 AC'!$B$3:$B$250,"*"&amp;$D164&amp;"*",'2024 AC'!G$3:G$250)</f>
        <v>2411.0999999999999</v>
      </c>
      <c r="J164" s="53">
        <f>SUMIF('2024 AC'!$B$3:$B$250,"*"&amp;$D164&amp;"*",'2024 AC'!H$3:H$250)</f>
        <v>3076.3299999999999</v>
      </c>
      <c r="K164" s="53">
        <f>SUMIF('2024 AC'!$B$3:$B$250,"*"&amp;$D164&amp;"*",'2024 AC'!I$3:I$250)</f>
        <v>2890.3200000000002</v>
      </c>
      <c r="L164" s="53">
        <f>SUMIF('2024 AC'!$B$3:$B$250,"*"&amp;$D164&amp;"*",'2024 AC'!J$3:J$250)</f>
        <v>3200</v>
      </c>
      <c r="M164" s="53">
        <f>SUMIF('2024 AC'!$B$3:$B$250,"*"&amp;$D164&amp;"*",'2024 AC'!K$3:K$250)</f>
        <v>580</v>
      </c>
      <c r="N164" s="53">
        <f>SUMIF('2024 AC'!$B$3:$B$250,"*"&amp;$D164&amp;"*",'2024 AC'!L$3:L$250)</f>
        <v>2900</v>
      </c>
      <c r="O164" s="53">
        <f>SUMIF('2024 AC'!$B$3:$B$250,"*"&amp;$D164&amp;"*",'2024 AC'!M$3:M$250)</f>
        <v>805.5</v>
      </c>
      <c r="P164" s="93">
        <f>SUMIF('2024 AC'!$B$3:$B$250,"*"&amp;$D164&amp;"*",'2024 AC'!N$3:N$250)</f>
        <v>3290</v>
      </c>
      <c r="Q164" s="92">
        <f t="shared" si="368"/>
        <v>28467.850000000002</v>
      </c>
      <c r="R164" s="93">
        <f t="shared" si="369"/>
        <v>6949.6000000000004</v>
      </c>
      <c r="S164" s="93">
        <f t="shared" si="370"/>
        <v>7852.4300000000003</v>
      </c>
      <c r="T164" s="93">
        <f t="shared" si="371"/>
        <v>6670.3199999999997</v>
      </c>
      <c r="U164" s="93">
        <f t="shared" si="372"/>
        <v>6995.5</v>
      </c>
      <c r="V164" s="92">
        <f t="shared" si="373"/>
        <v>28467.849999999999</v>
      </c>
    </row>
    <row r="165" ht="15" customHeight="1" outlineLevel="1">
      <c r="A165" t="s">
        <v>396</v>
      </c>
      <c r="B165" t="s">
        <v>397</v>
      </c>
      <c r="C165" s="34" t="s">
        <v>398</v>
      </c>
      <c r="D165" s="35" t="s">
        <v>399</v>
      </c>
      <c r="E165" s="63">
        <f>SUMIF('2024 AC'!$B$3:$B$250,"*"&amp;$D165&amp;"*",'2024 AC'!C$3:C$250)</f>
        <v>5790</v>
      </c>
      <c r="F165" s="53">
        <f>SUMIF('2024 AC'!$B$3:$B$250,"*"&amp;$D165&amp;"*",'2024 AC'!D$3:D$250)</f>
        <v>890</v>
      </c>
      <c r="G165" s="53">
        <f>SUMIF('2024 AC'!$B$3:$B$250,"*"&amp;$D165&amp;"*",'2024 AC'!E$3:E$250)</f>
        <v>7375</v>
      </c>
      <c r="H165" s="53">
        <f>SUMIF('2024 AC'!$B$3:$B$250,"*"&amp;$D165&amp;"*",'2024 AC'!F$3:F$250)</f>
        <v>4601.6999999999998</v>
      </c>
      <c r="I165" s="53">
        <f>SUMIF('2024 AC'!$B$3:$B$250,"*"&amp;$D165&amp;"*",'2024 AC'!G$3:G$250)</f>
        <v>2090</v>
      </c>
      <c r="J165" s="53">
        <f>SUMIF('2024 AC'!$B$3:$B$250,"*"&amp;$D165&amp;"*",'2024 AC'!H$3:H$250)</f>
        <v>1825</v>
      </c>
      <c r="K165" s="53">
        <f>SUMIF('2024 AC'!$B$3:$B$250,"*"&amp;$D165&amp;"*",'2024 AC'!I$3:I$250)</f>
        <v>11767.75</v>
      </c>
      <c r="L165" s="53">
        <f>SUMIF('2024 AC'!$B$3:$B$250,"*"&amp;$D165&amp;"*",'2024 AC'!J$3:J$250)</f>
        <v>5391.9499999999998</v>
      </c>
      <c r="M165" s="53">
        <f>SUMIF('2024 AC'!$B$3:$B$250,"*"&amp;$D165&amp;"*",'2024 AC'!K$3:K$250)</f>
        <v>8268</v>
      </c>
      <c r="N165" s="53">
        <f>SUMIF('2024 AC'!$B$3:$B$250,"*"&amp;$D165&amp;"*",'2024 AC'!L$3:L$250)</f>
        <v>5218</v>
      </c>
      <c r="O165" s="53">
        <f>SUMIF('2024 AC'!$B$3:$B$250,"*"&amp;$D165&amp;"*",'2024 AC'!M$3:M$250)</f>
        <v>5281.8000000000002</v>
      </c>
      <c r="P165" s="93">
        <f>SUMIF('2024 AC'!$B$3:$B$250,"*"&amp;$D165&amp;"*",'2024 AC'!N$3:N$250)</f>
        <v>4369</v>
      </c>
      <c r="Q165" s="92">
        <f t="shared" si="368"/>
        <v>62868.199999999997</v>
      </c>
      <c r="R165" s="93">
        <f t="shared" si="369"/>
        <v>14055</v>
      </c>
      <c r="S165" s="93">
        <f t="shared" si="370"/>
        <v>8516.7000000000007</v>
      </c>
      <c r="T165" s="93">
        <f t="shared" si="371"/>
        <v>25427.700000000001</v>
      </c>
      <c r="U165" s="93">
        <f t="shared" si="372"/>
        <v>14868.799999999999</v>
      </c>
      <c r="V165" s="92">
        <f t="shared" si="373"/>
        <v>62868.199999999997</v>
      </c>
    </row>
    <row r="166" ht="15" customHeight="1" outlineLevel="1">
      <c r="A166" t="s">
        <v>400</v>
      </c>
      <c r="B166" t="s">
        <v>401</v>
      </c>
      <c r="C166" s="34" t="s">
        <v>402</v>
      </c>
      <c r="D166" s="35" t="s">
        <v>403</v>
      </c>
      <c r="E166" s="63">
        <f>SUMIF('2024 AC'!$B$3:$B$250,"*"&amp;$D166&amp;"*",'2024 AC'!C$3:C$250)</f>
        <v>3250</v>
      </c>
      <c r="F166" s="53">
        <f>SUMIF('2024 AC'!$B$3:$B$250,"*"&amp;$D166&amp;"*",'2024 AC'!D$3:D$250)</f>
        <v>0</v>
      </c>
      <c r="G166" s="53">
        <f>SUMIF('2024 AC'!$B$3:$B$250,"*"&amp;$D166&amp;"*",'2024 AC'!E$3:E$250)</f>
        <v>0</v>
      </c>
      <c r="H166" s="53">
        <f>SUMIF('2024 AC'!$B$3:$B$250,"*"&amp;$D166&amp;"*",'2024 AC'!F$3:F$250)</f>
        <v>80.75</v>
      </c>
      <c r="I166" s="53">
        <f>SUMIF('2024 AC'!$B$3:$B$250,"*"&amp;$D166&amp;"*",'2024 AC'!G$3:G$250)</f>
        <v>293</v>
      </c>
      <c r="J166" s="53">
        <f>SUMIF('2024 AC'!$B$3:$B$250,"*"&amp;$D166&amp;"*",'2024 AC'!H$3:H$250)</f>
        <v>484</v>
      </c>
      <c r="K166" s="53">
        <f>SUMIF('2024 AC'!$B$3:$B$250,"*"&amp;$D166&amp;"*",'2024 AC'!I$3:I$250)</f>
        <v>730.25</v>
      </c>
      <c r="L166" s="53">
        <f>SUMIF('2024 AC'!$B$3:$B$250,"*"&amp;$D166&amp;"*",'2024 AC'!J$3:J$250)</f>
        <v>76.650000000000006</v>
      </c>
      <c r="M166" s="53">
        <f>SUMIF('2024 AC'!$B$3:$B$250,"*"&amp;$D166&amp;"*",'2024 AC'!K$3:K$250)</f>
        <v>571.04999999999995</v>
      </c>
      <c r="N166" s="53">
        <f>SUMIF('2024 AC'!$B$3:$B$250,"*"&amp;$D166&amp;"*",'2024 AC'!L$3:L$250)</f>
        <v>453</v>
      </c>
      <c r="O166" s="53">
        <f>SUMIF('2024 AC'!$B$3:$B$250,"*"&amp;$D166&amp;"*",'2024 AC'!M$3:M$250)</f>
        <v>733.21000000000004</v>
      </c>
      <c r="P166" s="93">
        <f>SUMIF('2024 AC'!$B$3:$B$250,"*"&amp;$D166&amp;"*",'2024 AC'!N$3:N$250)</f>
        <v>1140</v>
      </c>
      <c r="Q166" s="92">
        <f t="shared" si="368"/>
        <v>7811.9099999999999</v>
      </c>
      <c r="R166" s="93">
        <f t="shared" si="369"/>
        <v>3250</v>
      </c>
      <c r="S166" s="93">
        <f t="shared" si="370"/>
        <v>857.75</v>
      </c>
      <c r="T166" s="93">
        <f t="shared" si="371"/>
        <v>1377.9499999999998</v>
      </c>
      <c r="U166" s="93">
        <f t="shared" si="372"/>
        <v>2326.21</v>
      </c>
      <c r="V166" s="92">
        <f t="shared" si="373"/>
        <v>7811.9099999999999</v>
      </c>
    </row>
    <row r="167" ht="15" customHeight="1" outlineLevel="1">
      <c r="A167" t="s">
        <v>404</v>
      </c>
      <c r="B167" t="s">
        <v>405</v>
      </c>
      <c r="C167" s="34" t="s">
        <v>406</v>
      </c>
      <c r="D167" s="35" t="s">
        <v>407</v>
      </c>
      <c r="E167" s="63">
        <f>SUMIF('2024 AC'!$B$3:$B$250,"*"&amp;$D167&amp;"*",'2024 AC'!C$3:C$250)</f>
        <v>50634.529999999999</v>
      </c>
      <c r="F167" s="53">
        <f>SUMIF('2024 AC'!$B$3:$B$250,"*"&amp;$D167&amp;"*",'2024 AC'!D$3:D$250)</f>
        <v>0</v>
      </c>
      <c r="G167" s="53">
        <f>SUMIF('2024 AC'!$B$3:$B$250,"*"&amp;$D167&amp;"*",'2024 AC'!E$3:E$250)</f>
        <v>0</v>
      </c>
      <c r="H167" s="53">
        <f>SUMIF('2024 AC'!$B$3:$B$250,"*"&amp;$D167&amp;"*",'2024 AC'!F$3:F$250)</f>
        <v>0</v>
      </c>
      <c r="I167" s="53">
        <f>SUMIF('2024 AC'!$B$3:$B$250,"*"&amp;$D167&amp;"*",'2024 AC'!G$3:G$250)</f>
        <v>0</v>
      </c>
      <c r="J167" s="53">
        <f>SUMIF('2024 AC'!$B$3:$B$250,"*"&amp;$D167&amp;"*",'2024 AC'!H$3:H$250)</f>
        <v>0</v>
      </c>
      <c r="K167" s="53">
        <f>SUMIF('2024 AC'!$B$3:$B$250,"*"&amp;$D167&amp;"*",'2024 AC'!I$3:I$250)</f>
        <v>0</v>
      </c>
      <c r="L167" s="53">
        <f>SUMIF('2024 AC'!$B$3:$B$250,"*"&amp;$D167&amp;"*",'2024 AC'!J$3:J$250)</f>
        <v>0</v>
      </c>
      <c r="M167" s="53">
        <f>SUMIF('2024 AC'!$B$3:$B$250,"*"&amp;$D167&amp;"*",'2024 AC'!K$3:K$250)</f>
        <v>0</v>
      </c>
      <c r="N167" s="53">
        <f>SUMIF('2024 AC'!$B$3:$B$250,"*"&amp;$D167&amp;"*",'2024 AC'!L$3:L$250)</f>
        <v>0</v>
      </c>
      <c r="O167" s="53">
        <f>SUMIF('2024 AC'!$B$3:$B$250,"*"&amp;$D167&amp;"*",'2024 AC'!M$3:M$250)</f>
        <v>0</v>
      </c>
      <c r="P167" s="93">
        <f>SUMIF('2024 AC'!$B$3:$B$250,"*"&amp;$D167&amp;"*",'2024 AC'!N$3:N$250)</f>
        <v>62852.959999999999</v>
      </c>
      <c r="Q167" s="92">
        <f t="shared" si="368"/>
        <v>113487.48999999999</v>
      </c>
      <c r="R167" s="93">
        <f t="shared" si="369"/>
        <v>50634.529999999999</v>
      </c>
      <c r="S167" s="93">
        <f t="shared" si="370"/>
        <v>0</v>
      </c>
      <c r="T167" s="93">
        <f t="shared" si="371"/>
        <v>0</v>
      </c>
      <c r="U167" s="93">
        <f t="shared" si="372"/>
        <v>62852.959999999999</v>
      </c>
      <c r="V167" s="92">
        <f t="shared" si="373"/>
        <v>113487.48999999999</v>
      </c>
    </row>
    <row r="168" ht="15" customHeight="1" outlineLevel="1">
      <c r="A168" t="s">
        <v>408</v>
      </c>
      <c r="B168" t="s">
        <v>409</v>
      </c>
      <c r="C168" s="34" t="s">
        <v>410</v>
      </c>
      <c r="D168" s="35" t="s">
        <v>411</v>
      </c>
      <c r="E168" s="63">
        <f>SUMIF('2024 AC'!$B$3:$B$250,"*"&amp;$D168&amp;"*",'2024 AC'!C$3:C$250)</f>
        <v>0</v>
      </c>
      <c r="F168" s="53">
        <f>SUMIF('2024 AC'!$B$3:$B$250,"*"&amp;$D168&amp;"*",'2024 AC'!D$3:D$250)</f>
        <v>0</v>
      </c>
      <c r="G168" s="53">
        <f>SUMIF('2024 AC'!$B$3:$B$250,"*"&amp;$D168&amp;"*",'2024 AC'!E$3:E$250)</f>
        <v>0</v>
      </c>
      <c r="H168" s="53">
        <f>SUMIF('2024 AC'!$B$3:$B$250,"*"&amp;$D168&amp;"*",'2024 AC'!F$3:F$250)</f>
        <v>0</v>
      </c>
      <c r="I168" s="53">
        <f>SUMIF('2024 AC'!$B$3:$B$250,"*"&amp;$D168&amp;"*",'2024 AC'!G$3:G$250)</f>
        <v>0</v>
      </c>
      <c r="J168" s="53">
        <f>SUMIF('2024 AC'!$B$3:$B$250,"*"&amp;$D168&amp;"*",'2024 AC'!H$3:H$250)</f>
        <v>0</v>
      </c>
      <c r="K168" s="53">
        <f>SUMIF('2024 AC'!$B$3:$B$250,"*"&amp;$D168&amp;"*",'2024 AC'!I$3:I$250)</f>
        <v>0</v>
      </c>
      <c r="L168" s="53">
        <f>SUMIF('2024 AC'!$B$3:$B$250,"*"&amp;$D168&amp;"*",'2024 AC'!J$3:J$250)</f>
        <v>0</v>
      </c>
      <c r="M168" s="53">
        <f>SUMIF('2024 AC'!$B$3:$B$250,"*"&amp;$D168&amp;"*",'2024 AC'!K$3:K$250)</f>
        <v>0</v>
      </c>
      <c r="N168" s="53">
        <f>SUMIF('2024 AC'!$B$3:$B$250,"*"&amp;$D168&amp;"*",'2024 AC'!L$3:L$250)</f>
        <v>0</v>
      </c>
      <c r="O168" s="53">
        <f>SUMIF('2024 AC'!$B$3:$B$250,"*"&amp;$D168&amp;"*",'2024 AC'!M$3:M$250)</f>
        <v>0</v>
      </c>
      <c r="P168" s="93">
        <f>SUMIF('2024 AC'!$B$3:$B$250,"*"&amp;$D168&amp;"*",'2024 AC'!N$3:N$250)</f>
        <v>0</v>
      </c>
      <c r="Q168" s="92">
        <f t="shared" si="368"/>
        <v>0</v>
      </c>
      <c r="R168" s="93">
        <f t="shared" si="369"/>
        <v>0</v>
      </c>
      <c r="S168" s="93">
        <f t="shared" si="370"/>
        <v>0</v>
      </c>
      <c r="T168" s="93">
        <f t="shared" si="371"/>
        <v>0</v>
      </c>
      <c r="U168" s="93">
        <f t="shared" si="372"/>
        <v>0</v>
      </c>
      <c r="V168" s="92">
        <f t="shared" si="373"/>
        <v>0</v>
      </c>
    </row>
    <row r="169" ht="15" customHeight="1" outlineLevel="1">
      <c r="A169" t="s">
        <v>412</v>
      </c>
      <c r="B169" t="s">
        <v>413</v>
      </c>
      <c r="C169" s="34" t="s">
        <v>414</v>
      </c>
      <c r="D169" s="35" t="s">
        <v>358</v>
      </c>
      <c r="E169" s="63">
        <f>SUMIF('2024 AC'!$B$3:$B$250,"*"&amp;$D169&amp;"*",'2024 AC'!C$3:C$250)</f>
        <v>0</v>
      </c>
      <c r="F169" s="53">
        <f>SUMIF('2024 AC'!$B$3:$B$250,"*"&amp;$D169&amp;"*",'2024 AC'!D$3:D$250)</f>
        <v>0</v>
      </c>
      <c r="G169" s="53">
        <f>SUMIF('2024 AC'!$B$3:$B$250,"*"&amp;$D169&amp;"*",'2024 AC'!E$3:E$250)</f>
        <v>0</v>
      </c>
      <c r="H169" s="53">
        <f>SUMIF('2024 AC'!$B$3:$B$250,"*"&amp;$D169&amp;"*",'2024 AC'!F$3:F$250)</f>
        <v>0</v>
      </c>
      <c r="I169" s="53">
        <f>SUMIF('2024 AC'!$B$3:$B$250,"*"&amp;$D169&amp;"*",'2024 AC'!G$3:G$250)</f>
        <v>0</v>
      </c>
      <c r="J169" s="53">
        <f>SUMIF('2024 AC'!$B$3:$B$250,"*"&amp;$D169&amp;"*",'2024 AC'!H$3:H$250)</f>
        <v>0</v>
      </c>
      <c r="K169" s="53">
        <f>SUMIF('2024 AC'!$B$3:$B$250,"*"&amp;$D169&amp;"*",'2024 AC'!I$3:I$250)</f>
        <v>0</v>
      </c>
      <c r="L169" s="53">
        <f>SUMIF('2024 AC'!$B$3:$B$250,"*"&amp;$D169&amp;"*",'2024 AC'!J$3:J$250)</f>
        <v>0</v>
      </c>
      <c r="M169" s="53">
        <f>SUMIF('2024 AC'!$B$3:$B$250,"*"&amp;$D169&amp;"*",'2024 AC'!K$3:K$250)</f>
        <v>0</v>
      </c>
      <c r="N169" s="53">
        <f>SUMIF('2024 AC'!$B$3:$B$250,"*"&amp;$D169&amp;"*",'2024 AC'!L$3:L$250)</f>
        <v>0</v>
      </c>
      <c r="O169" s="53">
        <f>SUMIF('2024 AC'!$B$3:$B$250,"*"&amp;$D169&amp;"*",'2024 AC'!M$3:M$250)</f>
        <v>0</v>
      </c>
      <c r="P169" s="93">
        <f>SUMIF('2024 AC'!$B$3:$B$250,"*"&amp;$D169&amp;"*",'2024 AC'!N$3:N$250)</f>
        <v>0</v>
      </c>
      <c r="Q169" s="92">
        <f t="shared" si="368"/>
        <v>0</v>
      </c>
      <c r="R169" s="93">
        <f t="shared" si="369"/>
        <v>0</v>
      </c>
      <c r="S169" s="93">
        <f t="shared" si="370"/>
        <v>0</v>
      </c>
      <c r="T169" s="93">
        <f t="shared" si="371"/>
        <v>0</v>
      </c>
      <c r="U169" s="93">
        <f t="shared" si="372"/>
        <v>0</v>
      </c>
      <c r="V169" s="92">
        <f t="shared" si="373"/>
        <v>0</v>
      </c>
    </row>
    <row r="170" outlineLevel="1">
      <c r="A170" t="s">
        <v>415</v>
      </c>
      <c r="B170" t="s">
        <v>416</v>
      </c>
      <c r="C170" s="34" t="s">
        <v>417</v>
      </c>
      <c r="D170" s="35" t="s">
        <v>362</v>
      </c>
      <c r="E170" s="63">
        <f>SUMIF('2024 AC'!$B$3:$B$250,"*"&amp;$D170&amp;"*",'2024 AC'!C$3:C$250)</f>
        <v>0</v>
      </c>
      <c r="F170" s="53">
        <f>SUMIF('2024 AC'!$B$3:$B$250,"*"&amp;$D170&amp;"*",'2024 AC'!D$3:D$250)</f>
        <v>0</v>
      </c>
      <c r="G170" s="53">
        <f>SUMIF('2024 AC'!$B$3:$B$250,"*"&amp;$D170&amp;"*",'2024 AC'!E$3:E$250)</f>
        <v>0</v>
      </c>
      <c r="H170" s="53">
        <f>SUMIF('2024 AC'!$B$3:$B$250,"*"&amp;$D170&amp;"*",'2024 AC'!F$3:F$250)</f>
        <v>0</v>
      </c>
      <c r="I170" s="53">
        <f>SUMIF('2024 AC'!$B$3:$B$250,"*"&amp;$D170&amp;"*",'2024 AC'!G$3:G$250)</f>
        <v>0</v>
      </c>
      <c r="J170" s="53">
        <f>SUMIF('2024 AC'!$B$3:$B$250,"*"&amp;$D170&amp;"*",'2024 AC'!H$3:H$250)</f>
        <v>0</v>
      </c>
      <c r="K170" s="53">
        <f>SUMIF('2024 AC'!$B$3:$B$250,"*"&amp;$D170&amp;"*",'2024 AC'!I$3:I$250)</f>
        <v>0</v>
      </c>
      <c r="L170" s="53">
        <f>SUMIF('2024 AC'!$B$3:$B$250,"*"&amp;$D170&amp;"*",'2024 AC'!J$3:J$250)</f>
        <v>0</v>
      </c>
      <c r="M170" s="53">
        <f>SUMIF('2024 AC'!$B$3:$B$250,"*"&amp;$D170&amp;"*",'2024 AC'!K$3:K$250)</f>
        <v>0</v>
      </c>
      <c r="N170" s="53">
        <f>SUMIF('2024 AC'!$B$3:$B$250,"*"&amp;$D170&amp;"*",'2024 AC'!L$3:L$250)</f>
        <v>0</v>
      </c>
      <c r="O170" s="53">
        <f>SUMIF('2024 AC'!$B$3:$B$250,"*"&amp;$D170&amp;"*",'2024 AC'!M$3:M$250)</f>
        <v>0</v>
      </c>
      <c r="P170" s="93">
        <f>SUMIF('2024 AC'!$B$3:$B$250,"*"&amp;$D170&amp;"*",'2024 AC'!N$3:N$250)</f>
        <v>0</v>
      </c>
      <c r="Q170" s="92">
        <f t="shared" si="368"/>
        <v>0</v>
      </c>
      <c r="R170" s="93">
        <f t="shared" si="369"/>
        <v>0</v>
      </c>
      <c r="S170" s="93">
        <f t="shared" si="370"/>
        <v>0</v>
      </c>
      <c r="T170" s="93">
        <f t="shared" si="371"/>
        <v>0</v>
      </c>
      <c r="U170" s="93">
        <f t="shared" si="372"/>
        <v>0</v>
      </c>
      <c r="V170" s="92">
        <f t="shared" si="373"/>
        <v>0</v>
      </c>
    </row>
    <row r="171" outlineLevel="1">
      <c r="A171" t="s">
        <v>418</v>
      </c>
      <c r="B171" t="s">
        <v>419</v>
      </c>
      <c r="C171" s="34" t="s">
        <v>420</v>
      </c>
      <c r="D171" s="35" t="s">
        <v>366</v>
      </c>
      <c r="E171" s="63">
        <f>SUMIF('2024 AC'!$B$3:$B$250,"*"&amp;$D171&amp;"*",'2024 AC'!C$3:C$250)</f>
        <v>600</v>
      </c>
      <c r="F171" s="53">
        <f>SUMIF('2024 AC'!$B$3:$B$250,"*"&amp;$D171&amp;"*",'2024 AC'!D$3:D$250)</f>
        <v>0</v>
      </c>
      <c r="G171" s="53">
        <f>SUMIF('2024 AC'!$B$3:$B$250,"*"&amp;$D171&amp;"*",'2024 AC'!E$3:E$250)</f>
        <v>0</v>
      </c>
      <c r="H171" s="53">
        <f>SUMIF('2024 AC'!$B$3:$B$250,"*"&amp;$D171&amp;"*",'2024 AC'!F$3:F$250)</f>
        <v>0</v>
      </c>
      <c r="I171" s="53">
        <f>SUMIF('2024 AC'!$B$3:$B$250,"*"&amp;$D171&amp;"*",'2024 AC'!G$3:G$250)</f>
        <v>2984</v>
      </c>
      <c r="J171" s="53">
        <f>SUMIF('2024 AC'!$B$3:$B$250,"*"&amp;$D171&amp;"*",'2024 AC'!H$3:H$250)</f>
        <v>136</v>
      </c>
      <c r="K171" s="53">
        <f>SUMIF('2024 AC'!$B$3:$B$250,"*"&amp;$D171&amp;"*",'2024 AC'!I$3:I$250)</f>
        <v>0</v>
      </c>
      <c r="L171" s="53">
        <f>SUMIF('2024 AC'!$B$3:$B$250,"*"&amp;$D171&amp;"*",'2024 AC'!J$3:J$250)</f>
        <v>0</v>
      </c>
      <c r="M171" s="53">
        <f>SUMIF('2024 AC'!$B$3:$B$250,"*"&amp;$D171&amp;"*",'2024 AC'!K$3:K$250)</f>
        <v>0</v>
      </c>
      <c r="N171" s="53">
        <f>SUMIF('2024 AC'!$B$3:$B$250,"*"&amp;$D171&amp;"*",'2024 AC'!L$3:L$250)</f>
        <v>0</v>
      </c>
      <c r="O171" s="53">
        <f>SUMIF('2024 AC'!$B$3:$B$250,"*"&amp;$D171&amp;"*",'2024 AC'!M$3:M$250)</f>
        <v>0</v>
      </c>
      <c r="P171" s="93">
        <f>SUMIF('2024 AC'!$B$3:$B$250,"*"&amp;$D171&amp;"*",'2024 AC'!N$3:N$250)</f>
        <v>0</v>
      </c>
      <c r="Q171" s="92">
        <f t="shared" si="368"/>
        <v>3720</v>
      </c>
      <c r="R171" s="93">
        <f t="shared" si="369"/>
        <v>600</v>
      </c>
      <c r="S171" s="93">
        <f t="shared" si="370"/>
        <v>3120</v>
      </c>
      <c r="T171" s="93">
        <f t="shared" si="371"/>
        <v>0</v>
      </c>
      <c r="U171" s="93">
        <f t="shared" si="372"/>
        <v>0</v>
      </c>
      <c r="V171" s="92">
        <f t="shared" si="373"/>
        <v>3720</v>
      </c>
    </row>
    <row r="172" outlineLevel="1">
      <c r="A172" t="s">
        <v>421</v>
      </c>
      <c r="B172" t="s">
        <v>422</v>
      </c>
      <c r="C172" s="34" t="s">
        <v>423</v>
      </c>
      <c r="D172" s="35" t="s">
        <v>370</v>
      </c>
      <c r="E172" s="63">
        <f>SUMIF('2024 AC'!$B$3:$B$250,"*"&amp;$D172&amp;"*",'2024 AC'!C$3:C$250)</f>
        <v>3057.1100000000001</v>
      </c>
      <c r="F172" s="53">
        <f>SUMIF('2024 AC'!$B$3:$B$250,"*"&amp;$D172&amp;"*",'2024 AC'!D$3:D$250)</f>
        <v>1128.9300000000001</v>
      </c>
      <c r="G172" s="53">
        <f>SUMIF('2024 AC'!$B$3:$B$250,"*"&amp;$D172&amp;"*",'2024 AC'!E$3:E$250)</f>
        <v>1472.8</v>
      </c>
      <c r="H172" s="53">
        <f>SUMIF('2024 AC'!$B$3:$B$250,"*"&amp;$D172&amp;"*",'2024 AC'!F$3:F$250)</f>
        <v>2000.6099999999999</v>
      </c>
      <c r="I172" s="53">
        <f>SUMIF('2024 AC'!$B$3:$B$250,"*"&amp;$D172&amp;"*",'2024 AC'!G$3:G$250)</f>
        <v>3122.8600000000001</v>
      </c>
      <c r="J172" s="53">
        <f>SUMIF('2024 AC'!$B$3:$B$250,"*"&amp;$D172&amp;"*",'2024 AC'!H$3:H$250)</f>
        <v>5459.6400000000003</v>
      </c>
      <c r="K172" s="53">
        <f>SUMIF('2024 AC'!$B$3:$B$250,"*"&amp;$D172&amp;"*",'2024 AC'!I$3:I$250)</f>
        <v>4158.9300000000003</v>
      </c>
      <c r="L172" s="53">
        <f>SUMIF('2024 AC'!$B$3:$B$250,"*"&amp;$D172&amp;"*",'2024 AC'!J$3:J$250)</f>
        <v>2416.3499999999999</v>
      </c>
      <c r="M172" s="53">
        <f>SUMIF('2024 AC'!$B$3:$B$250,"*"&amp;$D172&amp;"*",'2024 AC'!K$3:K$250)</f>
        <v>2360.9499999999998</v>
      </c>
      <c r="N172" s="53">
        <f>SUMIF('2024 AC'!$B$3:$B$250,"*"&amp;$D172&amp;"*",'2024 AC'!L$3:L$250)</f>
        <v>1999.3399999999999</v>
      </c>
      <c r="O172" s="53">
        <f>SUMIF('2024 AC'!$B$3:$B$250,"*"&amp;$D172&amp;"*",'2024 AC'!M$3:M$250)</f>
        <v>6489.7399999999998</v>
      </c>
      <c r="P172" s="93">
        <f>SUMIF('2024 AC'!$B$3:$B$250,"*"&amp;$D172&amp;"*",'2024 AC'!N$3:N$250)</f>
        <v>2062.5300000000002</v>
      </c>
      <c r="Q172" s="92">
        <f t="shared" si="368"/>
        <v>35729.790000000001</v>
      </c>
      <c r="R172" s="93">
        <f t="shared" si="369"/>
        <v>5658.8400000000001</v>
      </c>
      <c r="S172" s="93">
        <f t="shared" si="370"/>
        <v>10583.110000000001</v>
      </c>
      <c r="T172" s="93">
        <f t="shared" si="371"/>
        <v>8936.2299999999996</v>
      </c>
      <c r="U172" s="93">
        <f t="shared" si="372"/>
        <v>10551.610000000001</v>
      </c>
      <c r="V172" s="92">
        <f t="shared" si="373"/>
        <v>35729.790000000001</v>
      </c>
    </row>
    <row r="173" outlineLevel="1">
      <c r="A173" t="s">
        <v>424</v>
      </c>
      <c r="B173" t="s">
        <v>425</v>
      </c>
      <c r="C173" s="34" t="s">
        <v>426</v>
      </c>
      <c r="D173" s="35" t="s">
        <v>381</v>
      </c>
      <c r="E173" s="63">
        <f>SUMIF('2024 AC'!$B$3:$B$250,"*"&amp;$D173&amp;"*",'2024 AC'!C$3:C$250)</f>
        <v>2600</v>
      </c>
      <c r="F173" s="53">
        <f>SUMIF('2024 AC'!$B$3:$B$250,"*"&amp;$D173&amp;"*",'2024 AC'!D$3:D$250)</f>
        <v>2600</v>
      </c>
      <c r="G173" s="53">
        <f>SUMIF('2024 AC'!$B$3:$B$250,"*"&amp;$D173&amp;"*",'2024 AC'!E$3:E$250)</f>
        <v>0</v>
      </c>
      <c r="H173" s="53">
        <f>SUMIF('2024 AC'!$B$3:$B$250,"*"&amp;$D173&amp;"*",'2024 AC'!F$3:F$250)</f>
        <v>2808</v>
      </c>
      <c r="I173" s="53">
        <f>SUMIF('2024 AC'!$B$3:$B$250,"*"&amp;$D173&amp;"*",'2024 AC'!G$3:G$250)</f>
        <v>10008</v>
      </c>
      <c r="J173" s="53">
        <f>SUMIF('2024 AC'!$B$3:$B$250,"*"&amp;$D173&amp;"*",'2024 AC'!H$3:H$250)</f>
        <v>2808</v>
      </c>
      <c r="K173" s="53">
        <f>SUMIF('2024 AC'!$B$3:$B$250,"*"&amp;$D173&amp;"*",'2024 AC'!I$3:I$250)</f>
        <v>2808</v>
      </c>
      <c r="L173" s="53">
        <f>SUMIF('2024 AC'!$B$3:$B$250,"*"&amp;$D173&amp;"*",'2024 AC'!J$3:J$250)</f>
        <v>2808</v>
      </c>
      <c r="M173" s="53">
        <f>SUMIF('2024 AC'!$B$3:$B$250,"*"&amp;$D173&amp;"*",'2024 AC'!K$3:K$250)</f>
        <v>2808</v>
      </c>
      <c r="N173" s="53">
        <f>SUMIF('2024 AC'!$B$3:$B$250,"*"&amp;$D173&amp;"*",'2024 AC'!L$3:L$250)</f>
        <v>3067.1999999999998</v>
      </c>
      <c r="O173" s="53">
        <f>SUMIF('2024 AC'!$B$3:$B$250,"*"&amp;$D173&amp;"*",'2024 AC'!M$3:M$250)</f>
        <v>1620</v>
      </c>
      <c r="P173" s="93">
        <f>SUMIF('2024 AC'!$B$3:$B$250,"*"&amp;$D173&amp;"*",'2024 AC'!N$3:N$250)</f>
        <v>3067.1999999999998</v>
      </c>
      <c r="Q173" s="92">
        <f t="shared" si="368"/>
        <v>37002.399999999994</v>
      </c>
      <c r="R173" s="93">
        <f t="shared" si="369"/>
        <v>5200</v>
      </c>
      <c r="S173" s="93">
        <f t="shared" si="370"/>
        <v>15624</v>
      </c>
      <c r="T173" s="93">
        <f t="shared" si="371"/>
        <v>8424</v>
      </c>
      <c r="U173" s="93">
        <f t="shared" si="372"/>
        <v>7754.3999999999996</v>
      </c>
      <c r="V173" s="92">
        <f t="shared" si="373"/>
        <v>37002.400000000001</v>
      </c>
    </row>
    <row r="174" outlineLevel="1">
      <c r="A174" t="s">
        <v>427</v>
      </c>
      <c r="B174" t="s">
        <v>428</v>
      </c>
      <c r="C174" s="34" t="s">
        <v>429</v>
      </c>
      <c r="D174" s="35" t="s">
        <v>389</v>
      </c>
      <c r="E174" s="63">
        <f>SUMIF('2024 AC'!$B$3:$B$250,"*"&amp;$D174&amp;"*",'2024 AC'!C$3:C$250)</f>
        <v>0</v>
      </c>
      <c r="F174" s="53">
        <f>SUMIF('2024 AC'!$B$3:$B$250,"*"&amp;$D174&amp;"*",'2024 AC'!D$3:D$250)</f>
        <v>1891.8</v>
      </c>
      <c r="G174" s="53">
        <f>SUMIF('2024 AC'!$B$3:$B$250,"*"&amp;$D174&amp;"*",'2024 AC'!E$3:E$250)</f>
        <v>37.899999999999999</v>
      </c>
      <c r="H174" s="53">
        <f>SUMIF('2024 AC'!$B$3:$B$250,"*"&amp;$D174&amp;"*",'2024 AC'!F$3:F$250)</f>
        <v>199</v>
      </c>
      <c r="I174" s="53">
        <f>SUMIF('2024 AC'!$B$3:$B$250,"*"&amp;$D174&amp;"*",'2024 AC'!G$3:G$250)</f>
        <v>0</v>
      </c>
      <c r="J174" s="53">
        <f>SUMIF('2024 AC'!$B$3:$B$250,"*"&amp;$D174&amp;"*",'2024 AC'!H$3:H$250)</f>
        <v>946.79999999999995</v>
      </c>
      <c r="K174" s="53">
        <f>SUMIF('2024 AC'!$B$3:$B$250,"*"&amp;$D174&amp;"*",'2024 AC'!I$3:I$250)</f>
        <v>110</v>
      </c>
      <c r="L174" s="53">
        <f>SUMIF('2024 AC'!$B$3:$B$250,"*"&amp;$D174&amp;"*",'2024 AC'!J$3:J$250)</f>
        <v>0</v>
      </c>
      <c r="M174" s="53">
        <f>SUMIF('2024 AC'!$B$3:$B$250,"*"&amp;$D174&amp;"*",'2024 AC'!K$3:K$250)</f>
        <v>949.32000000000005</v>
      </c>
      <c r="N174" s="53">
        <f>SUMIF('2024 AC'!$B$3:$B$250,"*"&amp;$D174&amp;"*",'2024 AC'!L$3:L$250)</f>
        <v>0</v>
      </c>
      <c r="O174" s="53">
        <f>SUMIF('2024 AC'!$B$3:$B$250,"*"&amp;$D174&amp;"*",'2024 AC'!M$3:M$250)</f>
        <v>0</v>
      </c>
      <c r="P174" s="93">
        <f>SUMIF('2024 AC'!$B$3:$B$250,"*"&amp;$D174&amp;"*",'2024 AC'!N$3:N$250)</f>
        <v>0</v>
      </c>
      <c r="Q174" s="92">
        <f t="shared" si="368"/>
        <v>4134.8199999999997</v>
      </c>
      <c r="R174" s="93">
        <f t="shared" si="369"/>
        <v>1929.7</v>
      </c>
      <c r="S174" s="93">
        <f t="shared" si="370"/>
        <v>1145.8</v>
      </c>
      <c r="T174" s="93">
        <f t="shared" si="371"/>
        <v>1059.3200000000002</v>
      </c>
      <c r="U174" s="93">
        <f t="shared" si="372"/>
        <v>0</v>
      </c>
      <c r="V174" s="92">
        <f t="shared" si="373"/>
        <v>4134.8199999999997</v>
      </c>
    </row>
    <row r="175" ht="15" customHeight="1" outlineLevel="1">
      <c r="A175" t="s">
        <v>430</v>
      </c>
      <c r="B175" t="s">
        <v>431</v>
      </c>
      <c r="C175" s="34" t="s">
        <v>432</v>
      </c>
      <c r="D175" s="35" t="s">
        <v>393</v>
      </c>
      <c r="E175" s="63">
        <f>SUMIF('2024 AC'!$B$3:$B$250,"*"&amp;$D175&amp;"*",'2024 AC'!C$3:C$250)</f>
        <v>8776</v>
      </c>
      <c r="F175" s="53">
        <f>SUMIF('2024 AC'!$B$3:$B$250,"*"&amp;$D175&amp;"*",'2024 AC'!D$3:D$250)</f>
        <v>5470</v>
      </c>
      <c r="G175" s="53">
        <f>SUMIF('2024 AC'!$B$3:$B$250,"*"&amp;$D175&amp;"*",'2024 AC'!E$3:E$250)</f>
        <v>5560</v>
      </c>
      <c r="H175" s="53">
        <f>SUMIF('2024 AC'!$B$3:$B$250,"*"&amp;$D175&amp;"*",'2024 AC'!F$3:F$250)</f>
        <v>5200</v>
      </c>
      <c r="I175" s="53">
        <f>SUMIF('2024 AC'!$B$3:$B$250,"*"&amp;$D175&amp;"*",'2024 AC'!G$3:G$250)</f>
        <v>5200</v>
      </c>
      <c r="J175" s="53">
        <f>SUMIF('2024 AC'!$B$3:$B$250,"*"&amp;$D175&amp;"*",'2024 AC'!H$3:H$250)</f>
        <v>5200</v>
      </c>
      <c r="K175" s="53">
        <f>SUMIF('2024 AC'!$B$3:$B$250,"*"&amp;$D175&amp;"*",'2024 AC'!I$3:I$250)</f>
        <v>5616</v>
      </c>
      <c r="L175" s="53">
        <f>SUMIF('2024 AC'!$B$3:$B$250,"*"&amp;$D175&amp;"*",'2024 AC'!J$3:J$250)</f>
        <v>5616</v>
      </c>
      <c r="M175" s="53">
        <f>SUMIF('2024 AC'!$B$3:$B$250,"*"&amp;$D175&amp;"*",'2024 AC'!K$3:K$250)</f>
        <v>5616</v>
      </c>
      <c r="N175" s="53">
        <f>SUMIF('2024 AC'!$B$3:$B$250,"*"&amp;$D175&amp;"*",'2024 AC'!L$3:L$250)</f>
        <v>5616</v>
      </c>
      <c r="O175" s="53">
        <f>SUMIF('2024 AC'!$B$3:$B$250,"*"&amp;$D175&amp;"*",'2024 AC'!M$3:M$250)</f>
        <v>4860</v>
      </c>
      <c r="P175" s="93">
        <f>SUMIF('2024 AC'!$B$3:$B$250,"*"&amp;$D175&amp;"*",'2024 AC'!N$3:N$250)</f>
        <v>6912</v>
      </c>
      <c r="Q175" s="92">
        <f t="shared" si="368"/>
        <v>69642</v>
      </c>
      <c r="R175" s="93">
        <f t="shared" si="369"/>
        <v>19806</v>
      </c>
      <c r="S175" s="93">
        <f t="shared" si="370"/>
        <v>15600</v>
      </c>
      <c r="T175" s="93">
        <f t="shared" si="371"/>
        <v>16848</v>
      </c>
      <c r="U175" s="93">
        <f t="shared" si="372"/>
        <v>17388</v>
      </c>
      <c r="V175" s="92">
        <f t="shared" si="373"/>
        <v>69642</v>
      </c>
    </row>
    <row r="176" ht="15" customHeight="1" outlineLevel="1">
      <c r="A176" t="s">
        <v>433</v>
      </c>
      <c r="B176" t="s">
        <v>434</v>
      </c>
      <c r="C176" s="34" t="s">
        <v>435</v>
      </c>
      <c r="D176" s="35" t="s">
        <v>397</v>
      </c>
      <c r="E176" s="63">
        <f>SUMIF('2024 AC'!$B$3:$B$250,"*"&amp;$D176&amp;"*",'2024 AC'!C$3:C$250)</f>
        <v>0</v>
      </c>
      <c r="F176" s="53">
        <f>SUMIF('2024 AC'!$B$3:$B$250,"*"&amp;$D176&amp;"*",'2024 AC'!D$3:D$250)</f>
        <v>0</v>
      </c>
      <c r="G176" s="53">
        <f>SUMIF('2024 AC'!$B$3:$B$250,"*"&amp;$D176&amp;"*",'2024 AC'!E$3:E$250)</f>
        <v>0</v>
      </c>
      <c r="H176" s="53">
        <f>SUMIF('2024 AC'!$B$3:$B$250,"*"&amp;$D176&amp;"*",'2024 AC'!F$3:F$250)</f>
        <v>0</v>
      </c>
      <c r="I176" s="53">
        <f>SUMIF('2024 AC'!$B$3:$B$250,"*"&amp;$D176&amp;"*",'2024 AC'!G$3:G$250)</f>
        <v>0</v>
      </c>
      <c r="J176" s="53">
        <f>SUMIF('2024 AC'!$B$3:$B$250,"*"&amp;$D176&amp;"*",'2024 AC'!H$3:H$250)</f>
        <v>0</v>
      </c>
      <c r="K176" s="53">
        <f>SUMIF('2024 AC'!$B$3:$B$250,"*"&amp;$D176&amp;"*",'2024 AC'!I$3:I$250)</f>
        <v>0</v>
      </c>
      <c r="L176" s="53">
        <f>SUMIF('2024 AC'!$B$3:$B$250,"*"&amp;$D176&amp;"*",'2024 AC'!J$3:J$250)</f>
        <v>0</v>
      </c>
      <c r="M176" s="53">
        <f>SUMIF('2024 AC'!$B$3:$B$250,"*"&amp;$D176&amp;"*",'2024 AC'!K$3:K$250)</f>
        <v>0</v>
      </c>
      <c r="N176" s="53">
        <f>SUMIF('2024 AC'!$B$3:$B$250,"*"&amp;$D176&amp;"*",'2024 AC'!L$3:L$250)</f>
        <v>0</v>
      </c>
      <c r="O176" s="53">
        <f>SUMIF('2024 AC'!$B$3:$B$250,"*"&amp;$D176&amp;"*",'2024 AC'!M$3:M$250)</f>
        <v>0</v>
      </c>
      <c r="P176" s="93">
        <f>SUMIF('2024 AC'!$B$3:$B$250,"*"&amp;$D176&amp;"*",'2024 AC'!N$3:N$250)</f>
        <v>0</v>
      </c>
      <c r="Q176" s="92">
        <f t="shared" si="368"/>
        <v>0</v>
      </c>
      <c r="R176" s="93">
        <f t="shared" si="369"/>
        <v>0</v>
      </c>
      <c r="S176" s="93">
        <f t="shared" si="370"/>
        <v>0</v>
      </c>
      <c r="T176" s="93">
        <f t="shared" si="371"/>
        <v>0</v>
      </c>
      <c r="U176" s="93">
        <f t="shared" si="372"/>
        <v>0</v>
      </c>
      <c r="V176" s="92">
        <f t="shared" si="373"/>
        <v>0</v>
      </c>
    </row>
    <row r="177" outlineLevel="1">
      <c r="A177" t="s">
        <v>436</v>
      </c>
      <c r="B177" t="s">
        <v>437</v>
      </c>
      <c r="C177" s="34" t="s">
        <v>438</v>
      </c>
      <c r="D177" s="35" t="s">
        <v>401</v>
      </c>
      <c r="E177" s="63">
        <f>SUMIF('2024 AC'!$B$3:$B$250,"*"&amp;$D177&amp;"*",'2024 AC'!C$3:C$250)</f>
        <v>0</v>
      </c>
      <c r="F177" s="53">
        <f>SUMIF('2024 AC'!$B$3:$B$250,"*"&amp;$D177&amp;"*",'2024 AC'!D$3:D$250)</f>
        <v>0</v>
      </c>
      <c r="G177" s="53">
        <f>SUMIF('2024 AC'!$B$3:$B$250,"*"&amp;$D177&amp;"*",'2024 AC'!E$3:E$250)</f>
        <v>18723.150000000001</v>
      </c>
      <c r="H177" s="53">
        <f>SUMIF('2024 AC'!$B$3:$B$250,"*"&amp;$D177&amp;"*",'2024 AC'!F$3:F$250)</f>
        <v>706.98000000000002</v>
      </c>
      <c r="I177" s="53">
        <f>SUMIF('2024 AC'!$B$3:$B$250,"*"&amp;$D177&amp;"*",'2024 AC'!G$3:G$250)</f>
        <v>0</v>
      </c>
      <c r="J177" s="53">
        <f>SUMIF('2024 AC'!$B$3:$B$250,"*"&amp;$D177&amp;"*",'2024 AC'!H$3:H$250)</f>
        <v>0</v>
      </c>
      <c r="K177" s="53">
        <f>SUMIF('2024 AC'!$B$3:$B$250,"*"&amp;$D177&amp;"*",'2024 AC'!I$3:I$250)</f>
        <v>6860.3199999999997</v>
      </c>
      <c r="L177" s="53">
        <f>SUMIF('2024 AC'!$B$3:$B$250,"*"&amp;$D177&amp;"*",'2024 AC'!J$3:J$250)</f>
        <v>17547.439999999999</v>
      </c>
      <c r="M177" s="53">
        <f>SUMIF('2024 AC'!$B$3:$B$250,"*"&amp;$D177&amp;"*",'2024 AC'!K$3:K$250)</f>
        <v>14050.200000000001</v>
      </c>
      <c r="N177" s="53">
        <f>SUMIF('2024 AC'!$B$3:$B$250,"*"&amp;$D177&amp;"*",'2024 AC'!L$3:L$250)</f>
        <v>14242.200000000001</v>
      </c>
      <c r="O177" s="53">
        <f>SUMIF('2024 AC'!$B$3:$B$250,"*"&amp;$D177&amp;"*",'2024 AC'!M$3:M$250)</f>
        <v>17142.900000000001</v>
      </c>
      <c r="P177" s="93">
        <f>SUMIF('2024 AC'!$B$3:$B$250,"*"&amp;$D177&amp;"*",'2024 AC'!N$3:N$250)</f>
        <v>11823.040000000001</v>
      </c>
      <c r="Q177" s="92">
        <f t="shared" si="368"/>
        <v>101096.23000000001</v>
      </c>
      <c r="R177" s="93">
        <f t="shared" si="369"/>
        <v>18723.150000000001</v>
      </c>
      <c r="S177" s="93">
        <f t="shared" si="370"/>
        <v>706.98000000000002</v>
      </c>
      <c r="T177" s="93">
        <f t="shared" si="371"/>
        <v>38457.959999999999</v>
      </c>
      <c r="U177" s="93">
        <f t="shared" si="372"/>
        <v>43208.139999999999</v>
      </c>
      <c r="V177" s="92">
        <f t="shared" si="373"/>
        <v>101096.23</v>
      </c>
    </row>
    <row r="178" ht="15" customHeight="1" outlineLevel="1">
      <c r="A178" t="s">
        <v>439</v>
      </c>
      <c r="B178" t="s">
        <v>440</v>
      </c>
      <c r="C178" s="34" t="s">
        <v>441</v>
      </c>
      <c r="D178" s="35" t="s">
        <v>442</v>
      </c>
      <c r="E178" s="63">
        <f>SUMIF('2024 AC'!$B$3:$B$250,"*"&amp;$D178&amp;"*",'2024 AC'!C$3:C$250)</f>
        <v>0</v>
      </c>
      <c r="F178" s="53">
        <f>SUMIF('2024 AC'!$B$3:$B$250,"*"&amp;$D178&amp;"*",'2024 AC'!D$3:D$250)</f>
        <v>0</v>
      </c>
      <c r="G178" s="53">
        <f>SUMIF('2024 AC'!$B$3:$B$250,"*"&amp;$D178&amp;"*",'2024 AC'!E$3:E$250)</f>
        <v>0</v>
      </c>
      <c r="H178" s="53">
        <f>SUMIF('2024 AC'!$B$3:$B$250,"*"&amp;$D178&amp;"*",'2024 AC'!F$3:F$250)</f>
        <v>0</v>
      </c>
      <c r="I178" s="53">
        <f>SUMIF('2024 AC'!$B$3:$B$250,"*"&amp;$D178&amp;"*",'2024 AC'!G$3:G$250)</f>
        <v>0</v>
      </c>
      <c r="J178" s="53">
        <f>SUMIF('2024 AC'!$B$3:$B$250,"*"&amp;$D178&amp;"*",'2024 AC'!H$3:H$250)</f>
        <v>0</v>
      </c>
      <c r="K178" s="53">
        <f>SUMIF('2024 AC'!$B$3:$B$250,"*"&amp;$D178&amp;"*",'2024 AC'!I$3:I$250)</f>
        <v>0</v>
      </c>
      <c r="L178" s="53">
        <f>SUMIF('2024 AC'!$B$3:$B$250,"*"&amp;$D178&amp;"*",'2024 AC'!J$3:J$250)</f>
        <v>4870</v>
      </c>
      <c r="M178" s="53">
        <f>SUMIF('2024 AC'!$B$3:$B$250,"*"&amp;$D178&amp;"*",'2024 AC'!K$3:K$250)</f>
        <v>0</v>
      </c>
      <c r="N178" s="53">
        <f>SUMIF('2024 AC'!$B$3:$B$250,"*"&amp;$D178&amp;"*",'2024 AC'!L$3:L$250)</f>
        <v>2650</v>
      </c>
      <c r="O178" s="53">
        <f>SUMIF('2024 AC'!$B$3:$B$250,"*"&amp;$D178&amp;"*",'2024 AC'!M$3:M$250)</f>
        <v>0</v>
      </c>
      <c r="P178" s="93">
        <f>SUMIF('2024 AC'!$B$3:$B$250,"*"&amp;$D178&amp;"*",'2024 AC'!N$3:N$250)</f>
        <v>0</v>
      </c>
      <c r="Q178" s="92">
        <f t="shared" si="368"/>
        <v>7520</v>
      </c>
      <c r="R178" s="93">
        <f t="shared" si="369"/>
        <v>0</v>
      </c>
      <c r="S178" s="93">
        <f t="shared" si="370"/>
        <v>0</v>
      </c>
      <c r="T178" s="93">
        <f t="shared" si="371"/>
        <v>4870</v>
      </c>
      <c r="U178" s="93">
        <f t="shared" si="372"/>
        <v>2650</v>
      </c>
      <c r="V178" s="92">
        <f t="shared" si="373"/>
        <v>7520</v>
      </c>
    </row>
    <row r="179" ht="15" customHeight="1" outlineLevel="1">
      <c r="A179" t="s">
        <v>443</v>
      </c>
      <c r="B179" t="s">
        <v>444</v>
      </c>
      <c r="C179" s="34" t="s">
        <v>445</v>
      </c>
      <c r="D179" s="35" t="s">
        <v>409</v>
      </c>
      <c r="E179" s="63">
        <f>SUMIF('2024 AC'!$B$3:$B$250,"*"&amp;$D179&amp;"*",'2024 AC'!C$3:C$250)</f>
        <v>3439.6999999999998</v>
      </c>
      <c r="F179" s="53">
        <f>SUMIF('2024 AC'!$B$3:$B$250,"*"&amp;$D179&amp;"*",'2024 AC'!D$3:D$250)</f>
        <v>3439.6999999999998</v>
      </c>
      <c r="G179" s="53">
        <f>SUMIF('2024 AC'!$B$3:$B$250,"*"&amp;$D179&amp;"*",'2024 AC'!E$3:E$250)</f>
        <v>3504.5999999999999</v>
      </c>
      <c r="H179" s="53">
        <f>SUMIF('2024 AC'!$B$3:$B$250,"*"&amp;$D179&amp;"*",'2024 AC'!F$3:F$250)</f>
        <v>3504.5999999999999</v>
      </c>
      <c r="I179" s="53">
        <f>SUMIF('2024 AC'!$B$3:$B$250,"*"&amp;$D179&amp;"*",'2024 AC'!G$3:G$250)</f>
        <v>3504.5999999999999</v>
      </c>
      <c r="J179" s="53">
        <f>SUMIF('2024 AC'!$B$3:$B$250,"*"&amp;$D179&amp;"*",'2024 AC'!H$3:H$250)</f>
        <v>3504.5999999999999</v>
      </c>
      <c r="K179" s="53">
        <f>SUMIF('2024 AC'!$B$3:$B$250,"*"&amp;$D179&amp;"*",'2024 AC'!I$3:I$250)</f>
        <v>3504.5999999999999</v>
      </c>
      <c r="L179" s="53">
        <f>SUMIF('2024 AC'!$B$3:$B$250,"*"&amp;$D179&amp;"*",'2024 AC'!J$3:J$250)</f>
        <v>3504.5999999999999</v>
      </c>
      <c r="M179" s="53">
        <f>SUMIF('2024 AC'!$B$3:$B$250,"*"&amp;$D179&amp;"*",'2024 AC'!K$3:K$250)</f>
        <v>3504.5999999999999</v>
      </c>
      <c r="N179" s="53">
        <f>SUMIF('2024 AC'!$B$3:$B$250,"*"&amp;$D179&amp;"*",'2024 AC'!L$3:L$250)</f>
        <v>3504.5999999999999</v>
      </c>
      <c r="O179" s="53">
        <f>SUMIF('2024 AC'!$B$3:$B$250,"*"&amp;$D179&amp;"*",'2024 AC'!M$3:M$250)</f>
        <v>3504.5999999999999</v>
      </c>
      <c r="P179" s="93">
        <f>SUMIF('2024 AC'!$B$3:$B$250,"*"&amp;$D179&amp;"*",'2024 AC'!N$3:N$250)</f>
        <v>3504.5999999999999</v>
      </c>
      <c r="Q179" s="92">
        <f t="shared" si="368"/>
        <v>41925.399999999994</v>
      </c>
      <c r="R179" s="93">
        <f t="shared" si="369"/>
        <v>10384</v>
      </c>
      <c r="S179" s="93">
        <f t="shared" si="370"/>
        <v>10513.799999999999</v>
      </c>
      <c r="T179" s="93">
        <f t="shared" si="371"/>
        <v>10513.799999999999</v>
      </c>
      <c r="U179" s="93">
        <f t="shared" si="372"/>
        <v>10513.799999999999</v>
      </c>
      <c r="V179" s="92">
        <f t="shared" si="373"/>
        <v>41925.399999999994</v>
      </c>
    </row>
    <row r="180" ht="15" customHeight="1" outlineLevel="1">
      <c r="A180" t="s">
        <v>446</v>
      </c>
      <c r="B180" t="s">
        <v>447</v>
      </c>
      <c r="C180" s="34" t="s">
        <v>448</v>
      </c>
      <c r="D180" s="35" t="s">
        <v>413</v>
      </c>
      <c r="E180" s="63">
        <f>SUMIF('2024 AC'!$B$3:$B$250,"*"&amp;$D180&amp;"*",'2024 AC'!C$3:C$250)</f>
        <v>0</v>
      </c>
      <c r="F180" s="53">
        <f>SUMIF('2024 AC'!$B$3:$B$250,"*"&amp;$D180&amp;"*",'2024 AC'!D$3:D$250)</f>
        <v>1710</v>
      </c>
      <c r="G180" s="53">
        <f>SUMIF('2024 AC'!$B$3:$B$250,"*"&amp;$D180&amp;"*",'2024 AC'!E$3:E$250)</f>
        <v>0</v>
      </c>
      <c r="H180" s="53">
        <f>SUMIF('2024 AC'!$B$3:$B$250,"*"&amp;$D180&amp;"*",'2024 AC'!F$3:F$250)</f>
        <v>0</v>
      </c>
      <c r="I180" s="53">
        <f>SUMIF('2024 AC'!$B$3:$B$250,"*"&amp;$D180&amp;"*",'2024 AC'!G$3:G$250)</f>
        <v>0</v>
      </c>
      <c r="J180" s="53">
        <f>SUMIF('2024 AC'!$B$3:$B$250,"*"&amp;$D180&amp;"*",'2024 AC'!H$3:H$250)</f>
        <v>0</v>
      </c>
      <c r="K180" s="53">
        <f>SUMIF('2024 AC'!$B$3:$B$250,"*"&amp;$D180&amp;"*",'2024 AC'!I$3:I$250)</f>
        <v>348.25</v>
      </c>
      <c r="L180" s="53">
        <f>SUMIF('2024 AC'!$B$3:$B$250,"*"&amp;$D180&amp;"*",'2024 AC'!J$3:J$250)</f>
        <v>260</v>
      </c>
      <c r="M180" s="53">
        <f>SUMIF('2024 AC'!$B$3:$B$250,"*"&amp;$D180&amp;"*",'2024 AC'!K$3:K$250)</f>
        <v>995</v>
      </c>
      <c r="N180" s="53">
        <f>SUMIF('2024 AC'!$B$3:$B$250,"*"&amp;$D180&amp;"*",'2024 AC'!L$3:L$250)</f>
        <v>260</v>
      </c>
      <c r="O180" s="53">
        <f>SUMIF('2024 AC'!$B$3:$B$250,"*"&amp;$D180&amp;"*",'2024 AC'!M$3:M$250)</f>
        <v>0</v>
      </c>
      <c r="P180" s="93">
        <f>SUMIF('2024 AC'!$B$3:$B$250,"*"&amp;$D180&amp;"*",'2024 AC'!N$3:N$250)</f>
        <v>0</v>
      </c>
      <c r="Q180" s="92">
        <f t="shared" si="368"/>
        <v>3573.25</v>
      </c>
      <c r="R180" s="93">
        <f t="shared" si="369"/>
        <v>1710</v>
      </c>
      <c r="S180" s="93">
        <f t="shared" si="370"/>
        <v>0</v>
      </c>
      <c r="T180" s="93">
        <f t="shared" si="371"/>
        <v>1603.25</v>
      </c>
      <c r="U180" s="93">
        <f t="shared" si="372"/>
        <v>260</v>
      </c>
      <c r="V180" s="92">
        <f t="shared" si="373"/>
        <v>3573.25</v>
      </c>
    </row>
    <row r="181" ht="15" customHeight="1" outlineLevel="1">
      <c r="A181" t="s">
        <v>449</v>
      </c>
      <c r="B181" t="s">
        <v>450</v>
      </c>
      <c r="C181" s="34" t="s">
        <v>451</v>
      </c>
      <c r="D181" s="35" t="s">
        <v>416</v>
      </c>
      <c r="E181" s="63">
        <f>SUMIF('2024 AC'!$B$3:$B$250,"*"&amp;$D181&amp;"*",'2024 AC'!C$3:C$250)</f>
        <v>0</v>
      </c>
      <c r="F181" s="53">
        <f>SUMIF('2024 AC'!$B$3:$B$250,"*"&amp;$D181&amp;"*",'2024 AC'!D$3:D$250)</f>
        <v>0</v>
      </c>
      <c r="G181" s="53">
        <f>SUMIF('2024 AC'!$B$3:$B$250,"*"&amp;$D181&amp;"*",'2024 AC'!E$3:E$250)</f>
        <v>0</v>
      </c>
      <c r="H181" s="53">
        <f>SUMIF('2024 AC'!$B$3:$B$250,"*"&amp;$D181&amp;"*",'2024 AC'!F$3:F$250)</f>
        <v>0</v>
      </c>
      <c r="I181" s="53">
        <f>SUMIF('2024 AC'!$B$3:$B$250,"*"&amp;$D181&amp;"*",'2024 AC'!G$3:G$250)</f>
        <v>0</v>
      </c>
      <c r="J181" s="53">
        <f>SUMIF('2024 AC'!$B$3:$B$250,"*"&amp;$D181&amp;"*",'2024 AC'!H$3:H$250)</f>
        <v>0</v>
      </c>
      <c r="K181" s="53">
        <f>SUMIF('2024 AC'!$B$3:$B$250,"*"&amp;$D181&amp;"*",'2024 AC'!I$3:I$250)</f>
        <v>0</v>
      </c>
      <c r="L181" s="53">
        <f>SUMIF('2024 AC'!$B$3:$B$250,"*"&amp;$D181&amp;"*",'2024 AC'!J$3:J$250)</f>
        <v>19</v>
      </c>
      <c r="M181" s="53">
        <f>SUMIF('2024 AC'!$B$3:$B$250,"*"&amp;$D181&amp;"*",'2024 AC'!K$3:K$250)</f>
        <v>0</v>
      </c>
      <c r="N181" s="53">
        <f>SUMIF('2024 AC'!$B$3:$B$250,"*"&amp;$D181&amp;"*",'2024 AC'!L$3:L$250)</f>
        <v>0</v>
      </c>
      <c r="O181" s="53">
        <f>SUMIF('2024 AC'!$B$3:$B$250,"*"&amp;$D181&amp;"*",'2024 AC'!M$3:M$250)</f>
        <v>300</v>
      </c>
      <c r="P181" s="93">
        <f>SUMIF('2024 AC'!$B$3:$B$250,"*"&amp;$D181&amp;"*",'2024 AC'!N$3:N$250)</f>
        <v>80</v>
      </c>
      <c r="Q181" s="92">
        <f t="shared" si="368"/>
        <v>399</v>
      </c>
      <c r="R181" s="93">
        <f t="shared" si="369"/>
        <v>0</v>
      </c>
      <c r="S181" s="93">
        <f t="shared" si="370"/>
        <v>0</v>
      </c>
      <c r="T181" s="93">
        <f t="shared" si="371"/>
        <v>19</v>
      </c>
      <c r="U181" s="93">
        <f t="shared" si="372"/>
        <v>380</v>
      </c>
      <c r="V181" s="92">
        <f t="shared" si="373"/>
        <v>399</v>
      </c>
    </row>
    <row r="182" ht="15" customHeight="1" outlineLevel="1">
      <c r="A182" t="s">
        <v>452</v>
      </c>
      <c r="B182" t="s">
        <v>453</v>
      </c>
      <c r="C182" s="34" t="s">
        <v>454</v>
      </c>
      <c r="D182" s="35" t="s">
        <v>419</v>
      </c>
      <c r="E182" s="63">
        <f>SUMIF('2024 AC'!$B$3:$B$250,"*"&amp;$D182&amp;"*",'2024 AC'!C$3:C$250)</f>
        <v>0</v>
      </c>
      <c r="F182" s="53">
        <f>SUMIF('2024 AC'!$B$3:$B$250,"*"&amp;$D182&amp;"*",'2024 AC'!D$3:D$250)</f>
        <v>0</v>
      </c>
      <c r="G182" s="53">
        <f>SUMIF('2024 AC'!$B$3:$B$250,"*"&amp;$D182&amp;"*",'2024 AC'!E$3:E$250)</f>
        <v>0</v>
      </c>
      <c r="H182" s="53">
        <f>SUMIF('2024 AC'!$B$3:$B$250,"*"&amp;$D182&amp;"*",'2024 AC'!F$3:F$250)</f>
        <v>4500</v>
      </c>
      <c r="I182" s="53">
        <f>SUMIF('2024 AC'!$B$3:$B$250,"*"&amp;$D182&amp;"*",'2024 AC'!G$3:G$250)</f>
        <v>59</v>
      </c>
      <c r="J182" s="53">
        <f>SUMIF('2024 AC'!$B$3:$B$250,"*"&amp;$D182&amp;"*",'2024 AC'!H$3:H$250)</f>
        <v>0</v>
      </c>
      <c r="K182" s="53">
        <f>SUMIF('2024 AC'!$B$3:$B$250,"*"&amp;$D182&amp;"*",'2024 AC'!I$3:I$250)</f>
        <v>0</v>
      </c>
      <c r="L182" s="53">
        <f>SUMIF('2024 AC'!$B$3:$B$250,"*"&amp;$D182&amp;"*",'2024 AC'!J$3:J$250)</f>
        <v>0</v>
      </c>
      <c r="M182" s="53">
        <f>SUMIF('2024 AC'!$B$3:$B$250,"*"&amp;$D182&amp;"*",'2024 AC'!K$3:K$250)</f>
        <v>0</v>
      </c>
      <c r="N182" s="53">
        <f>SUMIF('2024 AC'!$B$3:$B$250,"*"&amp;$D182&amp;"*",'2024 AC'!L$3:L$250)</f>
        <v>0</v>
      </c>
      <c r="O182" s="53">
        <f>SUMIF('2024 AC'!$B$3:$B$250,"*"&amp;$D182&amp;"*",'2024 AC'!M$3:M$250)</f>
        <v>330</v>
      </c>
      <c r="P182" s="93">
        <f>SUMIF('2024 AC'!$B$3:$B$250,"*"&amp;$D182&amp;"*",'2024 AC'!N$3:N$250)</f>
        <v>0</v>
      </c>
      <c r="Q182" s="92">
        <f t="shared" si="368"/>
        <v>4889</v>
      </c>
      <c r="R182" s="93">
        <f t="shared" si="369"/>
        <v>0</v>
      </c>
      <c r="S182" s="93">
        <f t="shared" si="370"/>
        <v>4559</v>
      </c>
      <c r="T182" s="93">
        <f t="shared" si="371"/>
        <v>0</v>
      </c>
      <c r="U182" s="93">
        <f t="shared" si="372"/>
        <v>330</v>
      </c>
      <c r="V182" s="92">
        <f t="shared" si="373"/>
        <v>4889</v>
      </c>
    </row>
    <row r="183" ht="15" customHeight="1" outlineLevel="1">
      <c r="A183" t="s">
        <v>455</v>
      </c>
      <c r="B183" t="s">
        <v>456</v>
      </c>
      <c r="C183" s="34" t="s">
        <v>457</v>
      </c>
      <c r="D183" s="35" t="s">
        <v>422</v>
      </c>
      <c r="E183" s="63">
        <f>SUMIF('2024 AC'!$B$3:$B$250,"*"&amp;$D183&amp;"*",'2024 AC'!C$3:C$250)</f>
        <v>0</v>
      </c>
      <c r="F183" s="53">
        <f>SUMIF('2024 AC'!$B$3:$B$250,"*"&amp;$D183&amp;"*",'2024 AC'!D$3:D$250)</f>
        <v>0</v>
      </c>
      <c r="G183" s="53">
        <f>SUMIF('2024 AC'!$B$3:$B$250,"*"&amp;$D183&amp;"*",'2024 AC'!E$3:E$250)</f>
        <v>300</v>
      </c>
      <c r="H183" s="53">
        <f>SUMIF('2024 AC'!$B$3:$B$250,"*"&amp;$D183&amp;"*",'2024 AC'!F$3:F$250)</f>
        <v>1070</v>
      </c>
      <c r="I183" s="53">
        <f>SUMIF('2024 AC'!$B$3:$B$250,"*"&amp;$D183&amp;"*",'2024 AC'!G$3:G$250)</f>
        <v>320</v>
      </c>
      <c r="J183" s="53">
        <f>SUMIF('2024 AC'!$B$3:$B$250,"*"&amp;$D183&amp;"*",'2024 AC'!H$3:H$250)</f>
        <v>295</v>
      </c>
      <c r="K183" s="53">
        <f>SUMIF('2024 AC'!$B$3:$B$250,"*"&amp;$D183&amp;"*",'2024 AC'!I$3:I$250)</f>
        <v>4350</v>
      </c>
      <c r="L183" s="53">
        <f>SUMIF('2024 AC'!$B$3:$B$250,"*"&amp;$D183&amp;"*",'2024 AC'!J$3:J$250)</f>
        <v>715</v>
      </c>
      <c r="M183" s="53">
        <f>SUMIF('2024 AC'!$B$3:$B$250,"*"&amp;$D183&amp;"*",'2024 AC'!K$3:K$250)</f>
        <v>1295</v>
      </c>
      <c r="N183" s="53">
        <f>SUMIF('2024 AC'!$B$3:$B$250,"*"&amp;$D183&amp;"*",'2024 AC'!L$3:L$250)</f>
        <v>29.5</v>
      </c>
      <c r="O183" s="53">
        <f>SUMIF('2024 AC'!$B$3:$B$250,"*"&amp;$D183&amp;"*",'2024 AC'!M$3:M$250)</f>
        <v>588.28999999999996</v>
      </c>
      <c r="P183" s="93">
        <f>SUMIF('2024 AC'!$B$3:$B$250,"*"&amp;$D183&amp;"*",'2024 AC'!N$3:N$250)</f>
        <v>801</v>
      </c>
      <c r="Q183" s="92">
        <f t="shared" si="368"/>
        <v>9763.7900000000009</v>
      </c>
      <c r="R183" s="93">
        <f t="shared" si="369"/>
        <v>300</v>
      </c>
      <c r="S183" s="93">
        <f t="shared" si="370"/>
        <v>1685</v>
      </c>
      <c r="T183" s="93">
        <f t="shared" si="371"/>
        <v>6360</v>
      </c>
      <c r="U183" s="93">
        <f t="shared" si="372"/>
        <v>1418.79</v>
      </c>
      <c r="V183" s="92">
        <f t="shared" si="373"/>
        <v>9763.7900000000009</v>
      </c>
    </row>
    <row r="184" ht="15" customHeight="1" outlineLevel="1">
      <c r="A184" t="s">
        <v>458</v>
      </c>
      <c r="B184" t="s">
        <v>459</v>
      </c>
      <c r="C184" s="34" t="s">
        <v>460</v>
      </c>
      <c r="D184" s="35" t="s">
        <v>461</v>
      </c>
      <c r="E184" s="63">
        <f>SUMIF('2024 AC'!$B$3:$B$250,"*"&amp;$D184&amp;"*",'2024 AC'!C$3:C$250)</f>
        <v>265</v>
      </c>
      <c r="F184" s="53">
        <f>SUMIF('2024 AC'!$B$3:$B$250,"*"&amp;$D184&amp;"*",'2024 AC'!D$3:D$250)</f>
        <v>901</v>
      </c>
      <c r="G184" s="53">
        <f>SUMIF('2024 AC'!$B$3:$B$250,"*"&amp;$D184&amp;"*",'2024 AC'!E$3:E$250)</f>
        <v>270</v>
      </c>
      <c r="H184" s="53">
        <f>SUMIF('2024 AC'!$B$3:$B$250,"*"&amp;$D184&amp;"*",'2024 AC'!F$3:F$250)</f>
        <v>270</v>
      </c>
      <c r="I184" s="53">
        <f>SUMIF('2024 AC'!$B$3:$B$250,"*"&amp;$D184&amp;"*",'2024 AC'!G$3:G$250)</f>
        <v>2214</v>
      </c>
      <c r="J184" s="53">
        <f>SUMIF('2024 AC'!$B$3:$B$250,"*"&amp;$D184&amp;"*",'2024 AC'!H$3:H$250)</f>
        <v>2214</v>
      </c>
      <c r="K184" s="53">
        <f>SUMIF('2024 AC'!$B$3:$B$250,"*"&amp;$D184&amp;"*",'2024 AC'!I$3:I$250)</f>
        <v>2214</v>
      </c>
      <c r="L184" s="53">
        <f>SUMIF('2024 AC'!$B$3:$B$250,"*"&amp;$D184&amp;"*",'2024 AC'!J$3:J$250)</f>
        <v>0</v>
      </c>
      <c r="M184" s="53">
        <f>SUMIF('2024 AC'!$B$3:$B$250,"*"&amp;$D184&amp;"*",'2024 AC'!K$3:K$250)</f>
        <v>2214</v>
      </c>
      <c r="N184" s="53">
        <f>SUMIF('2024 AC'!$B$3:$B$250,"*"&amp;$D184&amp;"*",'2024 AC'!L$3:L$250)</f>
        <v>2214</v>
      </c>
      <c r="O184" s="53">
        <f>SUMIF('2024 AC'!$B$3:$B$250,"*"&amp;$D184&amp;"*",'2024 AC'!M$3:M$250)</f>
        <v>2214</v>
      </c>
      <c r="P184" s="93">
        <f>SUMIF('2024 AC'!$B$3:$B$250,"*"&amp;$D184&amp;"*",'2024 AC'!N$3:N$250)</f>
        <v>1130</v>
      </c>
      <c r="Q184" s="92">
        <f t="shared" si="368"/>
        <v>16120</v>
      </c>
      <c r="R184" s="93">
        <f t="shared" si="369"/>
        <v>1436</v>
      </c>
      <c r="S184" s="93">
        <f t="shared" si="370"/>
        <v>4698</v>
      </c>
      <c r="T184" s="93">
        <f t="shared" si="371"/>
        <v>4428</v>
      </c>
      <c r="U184" s="93">
        <f t="shared" si="372"/>
        <v>5558</v>
      </c>
      <c r="V184" s="92">
        <f t="shared" si="373"/>
        <v>16120</v>
      </c>
    </row>
    <row r="185" ht="15" customHeight="1" outlineLevel="1">
      <c r="A185" t="s">
        <v>462</v>
      </c>
      <c r="B185" t="s">
        <v>463</v>
      </c>
      <c r="C185" s="34" t="s">
        <v>464</v>
      </c>
      <c r="D185" s="35" t="s">
        <v>465</v>
      </c>
      <c r="E185" s="63">
        <f>SUMIF('2024 AC'!$B$3:$B$250,"*"&amp;$D185&amp;"*",'2024 AC'!C$3:C$250)</f>
        <v>0</v>
      </c>
      <c r="F185" s="53">
        <f>SUMIF('2024 AC'!$B$3:$B$250,"*"&amp;$D185&amp;"*",'2024 AC'!D$3:D$250)</f>
        <v>1320</v>
      </c>
      <c r="G185" s="53">
        <f>SUMIF('2024 AC'!$B$3:$B$250,"*"&amp;$D185&amp;"*",'2024 AC'!E$3:E$250)</f>
        <v>380</v>
      </c>
      <c r="H185" s="53">
        <f>SUMIF('2024 AC'!$B$3:$B$250,"*"&amp;$D185&amp;"*",'2024 AC'!F$3:F$250)</f>
        <v>2644</v>
      </c>
      <c r="I185" s="53">
        <f>SUMIF('2024 AC'!$B$3:$B$250,"*"&amp;$D185&amp;"*",'2024 AC'!G$3:G$250)</f>
        <v>1145.0999999999999</v>
      </c>
      <c r="J185" s="53">
        <f>SUMIF('2024 AC'!$B$3:$B$250,"*"&amp;$D185&amp;"*",'2024 AC'!H$3:H$250)</f>
        <v>804</v>
      </c>
      <c r="K185" s="53">
        <f>SUMIF('2024 AC'!$B$3:$B$250,"*"&amp;$D185&amp;"*",'2024 AC'!I$3:I$250)</f>
        <v>97.5</v>
      </c>
      <c r="L185" s="53">
        <f>SUMIF('2024 AC'!$B$3:$B$250,"*"&amp;$D185&amp;"*",'2024 AC'!J$3:J$250)</f>
        <v>114</v>
      </c>
      <c r="M185" s="53">
        <f>SUMIF('2024 AC'!$B$3:$B$250,"*"&amp;$D185&amp;"*",'2024 AC'!K$3:K$250)</f>
        <v>14</v>
      </c>
      <c r="N185" s="53">
        <f>SUMIF('2024 AC'!$B$3:$B$250,"*"&amp;$D185&amp;"*",'2024 AC'!L$3:L$250)</f>
        <v>0</v>
      </c>
      <c r="O185" s="53">
        <f>SUMIF('2024 AC'!$B$3:$B$250,"*"&amp;$D185&amp;"*",'2024 AC'!M$3:M$250)</f>
        <v>2920</v>
      </c>
      <c r="P185" s="93">
        <f>SUMIF('2024 AC'!$B$3:$B$250,"*"&amp;$D185&amp;"*",'2024 AC'!N$3:N$250)</f>
        <v>820</v>
      </c>
      <c r="Q185" s="92">
        <f t="shared" si="368"/>
        <v>10258.6</v>
      </c>
      <c r="R185" s="93">
        <f t="shared" si="369"/>
        <v>1700</v>
      </c>
      <c r="S185" s="93">
        <f t="shared" si="370"/>
        <v>4593.1000000000004</v>
      </c>
      <c r="T185" s="93">
        <f t="shared" si="371"/>
        <v>225.5</v>
      </c>
      <c r="U185" s="93">
        <f t="shared" si="372"/>
        <v>3740</v>
      </c>
      <c r="V185" s="92">
        <f t="shared" si="373"/>
        <v>10258.6</v>
      </c>
    </row>
    <row r="186" ht="15" customHeight="1" outlineLevel="1">
      <c r="A186" t="s">
        <v>466</v>
      </c>
      <c r="B186" t="s">
        <v>467</v>
      </c>
      <c r="C186" s="34" t="s">
        <v>468</v>
      </c>
      <c r="D186" s="35" t="s">
        <v>425</v>
      </c>
      <c r="E186" s="63">
        <f>SUMIF('2024 AC'!$B$3:$B$250,"*"&amp;$D186&amp;"*",'2024 AC'!C$3:C$250)</f>
        <v>10720</v>
      </c>
      <c r="F186" s="53">
        <f>SUMIF('2024 AC'!$B$3:$B$250,"*"&amp;$D186&amp;"*",'2024 AC'!D$3:D$250)</f>
        <v>0</v>
      </c>
      <c r="G186" s="53">
        <f>SUMIF('2024 AC'!$B$3:$B$250,"*"&amp;$D186&amp;"*",'2024 AC'!E$3:E$250)</f>
        <v>2580</v>
      </c>
      <c r="H186" s="53">
        <f>SUMIF('2024 AC'!$B$3:$B$250,"*"&amp;$D186&amp;"*",'2024 AC'!F$3:F$250)</f>
        <v>1750</v>
      </c>
      <c r="I186" s="53">
        <f>SUMIF('2024 AC'!$B$3:$B$250,"*"&amp;$D186&amp;"*",'2024 AC'!G$3:G$250)</f>
        <v>1500</v>
      </c>
      <c r="J186" s="53">
        <f>SUMIF('2024 AC'!$B$3:$B$250,"*"&amp;$D186&amp;"*",'2024 AC'!H$3:H$250)</f>
        <v>1500</v>
      </c>
      <c r="K186" s="53">
        <f>SUMIF('2024 AC'!$B$3:$B$250,"*"&amp;$D186&amp;"*",'2024 AC'!I$3:I$250)</f>
        <v>0</v>
      </c>
      <c r="L186" s="53">
        <f>SUMIF('2024 AC'!$B$3:$B$250,"*"&amp;$D186&amp;"*",'2024 AC'!J$3:J$250)</f>
        <v>0</v>
      </c>
      <c r="M186" s="53">
        <f>SUMIF('2024 AC'!$B$3:$B$250,"*"&amp;$D186&amp;"*",'2024 AC'!K$3:K$250)</f>
        <v>0</v>
      </c>
      <c r="N186" s="53">
        <f>SUMIF('2024 AC'!$B$3:$B$250,"*"&amp;$D186&amp;"*",'2024 AC'!L$3:L$250)</f>
        <v>0</v>
      </c>
      <c r="O186" s="53">
        <f>SUMIF('2024 AC'!$B$3:$B$250,"*"&amp;$D186&amp;"*",'2024 AC'!M$3:M$250)</f>
        <v>0</v>
      </c>
      <c r="P186" s="93">
        <f>SUMIF('2024 AC'!$B$3:$B$250,"*"&amp;$D186&amp;"*",'2024 AC'!N$3:N$250)</f>
        <v>0</v>
      </c>
      <c r="Q186" s="92">
        <f t="shared" si="368"/>
        <v>18050</v>
      </c>
      <c r="R186" s="93">
        <f t="shared" si="369"/>
        <v>13300</v>
      </c>
      <c r="S186" s="93">
        <f t="shared" si="370"/>
        <v>4750</v>
      </c>
      <c r="T186" s="93">
        <f t="shared" si="371"/>
        <v>0</v>
      </c>
      <c r="U186" s="93">
        <f t="shared" si="372"/>
        <v>0</v>
      </c>
      <c r="V186" s="92">
        <f t="shared" si="373"/>
        <v>18050</v>
      </c>
    </row>
    <row r="187" ht="15" customHeight="1" outlineLevel="1">
      <c r="A187" t="s">
        <v>469</v>
      </c>
      <c r="B187" t="s">
        <v>470</v>
      </c>
      <c r="C187" s="34" t="s">
        <v>471</v>
      </c>
      <c r="D187" s="35" t="s">
        <v>472</v>
      </c>
      <c r="E187" s="63">
        <f>SUMIF('2024 AC'!$B$3:$B$250,"*"&amp;$D187&amp;"*",'2024 AC'!C$3:C$250)</f>
        <v>0</v>
      </c>
      <c r="F187" s="53">
        <f>SUMIF('2024 AC'!$B$3:$B$250,"*"&amp;$D187&amp;"*",'2024 AC'!D$3:D$250)</f>
        <v>0</v>
      </c>
      <c r="G187" s="53">
        <f>SUMIF('2024 AC'!$B$3:$B$250,"*"&amp;$D187&amp;"*",'2024 AC'!E$3:E$250)</f>
        <v>3100</v>
      </c>
      <c r="H187" s="53">
        <f>SUMIF('2024 AC'!$B$3:$B$250,"*"&amp;$D187&amp;"*",'2024 AC'!F$3:F$250)</f>
        <v>2450</v>
      </c>
      <c r="I187" s="53">
        <f>SUMIF('2024 AC'!$B$3:$B$250,"*"&amp;$D187&amp;"*",'2024 AC'!G$3:G$250)</f>
        <v>12219</v>
      </c>
      <c r="J187" s="53">
        <f>SUMIF('2024 AC'!$B$3:$B$250,"*"&amp;$D187&amp;"*",'2024 AC'!H$3:H$250)</f>
        <v>4568</v>
      </c>
      <c r="K187" s="53">
        <f>SUMIF('2024 AC'!$B$3:$B$250,"*"&amp;$D187&amp;"*",'2024 AC'!I$3:I$250)</f>
        <v>5496</v>
      </c>
      <c r="L187" s="53">
        <f>SUMIF('2024 AC'!$B$3:$B$250,"*"&amp;$D187&amp;"*",'2024 AC'!J$3:J$250)</f>
        <v>5292</v>
      </c>
      <c r="M187" s="53">
        <f>SUMIF('2024 AC'!$B$3:$B$250,"*"&amp;$D187&amp;"*",'2024 AC'!K$3:K$250)</f>
        <v>4146</v>
      </c>
      <c r="N187" s="53">
        <f>SUMIF('2024 AC'!$B$3:$B$250,"*"&amp;$D187&amp;"*",'2024 AC'!L$3:L$250)</f>
        <v>0</v>
      </c>
      <c r="O187" s="53">
        <f>SUMIF('2024 AC'!$B$3:$B$250,"*"&amp;$D187&amp;"*",'2024 AC'!M$3:M$250)</f>
        <v>1500</v>
      </c>
      <c r="P187" s="93">
        <f>SUMIF('2024 AC'!$B$3:$B$250,"*"&amp;$D187&amp;"*",'2024 AC'!N$3:N$250)</f>
        <v>3996</v>
      </c>
      <c r="Q187" s="92">
        <f t="shared" si="368"/>
        <v>42767</v>
      </c>
      <c r="R187" s="93">
        <f t="shared" si="369"/>
        <v>3100</v>
      </c>
      <c r="S187" s="93">
        <f t="shared" si="370"/>
        <v>19237</v>
      </c>
      <c r="T187" s="93">
        <f t="shared" si="371"/>
        <v>14934</v>
      </c>
      <c r="U187" s="93">
        <f t="shared" si="372"/>
        <v>5496</v>
      </c>
      <c r="V187" s="92">
        <f t="shared" si="373"/>
        <v>42767</v>
      </c>
    </row>
    <row r="188" ht="15" customHeight="1" outlineLevel="1">
      <c r="A188" t="s">
        <v>473</v>
      </c>
      <c r="B188" t="s">
        <v>474</v>
      </c>
      <c r="C188" s="34" t="s">
        <v>475</v>
      </c>
      <c r="D188" s="35" t="s">
        <v>428</v>
      </c>
      <c r="E188" s="63">
        <f>SUMIF('2024 AC'!$B$3:$B$250,"*"&amp;$D188&amp;"*",'2024 AC'!C$3:C$250)</f>
        <v>120</v>
      </c>
      <c r="F188" s="53">
        <f>SUMIF('2024 AC'!$B$3:$B$250,"*"&amp;$D188&amp;"*",'2024 AC'!D$3:D$250)</f>
        <v>6850</v>
      </c>
      <c r="G188" s="53">
        <f>SUMIF('2024 AC'!$B$3:$B$250,"*"&amp;$D188&amp;"*",'2024 AC'!E$3:E$250)</f>
        <v>7850</v>
      </c>
      <c r="H188" s="53">
        <f>SUMIF('2024 AC'!$B$3:$B$250,"*"&amp;$D188&amp;"*",'2024 AC'!F$3:F$250)</f>
        <v>5400</v>
      </c>
      <c r="I188" s="53">
        <f>SUMIF('2024 AC'!$B$3:$B$250,"*"&amp;$D188&amp;"*",'2024 AC'!G$3:G$250)</f>
        <v>300</v>
      </c>
      <c r="J188" s="53">
        <f>SUMIF('2024 AC'!$B$3:$B$250,"*"&amp;$D188&amp;"*",'2024 AC'!H$3:H$250)</f>
        <v>300</v>
      </c>
      <c r="K188" s="53">
        <f>SUMIF('2024 AC'!$B$3:$B$250,"*"&amp;$D188&amp;"*",'2024 AC'!I$3:I$250)</f>
        <v>50162</v>
      </c>
      <c r="L188" s="53">
        <f>SUMIF('2024 AC'!$B$3:$B$250,"*"&amp;$D188&amp;"*",'2024 AC'!J$3:J$250)</f>
        <v>0</v>
      </c>
      <c r="M188" s="53">
        <f>SUMIF('2024 AC'!$B$3:$B$250,"*"&amp;$D188&amp;"*",'2024 AC'!K$3:K$250)</f>
        <v>3035.9899999999998</v>
      </c>
      <c r="N188" s="53">
        <f>SUMIF('2024 AC'!$B$3:$B$250,"*"&amp;$D188&amp;"*",'2024 AC'!L$3:L$250)</f>
        <v>0</v>
      </c>
      <c r="O188" s="53">
        <f>SUMIF('2024 AC'!$B$3:$B$250,"*"&amp;$D188&amp;"*",'2024 AC'!M$3:M$250)</f>
        <v>1130</v>
      </c>
      <c r="P188" s="93">
        <f>SUMIF('2024 AC'!$B$3:$B$250,"*"&amp;$D188&amp;"*",'2024 AC'!N$3:N$250)</f>
        <v>0</v>
      </c>
      <c r="Q188" s="92">
        <f t="shared" si="368"/>
        <v>75147.990000000005</v>
      </c>
      <c r="R188" s="93">
        <f t="shared" si="369"/>
        <v>14820</v>
      </c>
      <c r="S188" s="93">
        <f t="shared" si="370"/>
        <v>6000</v>
      </c>
      <c r="T188" s="93">
        <f t="shared" si="371"/>
        <v>53197.989999999998</v>
      </c>
      <c r="U188" s="93">
        <f t="shared" si="372"/>
        <v>1130</v>
      </c>
      <c r="V188" s="92">
        <f t="shared" si="373"/>
        <v>75147.989999999991</v>
      </c>
    </row>
    <row r="189" ht="15" customHeight="1" outlineLevel="1">
      <c r="A189" t="s">
        <v>476</v>
      </c>
      <c r="B189" t="s">
        <v>477</v>
      </c>
      <c r="C189" s="34" t="s">
        <v>478</v>
      </c>
      <c r="D189" s="35" t="s">
        <v>431</v>
      </c>
      <c r="E189" s="63">
        <f>SUMIF('2024 AC'!$B$3:$B$250,"*"&amp;$D189&amp;"*",'2024 AC'!C$3:C$250)</f>
        <v>0</v>
      </c>
      <c r="F189" s="53">
        <f>SUMIF('2024 AC'!$B$3:$B$250,"*"&amp;$D189&amp;"*",'2024 AC'!D$3:D$250)</f>
        <v>0</v>
      </c>
      <c r="G189" s="53">
        <f>SUMIF('2024 AC'!$B$3:$B$250,"*"&amp;$D189&amp;"*",'2024 AC'!E$3:E$250)</f>
        <v>0</v>
      </c>
      <c r="H189" s="53">
        <f>SUMIF('2024 AC'!$B$3:$B$250,"*"&amp;$D189&amp;"*",'2024 AC'!F$3:F$250)</f>
        <v>4900</v>
      </c>
      <c r="I189" s="53">
        <f>SUMIF('2024 AC'!$B$3:$B$250,"*"&amp;$D189&amp;"*",'2024 AC'!G$3:G$250)</f>
        <v>0</v>
      </c>
      <c r="J189" s="53">
        <f>SUMIF('2024 AC'!$B$3:$B$250,"*"&amp;$D189&amp;"*",'2024 AC'!H$3:H$250)</f>
        <v>0</v>
      </c>
      <c r="K189" s="53">
        <f>SUMIF('2024 AC'!$B$3:$B$250,"*"&amp;$D189&amp;"*",'2024 AC'!I$3:I$250)</f>
        <v>20700</v>
      </c>
      <c r="L189" s="53">
        <f>SUMIF('2024 AC'!$B$3:$B$250,"*"&amp;$D189&amp;"*",'2024 AC'!J$3:J$250)</f>
        <v>0</v>
      </c>
      <c r="M189" s="53">
        <f>SUMIF('2024 AC'!$B$3:$B$250,"*"&amp;$D189&amp;"*",'2024 AC'!K$3:K$250)</f>
        <v>9360</v>
      </c>
      <c r="N189" s="53">
        <f>SUMIF('2024 AC'!$B$3:$B$250,"*"&amp;$D189&amp;"*",'2024 AC'!L$3:L$250)</f>
        <v>900</v>
      </c>
      <c r="O189" s="53">
        <f>SUMIF('2024 AC'!$B$3:$B$250,"*"&amp;$D189&amp;"*",'2024 AC'!M$3:M$250)</f>
        <v>1180</v>
      </c>
      <c r="P189" s="93">
        <f>SUMIF('2024 AC'!$B$3:$B$250,"*"&amp;$D189&amp;"*",'2024 AC'!N$3:N$250)</f>
        <v>1122</v>
      </c>
      <c r="Q189" s="92">
        <f t="shared" si="368"/>
        <v>38162</v>
      </c>
      <c r="R189" s="93">
        <f t="shared" si="369"/>
        <v>0</v>
      </c>
      <c r="S189" s="93">
        <f t="shared" si="370"/>
        <v>4900</v>
      </c>
      <c r="T189" s="93">
        <f t="shared" si="371"/>
        <v>30060</v>
      </c>
      <c r="U189" s="93">
        <f t="shared" si="372"/>
        <v>3202</v>
      </c>
      <c r="V189" s="92">
        <f t="shared" si="373"/>
        <v>38162</v>
      </c>
    </row>
    <row r="190" ht="15" customHeight="1" outlineLevel="1">
      <c r="A190" t="s">
        <v>479</v>
      </c>
      <c r="B190" t="s">
        <v>480</v>
      </c>
      <c r="C190" s="34" t="s">
        <v>481</v>
      </c>
      <c r="D190" s="35" t="s">
        <v>434</v>
      </c>
      <c r="E190" s="63">
        <f>SUMIF('2024 AC'!$B$3:$B$250,"*"&amp;$D190&amp;"*",'2024 AC'!C$3:C$250)</f>
        <v>1960</v>
      </c>
      <c r="F190" s="53">
        <f>SUMIF('2024 AC'!$B$3:$B$250,"*"&amp;$D190&amp;"*",'2024 AC'!D$3:D$250)</f>
        <v>0</v>
      </c>
      <c r="G190" s="53">
        <f>SUMIF('2024 AC'!$B$3:$B$250,"*"&amp;$D190&amp;"*",'2024 AC'!E$3:E$250)</f>
        <v>680.5</v>
      </c>
      <c r="H190" s="53">
        <f>SUMIF('2024 AC'!$B$3:$B$250,"*"&amp;$D190&amp;"*",'2024 AC'!F$3:F$250)</f>
        <v>665.39999999999998</v>
      </c>
      <c r="I190" s="53">
        <f>SUMIF('2024 AC'!$B$3:$B$250,"*"&amp;$D190&amp;"*",'2024 AC'!G$3:G$250)</f>
        <v>4666.3999999999996</v>
      </c>
      <c r="J190" s="53">
        <f>SUMIF('2024 AC'!$B$3:$B$250,"*"&amp;$D190&amp;"*",'2024 AC'!H$3:H$250)</f>
        <v>9104.2999999999993</v>
      </c>
      <c r="K190" s="53">
        <f>SUMIF('2024 AC'!$B$3:$B$250,"*"&amp;$D190&amp;"*",'2024 AC'!I$3:I$250)</f>
        <v>4466.6000000000004</v>
      </c>
      <c r="L190" s="53">
        <f>SUMIF('2024 AC'!$B$3:$B$250,"*"&amp;$D190&amp;"*",'2024 AC'!J$3:J$250)</f>
        <v>6958.0500000000002</v>
      </c>
      <c r="M190" s="53">
        <f>SUMIF('2024 AC'!$B$3:$B$250,"*"&amp;$D190&amp;"*",'2024 AC'!K$3:K$250)</f>
        <v>4748.9499999999998</v>
      </c>
      <c r="N190" s="53">
        <f>SUMIF('2024 AC'!$B$3:$B$250,"*"&amp;$D190&amp;"*",'2024 AC'!L$3:L$250)</f>
        <v>8073.6999999999998</v>
      </c>
      <c r="O190" s="53">
        <f>SUMIF('2024 AC'!$B$3:$B$250,"*"&amp;$D190&amp;"*",'2024 AC'!M$3:M$250)</f>
        <v>792.89999999999998</v>
      </c>
      <c r="P190" s="93">
        <f>SUMIF('2024 AC'!$B$3:$B$250,"*"&amp;$D190&amp;"*",'2024 AC'!N$3:N$250)</f>
        <v>2856</v>
      </c>
      <c r="Q190" s="92">
        <f t="shared" si="368"/>
        <v>44972.799999999996</v>
      </c>
      <c r="R190" s="93">
        <f t="shared" si="369"/>
        <v>2640.5</v>
      </c>
      <c r="S190" s="93">
        <f t="shared" si="370"/>
        <v>14436.099999999999</v>
      </c>
      <c r="T190" s="93">
        <f t="shared" si="371"/>
        <v>16173.600000000002</v>
      </c>
      <c r="U190" s="93">
        <f t="shared" si="372"/>
        <v>11722.6</v>
      </c>
      <c r="V190" s="92">
        <f t="shared" si="373"/>
        <v>44972.799999999996</v>
      </c>
    </row>
    <row r="191" ht="15" customHeight="1" outlineLevel="1">
      <c r="A191" t="s">
        <v>482</v>
      </c>
      <c r="B191" t="s">
        <v>483</v>
      </c>
      <c r="C191" s="34" t="s">
        <v>484</v>
      </c>
      <c r="D191" s="35" t="s">
        <v>437</v>
      </c>
      <c r="E191" s="63">
        <f>SUMIF('2024 AC'!$B$3:$B$250,"*"&amp;$D191&amp;"*",'2024 AC'!C$3:C$250)</f>
        <v>0</v>
      </c>
      <c r="F191" s="53">
        <f>SUMIF('2024 AC'!$B$3:$B$250,"*"&amp;$D191&amp;"*",'2024 AC'!D$3:D$250)</f>
        <v>2300</v>
      </c>
      <c r="G191" s="53">
        <f>SUMIF('2024 AC'!$B$3:$B$250,"*"&amp;$D191&amp;"*",'2024 AC'!E$3:E$250)</f>
        <v>0</v>
      </c>
      <c r="H191" s="53">
        <f>SUMIF('2024 AC'!$B$3:$B$250,"*"&amp;$D191&amp;"*",'2024 AC'!F$3:F$250)</f>
        <v>0</v>
      </c>
      <c r="I191" s="53">
        <f>SUMIF('2024 AC'!$B$3:$B$250,"*"&amp;$D191&amp;"*",'2024 AC'!G$3:G$250)</f>
        <v>2148</v>
      </c>
      <c r="J191" s="53">
        <f>SUMIF('2024 AC'!$B$3:$B$250,"*"&amp;$D191&amp;"*",'2024 AC'!H$3:H$250)</f>
        <v>0</v>
      </c>
      <c r="K191" s="53">
        <f>SUMIF('2024 AC'!$B$3:$B$250,"*"&amp;$D191&amp;"*",'2024 AC'!I$3:I$250)</f>
        <v>3250</v>
      </c>
      <c r="L191" s="53">
        <f>SUMIF('2024 AC'!$B$3:$B$250,"*"&amp;$D191&amp;"*",'2024 AC'!J$3:J$250)</f>
        <v>0</v>
      </c>
      <c r="M191" s="53">
        <f>SUMIF('2024 AC'!$B$3:$B$250,"*"&amp;$D191&amp;"*",'2024 AC'!K$3:K$250)</f>
        <v>2000</v>
      </c>
      <c r="N191" s="53">
        <f>SUMIF('2024 AC'!$B$3:$B$250,"*"&amp;$D191&amp;"*",'2024 AC'!L$3:L$250)</f>
        <v>0</v>
      </c>
      <c r="O191" s="53">
        <f>SUMIF('2024 AC'!$B$3:$B$250,"*"&amp;$D191&amp;"*",'2024 AC'!M$3:M$250)</f>
        <v>0</v>
      </c>
      <c r="P191" s="93">
        <f>SUMIF('2024 AC'!$B$3:$B$250,"*"&amp;$D191&amp;"*",'2024 AC'!N$3:N$250)</f>
        <v>930</v>
      </c>
      <c r="Q191" s="92">
        <f t="shared" si="368"/>
        <v>10628</v>
      </c>
      <c r="R191" s="93">
        <f t="shared" si="369"/>
        <v>2300</v>
      </c>
      <c r="S191" s="93">
        <f t="shared" si="370"/>
        <v>2148</v>
      </c>
      <c r="T191" s="93">
        <f t="shared" si="371"/>
        <v>5250</v>
      </c>
      <c r="U191" s="93">
        <f t="shared" si="372"/>
        <v>930</v>
      </c>
      <c r="V191" s="92">
        <f t="shared" si="373"/>
        <v>10628</v>
      </c>
    </row>
    <row r="192" ht="15" customHeight="1" outlineLevel="1">
      <c r="A192" t="s">
        <v>485</v>
      </c>
      <c r="B192" t="s">
        <v>486</v>
      </c>
      <c r="C192" s="34" t="s">
        <v>487</v>
      </c>
      <c r="D192" s="35" t="s">
        <v>488</v>
      </c>
      <c r="E192" s="63">
        <f>SUMIF('2024 AC'!$B$3:$B$250,"*"&amp;$D192&amp;"*",'2024 AC'!C$3:C$250)</f>
        <v>331</v>
      </c>
      <c r="F192" s="53">
        <f>SUMIF('2024 AC'!$B$3:$B$250,"*"&amp;$D192&amp;"*",'2024 AC'!D$3:D$250)</f>
        <v>331</v>
      </c>
      <c r="G192" s="53">
        <f>SUMIF('2024 AC'!$B$3:$B$250,"*"&amp;$D192&amp;"*",'2024 AC'!E$3:E$250)</f>
        <v>0</v>
      </c>
      <c r="H192" s="53">
        <f>SUMIF('2024 AC'!$B$3:$B$250,"*"&amp;$D192&amp;"*",'2024 AC'!F$3:F$250)</f>
        <v>662</v>
      </c>
      <c r="I192" s="53">
        <f>SUMIF('2024 AC'!$B$3:$B$250,"*"&amp;$D192&amp;"*",'2024 AC'!G$3:G$250)</f>
        <v>331</v>
      </c>
      <c r="J192" s="53">
        <f>SUMIF('2024 AC'!$B$3:$B$250,"*"&amp;$D192&amp;"*",'2024 AC'!H$3:H$250)</f>
        <v>331</v>
      </c>
      <c r="K192" s="53">
        <f>SUMIF('2024 AC'!$B$3:$B$250,"*"&amp;$D192&amp;"*",'2024 AC'!I$3:I$250)</f>
        <v>15331</v>
      </c>
      <c r="L192" s="53">
        <f>SUMIF('2024 AC'!$B$3:$B$250,"*"&amp;$D192&amp;"*",'2024 AC'!J$3:J$250)</f>
        <v>7931</v>
      </c>
      <c r="M192" s="53">
        <f>SUMIF('2024 AC'!$B$3:$B$250,"*"&amp;$D192&amp;"*",'2024 AC'!K$3:K$250)</f>
        <v>331</v>
      </c>
      <c r="N192" s="53">
        <f>SUMIF('2024 AC'!$B$3:$B$250,"*"&amp;$D192&amp;"*",'2024 AC'!L$3:L$250)</f>
        <v>331</v>
      </c>
      <c r="O192" s="53">
        <f>SUMIF('2024 AC'!$B$3:$B$250,"*"&amp;$D192&amp;"*",'2024 AC'!M$3:M$250)</f>
        <v>6381</v>
      </c>
      <c r="P192" s="93">
        <f>SUMIF('2024 AC'!$B$3:$B$250,"*"&amp;$D192&amp;"*",'2024 AC'!N$3:N$250)</f>
        <v>331</v>
      </c>
      <c r="Q192" s="92">
        <f t="shared" si="368"/>
        <v>32622</v>
      </c>
      <c r="R192" s="93">
        <f t="shared" si="369"/>
        <v>662</v>
      </c>
      <c r="S192" s="93">
        <f t="shared" si="370"/>
        <v>1324</v>
      </c>
      <c r="T192" s="93">
        <f t="shared" si="371"/>
        <v>23593</v>
      </c>
      <c r="U192" s="93">
        <f t="shared" si="372"/>
        <v>7043</v>
      </c>
      <c r="V192" s="92">
        <f t="shared" si="373"/>
        <v>32622</v>
      </c>
    </row>
    <row r="193" ht="15" customHeight="1" outlineLevel="1">
      <c r="A193" t="s">
        <v>489</v>
      </c>
      <c r="B193" t="s">
        <v>490</v>
      </c>
      <c r="C193" s="34" t="s">
        <v>491</v>
      </c>
      <c r="D193" s="35" t="s">
        <v>440</v>
      </c>
      <c r="E193" s="63">
        <f>SUMIF('2024 AC'!$B$3:$B$250,"*"&amp;$D193&amp;"*",'2024 AC'!C$3:C$250)</f>
        <v>1475</v>
      </c>
      <c r="F193" s="53">
        <f>SUMIF('2024 AC'!$B$3:$B$250,"*"&amp;$D193&amp;"*",'2024 AC'!D$3:D$250)</f>
        <v>0</v>
      </c>
      <c r="G193" s="53">
        <f>SUMIF('2024 AC'!$B$3:$B$250,"*"&amp;$D193&amp;"*",'2024 AC'!E$3:E$250)</f>
        <v>280</v>
      </c>
      <c r="H193" s="53">
        <f>SUMIF('2024 AC'!$B$3:$B$250,"*"&amp;$D193&amp;"*",'2024 AC'!F$3:F$250)</f>
        <v>1455</v>
      </c>
      <c r="I193" s="53">
        <f>SUMIF('2024 AC'!$B$3:$B$250,"*"&amp;$D193&amp;"*",'2024 AC'!G$3:G$250)</f>
        <v>0</v>
      </c>
      <c r="J193" s="53">
        <f>SUMIF('2024 AC'!$B$3:$B$250,"*"&amp;$D193&amp;"*",'2024 AC'!H$3:H$250)</f>
        <v>3600</v>
      </c>
      <c r="K193" s="53">
        <f>SUMIF('2024 AC'!$B$3:$B$250,"*"&amp;$D193&amp;"*",'2024 AC'!I$3:I$250)</f>
        <v>0</v>
      </c>
      <c r="L193" s="53">
        <f>SUMIF('2024 AC'!$B$3:$B$250,"*"&amp;$D193&amp;"*",'2024 AC'!J$3:J$250)</f>
        <v>5350</v>
      </c>
      <c r="M193" s="53">
        <f>SUMIF('2024 AC'!$B$3:$B$250,"*"&amp;$D193&amp;"*",'2024 AC'!K$3:K$250)</f>
        <v>750</v>
      </c>
      <c r="N193" s="53">
        <f>SUMIF('2024 AC'!$B$3:$B$250,"*"&amp;$D193&amp;"*",'2024 AC'!L$3:L$250)</f>
        <v>1300</v>
      </c>
      <c r="O193" s="53">
        <f>SUMIF('2024 AC'!$B$3:$B$250,"*"&amp;$D193&amp;"*",'2024 AC'!M$3:M$250)</f>
        <v>1125</v>
      </c>
      <c r="P193" s="93">
        <f>SUMIF('2024 AC'!$B$3:$B$250,"*"&amp;$D193&amp;"*",'2024 AC'!N$3:N$250)</f>
        <v>0</v>
      </c>
      <c r="Q193" s="92">
        <f t="shared" si="368"/>
        <v>15335</v>
      </c>
      <c r="R193" s="93">
        <f t="shared" si="369"/>
        <v>1755</v>
      </c>
      <c r="S193" s="93">
        <f t="shared" si="370"/>
        <v>5055</v>
      </c>
      <c r="T193" s="93">
        <f t="shared" si="371"/>
        <v>6100</v>
      </c>
      <c r="U193" s="93">
        <f t="shared" si="372"/>
        <v>2425</v>
      </c>
      <c r="V193" s="92">
        <f t="shared" si="373"/>
        <v>15335</v>
      </c>
    </row>
    <row r="194" ht="15" customHeight="1" outlineLevel="1">
      <c r="A194" t="s">
        <v>492</v>
      </c>
      <c r="B194" t="s">
        <v>493</v>
      </c>
      <c r="C194" s="34" t="s">
        <v>494</v>
      </c>
      <c r="D194" s="35" t="s">
        <v>444</v>
      </c>
      <c r="E194" s="63">
        <f>SUMIF('2024 AC'!$B$3:$B$250,"*"&amp;$D194&amp;"*",'2024 AC'!C$3:C$250)</f>
        <v>330</v>
      </c>
      <c r="F194" s="53">
        <f>SUMIF('2024 AC'!$B$3:$B$250,"*"&amp;$D194&amp;"*",'2024 AC'!D$3:D$250)</f>
        <v>0</v>
      </c>
      <c r="G194" s="53">
        <f>SUMIF('2024 AC'!$B$3:$B$250,"*"&amp;$D194&amp;"*",'2024 AC'!E$3:E$250)</f>
        <v>1552</v>
      </c>
      <c r="H194" s="53">
        <f>SUMIF('2024 AC'!$B$3:$B$250,"*"&amp;$D194&amp;"*",'2024 AC'!F$3:F$250)</f>
        <v>647</v>
      </c>
      <c r="I194" s="53">
        <f>SUMIF('2024 AC'!$B$3:$B$250,"*"&amp;$D194&amp;"*",'2024 AC'!G$3:G$250)</f>
        <v>0</v>
      </c>
      <c r="J194" s="53">
        <f>SUMIF('2024 AC'!$B$3:$B$250,"*"&amp;$D194&amp;"*",'2024 AC'!H$3:H$250)</f>
        <v>0</v>
      </c>
      <c r="K194" s="53">
        <f>SUMIF('2024 AC'!$B$3:$B$250,"*"&amp;$D194&amp;"*",'2024 AC'!I$3:I$250)</f>
        <v>88</v>
      </c>
      <c r="L194" s="53">
        <f>SUMIF('2024 AC'!$B$3:$B$250,"*"&amp;$D194&amp;"*",'2024 AC'!J$3:J$250)</f>
        <v>220</v>
      </c>
      <c r="M194" s="53">
        <f>SUMIF('2024 AC'!$B$3:$B$250,"*"&amp;$D194&amp;"*",'2024 AC'!K$3:K$250)</f>
        <v>75</v>
      </c>
      <c r="N194" s="53">
        <f>SUMIF('2024 AC'!$B$3:$B$250,"*"&amp;$D194&amp;"*",'2024 AC'!L$3:L$250)</f>
        <v>0</v>
      </c>
      <c r="O194" s="53">
        <f>SUMIF('2024 AC'!$B$3:$B$250,"*"&amp;$D194&amp;"*",'2024 AC'!M$3:M$250)</f>
        <v>0</v>
      </c>
      <c r="P194" s="93">
        <f>SUMIF('2024 AC'!$B$3:$B$250,"*"&amp;$D194&amp;"*",'2024 AC'!N$3:N$250)</f>
        <v>0</v>
      </c>
      <c r="Q194" s="92">
        <f t="shared" si="368"/>
        <v>2912</v>
      </c>
      <c r="R194" s="93">
        <f t="shared" si="369"/>
        <v>1882</v>
      </c>
      <c r="S194" s="93">
        <f t="shared" si="370"/>
        <v>647</v>
      </c>
      <c r="T194" s="93">
        <f t="shared" si="371"/>
        <v>383</v>
      </c>
      <c r="U194" s="93">
        <f t="shared" si="372"/>
        <v>0</v>
      </c>
      <c r="V194" s="92">
        <f t="shared" si="373"/>
        <v>2912</v>
      </c>
    </row>
    <row r="195" ht="15" customHeight="1" outlineLevel="1">
      <c r="A195" t="s">
        <v>495</v>
      </c>
      <c r="B195" t="s">
        <v>496</v>
      </c>
      <c r="C195" s="34" t="s">
        <v>497</v>
      </c>
      <c r="D195" s="35" t="s">
        <v>447</v>
      </c>
      <c r="E195" s="63">
        <f>SUMIF('2024 AC'!$B$3:$B$250,"*"&amp;$D195&amp;"*",'2024 AC'!C$3:C$250)</f>
        <v>3120</v>
      </c>
      <c r="F195" s="53">
        <f>SUMIF('2024 AC'!$B$3:$B$250,"*"&amp;$D195&amp;"*",'2024 AC'!D$3:D$250)</f>
        <v>0</v>
      </c>
      <c r="G195" s="53">
        <f>SUMIF('2024 AC'!$B$3:$B$250,"*"&amp;$D195&amp;"*",'2024 AC'!E$3:E$250)</f>
        <v>1720</v>
      </c>
      <c r="H195" s="53">
        <f>SUMIF('2024 AC'!$B$3:$B$250,"*"&amp;$D195&amp;"*",'2024 AC'!F$3:F$250)</f>
        <v>1740</v>
      </c>
      <c r="I195" s="53">
        <f>SUMIF('2024 AC'!$B$3:$B$250,"*"&amp;$D195&amp;"*",'2024 AC'!G$3:G$250)</f>
        <v>1500</v>
      </c>
      <c r="J195" s="53">
        <f>SUMIF('2024 AC'!$B$3:$B$250,"*"&amp;$D195&amp;"*",'2024 AC'!H$3:H$250)</f>
        <v>0</v>
      </c>
      <c r="K195" s="53">
        <f>SUMIF('2024 AC'!$B$3:$B$250,"*"&amp;$D195&amp;"*",'2024 AC'!I$3:I$250)</f>
        <v>300</v>
      </c>
      <c r="L195" s="53">
        <f>SUMIF('2024 AC'!$B$3:$B$250,"*"&amp;$D195&amp;"*",'2024 AC'!J$3:J$250)</f>
        <v>1480</v>
      </c>
      <c r="M195" s="53">
        <f>SUMIF('2024 AC'!$B$3:$B$250,"*"&amp;$D195&amp;"*",'2024 AC'!K$3:K$250)</f>
        <v>1500</v>
      </c>
      <c r="N195" s="53">
        <f>SUMIF('2024 AC'!$B$3:$B$250,"*"&amp;$D195&amp;"*",'2024 AC'!L$3:L$250)</f>
        <v>18610</v>
      </c>
      <c r="O195" s="53">
        <f>SUMIF('2024 AC'!$B$3:$B$250,"*"&amp;$D195&amp;"*",'2024 AC'!M$3:M$250)</f>
        <v>2270</v>
      </c>
      <c r="P195" s="93">
        <f>SUMIF('2024 AC'!$B$3:$B$250,"*"&amp;$D195&amp;"*",'2024 AC'!N$3:N$250)</f>
        <v>0</v>
      </c>
      <c r="Q195" s="92">
        <f t="shared" si="368"/>
        <v>32240</v>
      </c>
      <c r="R195" s="93">
        <f t="shared" si="369"/>
        <v>4840</v>
      </c>
      <c r="S195" s="93">
        <f t="shared" si="370"/>
        <v>3240</v>
      </c>
      <c r="T195" s="93">
        <f t="shared" si="371"/>
        <v>3280</v>
      </c>
      <c r="U195" s="93">
        <f t="shared" si="372"/>
        <v>20880</v>
      </c>
      <c r="V195" s="92">
        <f t="shared" si="373"/>
        <v>32240</v>
      </c>
    </row>
    <row r="196" ht="15" customHeight="1" outlineLevel="1">
      <c r="A196" t="s">
        <v>498</v>
      </c>
      <c r="B196" t="s">
        <v>499</v>
      </c>
      <c r="C196" s="34" t="s">
        <v>500</v>
      </c>
      <c r="D196" s="35" t="s">
        <v>450</v>
      </c>
      <c r="E196" s="63">
        <f>SUMIF('2024 AC'!$B$3:$B$250,"*"&amp;$D196&amp;"*",'2024 AC'!C$3:C$250)</f>
        <v>0</v>
      </c>
      <c r="F196" s="53">
        <f>SUMIF('2024 AC'!$B$3:$B$250,"*"&amp;$D196&amp;"*",'2024 AC'!D$3:D$250)</f>
        <v>0</v>
      </c>
      <c r="G196" s="53">
        <f>SUMIF('2024 AC'!$B$3:$B$250,"*"&amp;$D196&amp;"*",'2024 AC'!E$3:E$250)</f>
        <v>0</v>
      </c>
      <c r="H196" s="53">
        <f>SUMIF('2024 AC'!$B$3:$B$250,"*"&amp;$D196&amp;"*",'2024 AC'!F$3:F$250)</f>
        <v>0</v>
      </c>
      <c r="I196" s="53">
        <f>SUMIF('2024 AC'!$B$3:$B$250,"*"&amp;$D196&amp;"*",'2024 AC'!G$3:G$250)</f>
        <v>0</v>
      </c>
      <c r="J196" s="53">
        <f>SUMIF('2024 AC'!$B$3:$B$250,"*"&amp;$D196&amp;"*",'2024 AC'!H$3:H$250)</f>
        <v>0</v>
      </c>
      <c r="K196" s="53">
        <f>SUMIF('2024 AC'!$B$3:$B$250,"*"&amp;$D196&amp;"*",'2024 AC'!I$3:I$250)</f>
        <v>0</v>
      </c>
      <c r="L196" s="53">
        <f>SUMIF('2024 AC'!$B$3:$B$250,"*"&amp;$D196&amp;"*",'2024 AC'!J$3:J$250)</f>
        <v>0</v>
      </c>
      <c r="M196" s="53">
        <f>SUMIF('2024 AC'!$B$3:$B$250,"*"&amp;$D196&amp;"*",'2024 AC'!K$3:K$250)</f>
        <v>0</v>
      </c>
      <c r="N196" s="53">
        <f>SUMIF('2024 AC'!$B$3:$B$250,"*"&amp;$D196&amp;"*",'2024 AC'!L$3:L$250)</f>
        <v>190</v>
      </c>
      <c r="O196" s="53">
        <f>SUMIF('2024 AC'!$B$3:$B$250,"*"&amp;$D196&amp;"*",'2024 AC'!M$3:M$250)</f>
        <v>0</v>
      </c>
      <c r="P196" s="93">
        <f>SUMIF('2024 AC'!$B$3:$B$250,"*"&amp;$D196&amp;"*",'2024 AC'!N$3:N$250)</f>
        <v>4330</v>
      </c>
      <c r="Q196" s="92">
        <f t="shared" si="368"/>
        <v>4520</v>
      </c>
      <c r="R196" s="93">
        <f t="shared" si="369"/>
        <v>0</v>
      </c>
      <c r="S196" s="93">
        <f t="shared" si="370"/>
        <v>0</v>
      </c>
      <c r="T196" s="93">
        <f t="shared" si="371"/>
        <v>0</v>
      </c>
      <c r="U196" s="93">
        <f t="shared" si="372"/>
        <v>4520</v>
      </c>
      <c r="V196" s="92">
        <f t="shared" si="373"/>
        <v>4520</v>
      </c>
    </row>
    <row r="197" ht="15" customHeight="1" outlineLevel="1">
      <c r="A197" t="s">
        <v>501</v>
      </c>
      <c r="B197" t="s">
        <v>502</v>
      </c>
      <c r="C197" s="34" t="s">
        <v>503</v>
      </c>
      <c r="D197" s="35" t="s">
        <v>456</v>
      </c>
      <c r="E197" s="63">
        <f>SUMIF('2024 AC'!$B$3:$B$250,"*"&amp;$D197&amp;"*",'2024 AC'!C$3:C$250)</f>
        <v>0</v>
      </c>
      <c r="F197" s="53">
        <f>SUMIF('2024 AC'!$B$3:$B$250,"*"&amp;$D197&amp;"*",'2024 AC'!D$3:D$250)</f>
        <v>0</v>
      </c>
      <c r="G197" s="53">
        <f>SUMIF('2024 AC'!$B$3:$B$250,"*"&amp;$D197&amp;"*",'2024 AC'!E$3:E$250)</f>
        <v>0</v>
      </c>
      <c r="H197" s="53">
        <f>SUMIF('2024 AC'!$B$3:$B$250,"*"&amp;$D197&amp;"*",'2024 AC'!F$3:F$250)</f>
        <v>0</v>
      </c>
      <c r="I197" s="53">
        <f>SUMIF('2024 AC'!$B$3:$B$250,"*"&amp;$D197&amp;"*",'2024 AC'!G$3:G$250)</f>
        <v>0</v>
      </c>
      <c r="J197" s="53">
        <f>SUMIF('2024 AC'!$B$3:$B$250,"*"&amp;$D197&amp;"*",'2024 AC'!H$3:H$250)</f>
        <v>0</v>
      </c>
      <c r="K197" s="53">
        <f>SUMIF('2024 AC'!$B$3:$B$250,"*"&amp;$D197&amp;"*",'2024 AC'!I$3:I$250)</f>
        <v>0</v>
      </c>
      <c r="L197" s="53">
        <f>SUMIF('2024 AC'!$B$3:$B$250,"*"&amp;$D197&amp;"*",'2024 AC'!J$3:J$250)</f>
        <v>0</v>
      </c>
      <c r="M197" s="53">
        <f>SUMIF('2024 AC'!$B$3:$B$250,"*"&amp;$D197&amp;"*",'2024 AC'!K$3:K$250)</f>
        <v>0</v>
      </c>
      <c r="N197" s="53">
        <f>SUMIF('2024 AC'!$B$3:$B$250,"*"&amp;$D197&amp;"*",'2024 AC'!L$3:L$250)</f>
        <v>0</v>
      </c>
      <c r="O197" s="53">
        <f>SUMIF('2024 AC'!$B$3:$B$250,"*"&amp;$D197&amp;"*",'2024 AC'!M$3:M$250)</f>
        <v>2380</v>
      </c>
      <c r="P197" s="93">
        <f>SUMIF('2024 AC'!$B$3:$B$250,"*"&amp;$D197&amp;"*",'2024 AC'!N$3:N$250)</f>
        <v>0</v>
      </c>
      <c r="Q197" s="92">
        <f t="shared" si="368"/>
        <v>2380</v>
      </c>
      <c r="R197" s="93">
        <f t="shared" si="369"/>
        <v>0</v>
      </c>
      <c r="S197" s="93">
        <f t="shared" si="370"/>
        <v>0</v>
      </c>
      <c r="T197" s="93">
        <f t="shared" si="371"/>
        <v>0</v>
      </c>
      <c r="U197" s="93">
        <f t="shared" si="372"/>
        <v>2380</v>
      </c>
      <c r="V197" s="92">
        <f t="shared" si="373"/>
        <v>2380</v>
      </c>
    </row>
    <row r="198" ht="15" customHeight="1" outlineLevel="1">
      <c r="A198" t="s">
        <v>504</v>
      </c>
      <c r="B198" t="s">
        <v>505</v>
      </c>
      <c r="C198" s="34" t="s">
        <v>506</v>
      </c>
      <c r="D198" s="35" t="s">
        <v>459</v>
      </c>
      <c r="E198" s="63">
        <f>SUMIF('2024 AC'!$B$3:$B$250,"*"&amp;$D198&amp;"*",'2024 AC'!C$3:C$250)</f>
        <v>24842.16</v>
      </c>
      <c r="F198" s="53">
        <f>SUMIF('2024 AC'!$B$3:$B$250,"*"&amp;$D198&amp;"*",'2024 AC'!D$3:D$250)</f>
        <v>23239.439999999999</v>
      </c>
      <c r="G198" s="53">
        <f>SUMIF('2024 AC'!$B$3:$B$250,"*"&amp;$D198&amp;"*",'2024 AC'!E$3:E$250)</f>
        <v>25310.880000000001</v>
      </c>
      <c r="H198" s="53">
        <f>SUMIF('2024 AC'!$B$3:$B$250,"*"&amp;$D198&amp;"*",'2024 AC'!F$3:F$250)</f>
        <v>24494.400000000001</v>
      </c>
      <c r="I198" s="53">
        <f>SUMIF('2024 AC'!$B$3:$B$250,"*"&amp;$D198&amp;"*",'2024 AC'!G$3:G$250)</f>
        <v>25310.880000000001</v>
      </c>
      <c r="J198" s="53">
        <f>SUMIF('2024 AC'!$B$3:$B$250,"*"&amp;$D198&amp;"*",'2024 AC'!H$3:H$250)</f>
        <v>24494.400000000001</v>
      </c>
      <c r="K198" s="53">
        <f>SUMIF('2024 AC'!$B$3:$B$250,"*"&amp;$D198&amp;"*",'2024 AC'!I$3:I$250)</f>
        <v>24494.400000000001</v>
      </c>
      <c r="L198" s="53">
        <f>SUMIF('2024 AC'!$B$3:$B$250,"*"&amp;$D198&amp;"*",'2024 AC'!J$3:J$250)</f>
        <v>25310.880000000001</v>
      </c>
      <c r="M198" s="53">
        <f>SUMIF('2024 AC'!$B$3:$B$250,"*"&amp;$D198&amp;"*",'2024 AC'!K$3:K$250)</f>
        <v>24494.400000000001</v>
      </c>
      <c r="N198" s="53">
        <f>SUMIF('2024 AC'!$B$3:$B$250,"*"&amp;$D198&amp;"*",'2024 AC'!L$3:L$250)</f>
        <v>25310.880000000001</v>
      </c>
      <c r="O198" s="53">
        <f>SUMIF('2024 AC'!$B$3:$B$250,"*"&amp;$D198&amp;"*",'2024 AC'!M$3:M$250)</f>
        <v>24494.400000000001</v>
      </c>
      <c r="P198" s="93">
        <f>SUMIF('2024 AC'!$B$3:$B$250,"*"&amp;$D198&amp;"*",'2024 AC'!N$3:N$250)</f>
        <v>24377.759999999998</v>
      </c>
      <c r="Q198" s="92">
        <f t="shared" si="368"/>
        <v>296174.88</v>
      </c>
      <c r="R198" s="93">
        <f t="shared" si="369"/>
        <v>73392.479999999996</v>
      </c>
      <c r="S198" s="93">
        <f t="shared" si="370"/>
        <v>74299.679999999993</v>
      </c>
      <c r="T198" s="93">
        <f t="shared" si="371"/>
        <v>74299.679999999993</v>
      </c>
      <c r="U198" s="93">
        <f t="shared" si="372"/>
        <v>74183.039999999994</v>
      </c>
      <c r="V198" s="92">
        <f t="shared" si="373"/>
        <v>296174.87999999995</v>
      </c>
    </row>
    <row r="199" ht="15" customHeight="1" outlineLevel="1">
      <c r="A199" t="s">
        <v>507</v>
      </c>
      <c r="B199" t="s">
        <v>508</v>
      </c>
      <c r="C199" s="34" t="s">
        <v>509</v>
      </c>
      <c r="D199" s="35" t="s">
        <v>463</v>
      </c>
      <c r="E199" s="63">
        <f>SUMIF('2024 AC'!$B$3:$B$250,"*"&amp;$D199&amp;"*",'2024 AC'!C$3:C$250)</f>
        <v>0</v>
      </c>
      <c r="F199" s="53">
        <f>SUMIF('2024 AC'!$B$3:$B$250,"*"&amp;$D199&amp;"*",'2024 AC'!D$3:D$250)</f>
        <v>0</v>
      </c>
      <c r="G199" s="53">
        <f>SUMIF('2024 AC'!$B$3:$B$250,"*"&amp;$D199&amp;"*",'2024 AC'!E$3:E$250)</f>
        <v>0</v>
      </c>
      <c r="H199" s="53">
        <f>SUMIF('2024 AC'!$B$3:$B$250,"*"&amp;$D199&amp;"*",'2024 AC'!F$3:F$250)</f>
        <v>0</v>
      </c>
      <c r="I199" s="53">
        <f>SUMIF('2024 AC'!$B$3:$B$250,"*"&amp;$D199&amp;"*",'2024 AC'!G$3:G$250)</f>
        <v>0</v>
      </c>
      <c r="J199" s="53">
        <f>SUMIF('2024 AC'!$B$3:$B$250,"*"&amp;$D199&amp;"*",'2024 AC'!H$3:H$250)</f>
        <v>0</v>
      </c>
      <c r="K199" s="53">
        <f>SUMIF('2024 AC'!$B$3:$B$250,"*"&amp;$D199&amp;"*",'2024 AC'!I$3:I$250)</f>
        <v>0</v>
      </c>
      <c r="L199" s="53">
        <f>SUMIF('2024 AC'!$B$3:$B$250,"*"&amp;$D199&amp;"*",'2024 AC'!J$3:J$250)</f>
        <v>30</v>
      </c>
      <c r="M199" s="53">
        <f>SUMIF('2024 AC'!$B$3:$B$250,"*"&amp;$D199&amp;"*",'2024 AC'!K$3:K$250)</f>
        <v>0</v>
      </c>
      <c r="N199" s="53">
        <f>SUMIF('2024 AC'!$B$3:$B$250,"*"&amp;$D199&amp;"*",'2024 AC'!L$3:L$250)</f>
        <v>17</v>
      </c>
      <c r="O199" s="53">
        <f>SUMIF('2024 AC'!$B$3:$B$250,"*"&amp;$D199&amp;"*",'2024 AC'!M$3:M$250)</f>
        <v>100</v>
      </c>
      <c r="P199" s="93">
        <f>SUMIF('2024 AC'!$B$3:$B$250,"*"&amp;$D199&amp;"*",'2024 AC'!N$3:N$250)</f>
        <v>0</v>
      </c>
      <c r="Q199" s="92">
        <f t="shared" si="368"/>
        <v>147</v>
      </c>
      <c r="R199" s="93">
        <f t="shared" si="369"/>
        <v>0</v>
      </c>
      <c r="S199" s="93">
        <f t="shared" si="370"/>
        <v>0</v>
      </c>
      <c r="T199" s="93">
        <f t="shared" si="371"/>
        <v>30</v>
      </c>
      <c r="U199" s="93">
        <f t="shared" si="372"/>
        <v>117</v>
      </c>
      <c r="V199" s="92">
        <f t="shared" si="373"/>
        <v>147</v>
      </c>
    </row>
    <row r="200" outlineLevel="1">
      <c r="A200" t="s">
        <v>510</v>
      </c>
      <c r="B200" t="s">
        <v>511</v>
      </c>
      <c r="C200" s="34" t="s">
        <v>512</v>
      </c>
      <c r="D200" s="35" t="s">
        <v>467</v>
      </c>
      <c r="E200" s="63">
        <f>SUMIF('2024 AC'!$B$3:$B$250,"*"&amp;$D200&amp;"*",'2024 AC'!C$3:C$250)</f>
        <v>0</v>
      </c>
      <c r="F200" s="53">
        <f>SUMIF('2024 AC'!$B$3:$B$250,"*"&amp;$D200&amp;"*",'2024 AC'!D$3:D$250)</f>
        <v>0</v>
      </c>
      <c r="G200" s="53">
        <f>SUMIF('2024 AC'!$B$3:$B$250,"*"&amp;$D200&amp;"*",'2024 AC'!E$3:E$250)</f>
        <v>0</v>
      </c>
      <c r="H200" s="53">
        <f>SUMIF('2024 AC'!$B$3:$B$250,"*"&amp;$D200&amp;"*",'2024 AC'!F$3:F$250)</f>
        <v>0</v>
      </c>
      <c r="I200" s="53">
        <f>SUMIF('2024 AC'!$B$3:$B$250,"*"&amp;$D200&amp;"*",'2024 AC'!G$3:G$250)</f>
        <v>0</v>
      </c>
      <c r="J200" s="53">
        <f>SUMIF('2024 AC'!$B$3:$B$250,"*"&amp;$D200&amp;"*",'2024 AC'!H$3:H$250)</f>
        <v>0</v>
      </c>
      <c r="K200" s="53">
        <f>SUMIF('2024 AC'!$B$3:$B$250,"*"&amp;$D200&amp;"*",'2024 AC'!I$3:I$250)</f>
        <v>0</v>
      </c>
      <c r="L200" s="53">
        <f>SUMIF('2024 AC'!$B$3:$B$250,"*"&amp;$D200&amp;"*",'2024 AC'!J$3:J$250)</f>
        <v>0</v>
      </c>
      <c r="M200" s="53">
        <f>SUMIF('2024 AC'!$B$3:$B$250,"*"&amp;$D200&amp;"*",'2024 AC'!K$3:K$250)</f>
        <v>0</v>
      </c>
      <c r="N200" s="53">
        <f>SUMIF('2024 AC'!$B$3:$B$250,"*"&amp;$D200&amp;"*",'2024 AC'!L$3:L$250)</f>
        <v>0</v>
      </c>
      <c r="O200" s="53">
        <f>SUMIF('2024 AC'!$B$3:$B$250,"*"&amp;$D200&amp;"*",'2024 AC'!M$3:M$250)</f>
        <v>0</v>
      </c>
      <c r="P200" s="93">
        <f>SUMIF('2024 AC'!$B$3:$B$250,"*"&amp;$D200&amp;"*",'2024 AC'!N$3:N$250)</f>
        <v>0</v>
      </c>
      <c r="Q200" s="92">
        <f t="shared" si="368"/>
        <v>0</v>
      </c>
      <c r="R200" s="93">
        <f t="shared" si="369"/>
        <v>0</v>
      </c>
      <c r="S200" s="93">
        <f t="shared" si="370"/>
        <v>0</v>
      </c>
      <c r="T200" s="93">
        <f t="shared" si="371"/>
        <v>0</v>
      </c>
      <c r="U200" s="93">
        <f t="shared" si="372"/>
        <v>0</v>
      </c>
      <c r="V200" s="92">
        <f t="shared" si="373"/>
        <v>0</v>
      </c>
    </row>
    <row r="201" ht="15" customHeight="1" outlineLevel="1">
      <c r="A201" t="s">
        <v>513</v>
      </c>
      <c r="B201" t="s">
        <v>514</v>
      </c>
      <c r="C201" s="34" t="s">
        <v>515</v>
      </c>
      <c r="D201" s="35" t="s">
        <v>470</v>
      </c>
      <c r="E201" s="63">
        <f>SUMIF('2024 AC'!$B$3:$B$250,"*"&amp;$D201&amp;"*",'2024 AC'!C$3:C$250)</f>
        <v>171</v>
      </c>
      <c r="F201" s="53">
        <f>SUMIF('2024 AC'!$B$3:$B$250,"*"&amp;$D201&amp;"*",'2024 AC'!D$3:D$250)</f>
        <v>230.02000000000001</v>
      </c>
      <c r="G201" s="53">
        <f>SUMIF('2024 AC'!$B$3:$B$250,"*"&amp;$D201&amp;"*",'2024 AC'!E$3:E$250)</f>
        <v>441</v>
      </c>
      <c r="H201" s="53">
        <f>SUMIF('2024 AC'!$B$3:$B$250,"*"&amp;$D201&amp;"*",'2024 AC'!F$3:F$250)</f>
        <v>314.69999999999999</v>
      </c>
      <c r="I201" s="53">
        <f>SUMIF('2024 AC'!$B$3:$B$250,"*"&amp;$D201&amp;"*",'2024 AC'!G$3:G$250)</f>
        <v>384.30000000000001</v>
      </c>
      <c r="J201" s="53">
        <f>SUMIF('2024 AC'!$B$3:$B$250,"*"&amp;$D201&amp;"*",'2024 AC'!H$3:H$250)</f>
        <v>297</v>
      </c>
      <c r="K201" s="53">
        <f>SUMIF('2024 AC'!$B$3:$B$250,"*"&amp;$D201&amp;"*",'2024 AC'!I$3:I$250)</f>
        <v>393.80000000000001</v>
      </c>
      <c r="L201" s="53">
        <f>SUMIF('2024 AC'!$B$3:$B$250,"*"&amp;$D201&amp;"*",'2024 AC'!J$3:J$250)</f>
        <v>200</v>
      </c>
      <c r="M201" s="53">
        <f>SUMIF('2024 AC'!$B$3:$B$250,"*"&amp;$D201&amp;"*",'2024 AC'!K$3:K$250)</f>
        <v>0</v>
      </c>
      <c r="N201" s="53">
        <f>SUMIF('2024 AC'!$B$3:$B$250,"*"&amp;$D201&amp;"*",'2024 AC'!L$3:L$250)</f>
        <v>0</v>
      </c>
      <c r="O201" s="53">
        <f>SUMIF('2024 AC'!$B$3:$B$250,"*"&amp;$D201&amp;"*",'2024 AC'!M$3:M$250)</f>
        <v>100</v>
      </c>
      <c r="P201" s="93">
        <f>SUMIF('2024 AC'!$B$3:$B$250,"*"&amp;$D201&amp;"*",'2024 AC'!N$3:N$250)</f>
        <v>0</v>
      </c>
      <c r="Q201" s="92">
        <f t="shared" si="368"/>
        <v>2531.8200000000002</v>
      </c>
      <c r="R201" s="93">
        <f t="shared" si="369"/>
        <v>842.01999999999998</v>
      </c>
      <c r="S201" s="93">
        <f t="shared" si="370"/>
        <v>996</v>
      </c>
      <c r="T201" s="93">
        <f t="shared" si="371"/>
        <v>593.79999999999995</v>
      </c>
      <c r="U201" s="93">
        <f t="shared" si="372"/>
        <v>100</v>
      </c>
      <c r="V201" s="92">
        <f t="shared" si="373"/>
        <v>2531.8199999999997</v>
      </c>
    </row>
    <row r="202" ht="15" customHeight="1" outlineLevel="1">
      <c r="A202" t="s">
        <v>516</v>
      </c>
      <c r="B202" t="s">
        <v>517</v>
      </c>
      <c r="C202" s="34" t="s">
        <v>518</v>
      </c>
      <c r="D202" s="35" t="s">
        <v>477</v>
      </c>
      <c r="E202" s="63">
        <f>SUMIF('2024 AC'!$B$3:$B$250,"*"&amp;$D202&amp;"*",'2024 AC'!C$3:C$250)</f>
        <v>69025.75</v>
      </c>
      <c r="F202" s="53">
        <f>SUMIF('2024 AC'!$B$3:$B$250,"*"&amp;$D202&amp;"*",'2024 AC'!D$3:D$250)</f>
        <v>60818.900000000001</v>
      </c>
      <c r="G202" s="53">
        <f>SUMIF('2024 AC'!$B$3:$B$250,"*"&amp;$D202&amp;"*",'2024 AC'!E$3:E$250)</f>
        <v>63440</v>
      </c>
      <c r="H202" s="53">
        <f>SUMIF('2024 AC'!$B$3:$B$250,"*"&amp;$D202&amp;"*",'2024 AC'!F$3:F$250)</f>
        <v>63811.25</v>
      </c>
      <c r="I202" s="53">
        <f>SUMIF('2024 AC'!$B$3:$B$250,"*"&amp;$D202&amp;"*",'2024 AC'!G$3:G$250)</f>
        <v>61278.849999999999</v>
      </c>
      <c r="J202" s="53">
        <f>SUMIF('2024 AC'!$B$3:$B$250,"*"&amp;$D202&amp;"*",'2024 AC'!H$3:H$250)</f>
        <v>69579.899999999994</v>
      </c>
      <c r="K202" s="53">
        <f>SUMIF('2024 AC'!$B$3:$B$250,"*"&amp;$D202&amp;"*",'2024 AC'!I$3:I$250)</f>
        <v>62586.599999999999</v>
      </c>
      <c r="L202" s="53">
        <f>SUMIF('2024 AC'!$B$3:$B$250,"*"&amp;$D202&amp;"*",'2024 AC'!J$3:J$250)</f>
        <v>68917.149999999994</v>
      </c>
      <c r="M202" s="53">
        <f>SUMIF('2024 AC'!$B$3:$B$250,"*"&amp;$D202&amp;"*",'2024 AC'!K$3:K$250)</f>
        <v>68530.800000000003</v>
      </c>
      <c r="N202" s="53">
        <f>SUMIF('2024 AC'!$B$3:$B$250,"*"&amp;$D202&amp;"*",'2024 AC'!L$3:L$250)</f>
        <v>63911</v>
      </c>
      <c r="O202" s="53">
        <f>SUMIF('2024 AC'!$B$3:$B$250,"*"&amp;$D202&amp;"*",'2024 AC'!M$3:M$250)</f>
        <v>62605.050000000003</v>
      </c>
      <c r="P202" s="93">
        <f>SUMIF('2024 AC'!$B$3:$B$250,"*"&amp;$D202&amp;"*",'2024 AC'!N$3:N$250)</f>
        <v>64471.449999999997</v>
      </c>
      <c r="Q202" s="92">
        <f t="shared" ref="Q202:Q228" si="374">SUM(E202:P202)</f>
        <v>778976.70000000007</v>
      </c>
      <c r="R202" s="93">
        <f t="shared" ref="R202:R228" si="375">SUM(E202:G202)</f>
        <v>193284.64999999999</v>
      </c>
      <c r="S202" s="93">
        <f t="shared" ref="S202:S228" si="376">SUM(H202:J202)</f>
        <v>194670</v>
      </c>
      <c r="T202" s="93">
        <f t="shared" ref="T202:T228" si="377">SUM(K202:M202)</f>
        <v>200034.54999999999</v>
      </c>
      <c r="U202" s="93">
        <f t="shared" ref="U202:U228" si="378">SUM(N202:P202)</f>
        <v>190987.5</v>
      </c>
      <c r="V202" s="92">
        <f t="shared" ref="V202:V228" si="379">SUM(R202:U202)</f>
        <v>778976.69999999995</v>
      </c>
    </row>
    <row r="203" ht="15" customHeight="1" outlineLevel="1">
      <c r="A203" t="s">
        <v>519</v>
      </c>
      <c r="B203" t="s">
        <v>520</v>
      </c>
      <c r="C203" s="34" t="s">
        <v>521</v>
      </c>
      <c r="D203" s="35" t="s">
        <v>480</v>
      </c>
      <c r="E203" s="63">
        <f>SUMIF('2024 AC'!$B$3:$B$250,"*"&amp;$D203&amp;"*",'2024 AC'!C$3:C$250)</f>
        <v>12954.799999999999</v>
      </c>
      <c r="F203" s="53">
        <f>SUMIF('2024 AC'!$B$3:$B$250,"*"&amp;$D203&amp;"*",'2024 AC'!D$3:D$250)</f>
        <v>13006.549999999999</v>
      </c>
      <c r="G203" s="53">
        <f>SUMIF('2024 AC'!$B$3:$B$250,"*"&amp;$D203&amp;"*",'2024 AC'!E$3:E$250)</f>
        <v>13763.299999999999</v>
      </c>
      <c r="H203" s="53">
        <f>SUMIF('2024 AC'!$B$3:$B$250,"*"&amp;$D203&amp;"*",'2024 AC'!F$3:F$250)</f>
        <v>13019.450000000001</v>
      </c>
      <c r="I203" s="53">
        <f>SUMIF('2024 AC'!$B$3:$B$250,"*"&amp;$D203&amp;"*",'2024 AC'!G$3:G$250)</f>
        <v>13307.6</v>
      </c>
      <c r="J203" s="53">
        <f>SUMIF('2024 AC'!$B$3:$B$250,"*"&amp;$D203&amp;"*",'2024 AC'!H$3:H$250)</f>
        <v>11893.450000000001</v>
      </c>
      <c r="K203" s="53">
        <f>SUMIF('2024 AC'!$B$3:$B$250,"*"&amp;$D203&amp;"*",'2024 AC'!I$3:I$250)</f>
        <v>8203.7399999999998</v>
      </c>
      <c r="L203" s="53">
        <f>SUMIF('2024 AC'!$B$3:$B$250,"*"&amp;$D203&amp;"*",'2024 AC'!J$3:J$250)</f>
        <v>8635.9099999999999</v>
      </c>
      <c r="M203" s="53">
        <f>SUMIF('2024 AC'!$B$3:$B$250,"*"&amp;$D203&amp;"*",'2024 AC'!K$3:K$250)</f>
        <v>8438.9500000000007</v>
      </c>
      <c r="N203" s="53">
        <f>SUMIF('2024 AC'!$B$3:$B$250,"*"&amp;$D203&amp;"*",'2024 AC'!L$3:L$250)</f>
        <v>7830.3500000000004</v>
      </c>
      <c r="O203" s="53">
        <f>SUMIF('2024 AC'!$B$3:$B$250,"*"&amp;$D203&amp;"*",'2024 AC'!M$3:M$250)</f>
        <v>6236.8999999999996</v>
      </c>
      <c r="P203" s="93">
        <f>SUMIF('2024 AC'!$B$3:$B$250,"*"&amp;$D203&amp;"*",'2024 AC'!N$3:N$250)</f>
        <v>8056.75</v>
      </c>
      <c r="Q203" s="92">
        <f t="shared" si="374"/>
        <v>125347.75</v>
      </c>
      <c r="R203" s="93">
        <f t="shared" si="375"/>
        <v>39724.649999999994</v>
      </c>
      <c r="S203" s="93">
        <f t="shared" si="376"/>
        <v>38220.5</v>
      </c>
      <c r="T203" s="93">
        <f t="shared" si="377"/>
        <v>25278.600000000002</v>
      </c>
      <c r="U203" s="93">
        <f t="shared" si="378"/>
        <v>22124</v>
      </c>
      <c r="V203" s="92">
        <f t="shared" si="379"/>
        <v>125347.75</v>
      </c>
    </row>
    <row r="204" outlineLevel="1">
      <c r="A204" t="s">
        <v>522</v>
      </c>
      <c r="B204" t="s">
        <v>523</v>
      </c>
      <c r="C204" s="34" t="s">
        <v>524</v>
      </c>
      <c r="D204" s="35" t="s">
        <v>483</v>
      </c>
      <c r="E204" s="63">
        <f>SUMIF('2024 AC'!$B$3:$B$250,"*"&amp;$D204&amp;"*",'2024 AC'!C$3:C$250)</f>
        <v>2284.9200000000001</v>
      </c>
      <c r="F204" s="53">
        <f>SUMIF('2024 AC'!$B$3:$B$250,"*"&amp;$D204&amp;"*",'2024 AC'!D$3:D$250)</f>
        <v>2277.6500000000001</v>
      </c>
      <c r="G204" s="53">
        <f>SUMIF('2024 AC'!$B$3:$B$250,"*"&amp;$D204&amp;"*",'2024 AC'!E$3:E$250)</f>
        <v>2284.5</v>
      </c>
      <c r="H204" s="53">
        <f>SUMIF('2024 AC'!$B$3:$B$250,"*"&amp;$D204&amp;"*",'2024 AC'!F$3:F$250)</f>
        <v>2300.4000000000001</v>
      </c>
      <c r="I204" s="53">
        <f>SUMIF('2024 AC'!$B$3:$B$250,"*"&amp;$D204&amp;"*",'2024 AC'!G$3:G$250)</f>
        <v>2818.4000000000001</v>
      </c>
      <c r="J204" s="53">
        <f>SUMIF('2024 AC'!$B$3:$B$250,"*"&amp;$D204&amp;"*",'2024 AC'!H$3:H$250)</f>
        <v>2825.5</v>
      </c>
      <c r="K204" s="53">
        <f>SUMIF('2024 AC'!$B$3:$B$250,"*"&amp;$D204&amp;"*",'2024 AC'!I$3:I$250)</f>
        <v>2858.8000000000002</v>
      </c>
      <c r="L204" s="53">
        <f>SUMIF('2024 AC'!$B$3:$B$250,"*"&amp;$D204&amp;"*",'2024 AC'!J$3:J$250)</f>
        <v>2866.3499999999999</v>
      </c>
      <c r="M204" s="53">
        <f>SUMIF('2024 AC'!$B$3:$B$250,"*"&amp;$D204&amp;"*",'2024 AC'!K$3:K$250)</f>
        <v>2871.5</v>
      </c>
      <c r="N204" s="53">
        <f>SUMIF('2024 AC'!$B$3:$B$250,"*"&amp;$D204&amp;"*",'2024 AC'!L$3:L$250)</f>
        <v>2859.4000000000001</v>
      </c>
      <c r="O204" s="53">
        <f>SUMIF('2024 AC'!$B$3:$B$250,"*"&amp;$D204&amp;"*",'2024 AC'!M$3:M$250)</f>
        <v>2866.4499999999998</v>
      </c>
      <c r="P204" s="93">
        <f>SUMIF('2024 AC'!$B$3:$B$250,"*"&amp;$D204&amp;"*",'2024 AC'!N$3:N$250)</f>
        <v>2861.1999999999998</v>
      </c>
      <c r="Q204" s="92">
        <f t="shared" si="374"/>
        <v>31975.07</v>
      </c>
      <c r="R204" s="93">
        <f t="shared" si="375"/>
        <v>6847.0699999999997</v>
      </c>
      <c r="S204" s="93">
        <f t="shared" si="376"/>
        <v>7944.3000000000002</v>
      </c>
      <c r="T204" s="93">
        <f t="shared" si="377"/>
        <v>8596.6499999999996</v>
      </c>
      <c r="U204" s="93">
        <f t="shared" si="378"/>
        <v>8587.0499999999993</v>
      </c>
      <c r="V204" s="92">
        <f t="shared" si="379"/>
        <v>31975.069999999996</v>
      </c>
    </row>
    <row r="205" outlineLevel="1">
      <c r="A205" t="s">
        <v>525</v>
      </c>
      <c r="B205" t="s">
        <v>526</v>
      </c>
      <c r="C205" s="34" t="s">
        <v>527</v>
      </c>
      <c r="D205" s="35" t="s">
        <v>486</v>
      </c>
      <c r="E205" s="63">
        <f>SUMIF('2024 AC'!$B$3:$B$250,"*"&amp;$D205&amp;"*",'2024 AC'!C$3:C$250)</f>
        <v>15643.950000000001</v>
      </c>
      <c r="F205" s="53">
        <f>SUMIF('2024 AC'!$B$3:$B$250,"*"&amp;$D205&amp;"*",'2024 AC'!D$3:D$250)</f>
        <v>5396.25</v>
      </c>
      <c r="G205" s="53">
        <f>SUMIF('2024 AC'!$B$3:$B$250,"*"&amp;$D205&amp;"*",'2024 AC'!E$3:E$250)</f>
        <v>5396.25</v>
      </c>
      <c r="H205" s="53">
        <f>SUMIF('2024 AC'!$B$3:$B$250,"*"&amp;$D205&amp;"*",'2024 AC'!F$3:F$250)</f>
        <v>5396.25</v>
      </c>
      <c r="I205" s="53">
        <f>SUMIF('2024 AC'!$B$3:$B$250,"*"&amp;$D205&amp;"*",'2024 AC'!G$3:G$250)</f>
        <v>5396.25</v>
      </c>
      <c r="J205" s="53">
        <f>SUMIF('2024 AC'!$B$3:$B$250,"*"&amp;$D205&amp;"*",'2024 AC'!H$3:H$250)</f>
        <v>5396.25</v>
      </c>
      <c r="K205" s="53">
        <f>SUMIF('2024 AC'!$B$3:$B$250,"*"&amp;$D205&amp;"*",'2024 AC'!I$3:I$250)</f>
        <v>6184.1999999999998</v>
      </c>
      <c r="L205" s="53">
        <f>SUMIF('2024 AC'!$B$3:$B$250,"*"&amp;$D205&amp;"*",'2024 AC'!J$3:J$250)</f>
        <v>6184.1999999999998</v>
      </c>
      <c r="M205" s="53">
        <f>SUMIF('2024 AC'!$B$3:$B$250,"*"&amp;$D205&amp;"*",'2024 AC'!K$3:K$250)</f>
        <v>6184.1999999999998</v>
      </c>
      <c r="N205" s="53">
        <f>SUMIF('2024 AC'!$B$3:$B$250,"*"&amp;$D205&amp;"*",'2024 AC'!L$3:L$250)</f>
        <v>6184.1999999999998</v>
      </c>
      <c r="O205" s="53">
        <f>SUMIF('2024 AC'!$B$3:$B$250,"*"&amp;$D205&amp;"*",'2024 AC'!M$3:M$250)</f>
        <v>6184.1999999999998</v>
      </c>
      <c r="P205" s="93">
        <f>SUMIF('2024 AC'!$B$3:$B$250,"*"&amp;$D205&amp;"*",'2024 AC'!N$3:N$250)</f>
        <v>6184.1999999999998</v>
      </c>
      <c r="Q205" s="92">
        <f t="shared" si="374"/>
        <v>79730.39999999998</v>
      </c>
      <c r="R205" s="93">
        <f t="shared" si="375"/>
        <v>26436.450000000001</v>
      </c>
      <c r="S205" s="93">
        <f t="shared" si="376"/>
        <v>16188.75</v>
      </c>
      <c r="T205" s="93">
        <f t="shared" si="377"/>
        <v>18552.599999999999</v>
      </c>
      <c r="U205" s="93">
        <f t="shared" si="378"/>
        <v>18552.599999999999</v>
      </c>
      <c r="V205" s="92">
        <f t="shared" si="379"/>
        <v>79730.399999999994</v>
      </c>
    </row>
    <row r="206" ht="15" customHeight="1" outlineLevel="1">
      <c r="A206" s="195"/>
      <c r="C206" s="34" t="s">
        <v>528</v>
      </c>
      <c r="D206" s="35" t="s">
        <v>490</v>
      </c>
      <c r="E206" s="63">
        <f>SUMIF('2024 AC'!$B$3:$B$250,"*"&amp;$D206&amp;"*",'2024 AC'!C$3:C$250)</f>
        <v>2772</v>
      </c>
      <c r="F206" s="53">
        <f>SUMIF('2024 AC'!$B$3:$B$250,"*"&amp;$D206&amp;"*",'2024 AC'!D$3:D$250)</f>
        <v>4536</v>
      </c>
      <c r="G206" s="53">
        <f>SUMIF('2024 AC'!$B$3:$B$250,"*"&amp;$D206&amp;"*",'2024 AC'!E$3:E$250)</f>
        <v>2016</v>
      </c>
      <c r="H206" s="53">
        <f>SUMIF('2024 AC'!$B$3:$B$250,"*"&amp;$D206&amp;"*",'2024 AC'!F$3:F$250)</f>
        <v>3024</v>
      </c>
      <c r="I206" s="53">
        <f>SUMIF('2024 AC'!$B$3:$B$250,"*"&amp;$D206&amp;"*",'2024 AC'!G$3:G$250)</f>
        <v>3276</v>
      </c>
      <c r="J206" s="53">
        <f>SUMIF('2024 AC'!$B$3:$B$250,"*"&amp;$D206&amp;"*",'2024 AC'!H$3:H$250)</f>
        <v>3276</v>
      </c>
      <c r="K206" s="53">
        <f>SUMIF('2024 AC'!$B$3:$B$250,"*"&amp;$D206&amp;"*",'2024 AC'!I$3:I$250)</f>
        <v>7534</v>
      </c>
      <c r="L206" s="53">
        <f>SUMIF('2024 AC'!$B$3:$B$250,"*"&amp;$D206&amp;"*",'2024 AC'!J$3:J$250)</f>
        <v>4284</v>
      </c>
      <c r="M206" s="53">
        <f>SUMIF('2024 AC'!$B$3:$B$250,"*"&amp;$D206&amp;"*",'2024 AC'!K$3:K$250)</f>
        <v>2016</v>
      </c>
      <c r="N206" s="53">
        <f>SUMIF('2024 AC'!$B$3:$B$250,"*"&amp;$D206&amp;"*",'2024 AC'!L$3:L$250)</f>
        <v>4032</v>
      </c>
      <c r="O206" s="53">
        <f>SUMIF('2024 AC'!$B$3:$B$250,"*"&amp;$D206&amp;"*",'2024 AC'!M$3:M$250)</f>
        <v>4788</v>
      </c>
      <c r="P206" s="93">
        <f>SUMIF('2024 AC'!$B$3:$B$250,"*"&amp;$D206&amp;"*",'2024 AC'!N$3:N$250)</f>
        <v>2520</v>
      </c>
      <c r="Q206" s="92">
        <f t="shared" si="374"/>
        <v>44074</v>
      </c>
      <c r="R206" s="93">
        <f t="shared" si="375"/>
        <v>9324</v>
      </c>
      <c r="S206" s="93">
        <f t="shared" si="376"/>
        <v>9576</v>
      </c>
      <c r="T206" s="93">
        <f t="shared" si="377"/>
        <v>13834</v>
      </c>
      <c r="U206" s="93">
        <f t="shared" si="378"/>
        <v>11340</v>
      </c>
      <c r="V206" s="92">
        <f t="shared" si="379"/>
        <v>44074</v>
      </c>
    </row>
    <row r="207" ht="15" customHeight="1" outlineLevel="1">
      <c r="A207" s="195" t="s">
        <v>529</v>
      </c>
      <c r="C207" s="34" t="s">
        <v>530</v>
      </c>
      <c r="D207" s="35" t="s">
        <v>496</v>
      </c>
      <c r="E207" s="63">
        <f>SUMIF('2024 AC'!$B$3:$B$250,"*"&amp;$D207&amp;"*",'2024 AC'!C$3:C$250)</f>
        <v>0</v>
      </c>
      <c r="F207" s="53">
        <f>SUMIF('2024 AC'!$B$3:$B$250,"*"&amp;$D207&amp;"*",'2024 AC'!D$3:D$250)</f>
        <v>0</v>
      </c>
      <c r="G207" s="53">
        <f>SUMIF('2024 AC'!$B$3:$B$250,"*"&amp;$D207&amp;"*",'2024 AC'!E$3:E$250)</f>
        <v>0</v>
      </c>
      <c r="H207" s="53">
        <f>SUMIF('2024 AC'!$B$3:$B$250,"*"&amp;$D207&amp;"*",'2024 AC'!F$3:F$250)</f>
        <v>0</v>
      </c>
      <c r="I207" s="53">
        <f>SUMIF('2024 AC'!$B$3:$B$250,"*"&amp;$D207&amp;"*",'2024 AC'!G$3:G$250)</f>
        <v>0</v>
      </c>
      <c r="J207" s="53">
        <f>SUMIF('2024 AC'!$B$3:$B$250,"*"&amp;$D207&amp;"*",'2024 AC'!H$3:H$250)</f>
        <v>0</v>
      </c>
      <c r="K207" s="53">
        <f>SUMIF('2024 AC'!$B$3:$B$250,"*"&amp;$D207&amp;"*",'2024 AC'!I$3:I$250)</f>
        <v>0</v>
      </c>
      <c r="L207" s="53">
        <f>SUMIF('2024 AC'!$B$3:$B$250,"*"&amp;$D207&amp;"*",'2024 AC'!J$3:J$250)</f>
        <v>0</v>
      </c>
      <c r="M207" s="53">
        <f>SUMIF('2024 AC'!$B$3:$B$250,"*"&amp;$D207&amp;"*",'2024 AC'!K$3:K$250)</f>
        <v>0</v>
      </c>
      <c r="N207" s="53">
        <f>SUMIF('2024 AC'!$B$3:$B$250,"*"&amp;$D207&amp;"*",'2024 AC'!L$3:L$250)</f>
        <v>0</v>
      </c>
      <c r="O207" s="53">
        <f>SUMIF('2024 AC'!$B$3:$B$250,"*"&amp;$D207&amp;"*",'2024 AC'!M$3:M$250)</f>
        <v>0</v>
      </c>
      <c r="P207" s="93">
        <f>SUMIF('2024 AC'!$B$3:$B$250,"*"&amp;$D207&amp;"*",'2024 AC'!N$3:N$250)</f>
        <v>0</v>
      </c>
      <c r="Q207" s="92">
        <f t="shared" si="374"/>
        <v>0</v>
      </c>
      <c r="R207" s="93">
        <f t="shared" si="375"/>
        <v>0</v>
      </c>
      <c r="S207" s="93">
        <f t="shared" si="376"/>
        <v>0</v>
      </c>
      <c r="T207" s="93">
        <f t="shared" si="377"/>
        <v>0</v>
      </c>
      <c r="U207" s="93">
        <f t="shared" si="378"/>
        <v>0</v>
      </c>
      <c r="V207" s="92">
        <f t="shared" si="379"/>
        <v>0</v>
      </c>
    </row>
    <row r="208" ht="15" customHeight="1" outlineLevel="1">
      <c r="A208" t="s">
        <v>531</v>
      </c>
      <c r="B208" t="s">
        <v>532</v>
      </c>
      <c r="C208" s="34" t="s">
        <v>533</v>
      </c>
      <c r="D208" s="156" t="s">
        <v>499</v>
      </c>
      <c r="E208" s="63">
        <f>SUMIF('2024 AC'!$B$3:$B$250,"*"&amp;$D208&amp;"*",'2024 AC'!C$3:C$250)</f>
        <v>0</v>
      </c>
      <c r="F208" s="53">
        <f>SUMIF('2024 AC'!$B$3:$B$250,"*"&amp;$D208&amp;"*",'2024 AC'!D$3:D$250)</f>
        <v>0</v>
      </c>
      <c r="G208" s="53">
        <f>SUMIF('2024 AC'!$B$3:$B$250,"*"&amp;$D208&amp;"*",'2024 AC'!E$3:E$250)</f>
        <v>0</v>
      </c>
      <c r="H208" s="53">
        <f>SUMIF('2024 AC'!$B$3:$B$250,"*"&amp;$D208&amp;"*",'2024 AC'!F$3:F$250)</f>
        <v>0</v>
      </c>
      <c r="I208" s="53">
        <f>SUMIF('2024 AC'!$B$3:$B$250,"*"&amp;$D208&amp;"*",'2024 AC'!G$3:G$250)</f>
        <v>0</v>
      </c>
      <c r="J208" s="53">
        <f>SUMIF('2024 AC'!$B$3:$B$250,"*"&amp;$D208&amp;"*",'2024 AC'!H$3:H$250)</f>
        <v>2344.4299999999998</v>
      </c>
      <c r="K208" s="53">
        <f>SUMIF('2024 AC'!$B$3:$B$250,"*"&amp;$D208&amp;"*",'2024 AC'!I$3:I$250)</f>
        <v>758</v>
      </c>
      <c r="L208" s="53">
        <f>SUMIF('2024 AC'!$B$3:$B$250,"*"&amp;$D208&amp;"*",'2024 AC'!J$3:J$250)</f>
        <v>0</v>
      </c>
      <c r="M208" s="53">
        <f>SUMIF('2024 AC'!$B$3:$B$250,"*"&amp;$D208&amp;"*",'2024 AC'!K$3:K$250)</f>
        <v>0</v>
      </c>
      <c r="N208" s="53">
        <f>SUMIF('2024 AC'!$B$3:$B$250,"*"&amp;$D208&amp;"*",'2024 AC'!L$3:L$250)</f>
        <v>0</v>
      </c>
      <c r="O208" s="53">
        <f>SUMIF('2024 AC'!$B$3:$B$250,"*"&amp;$D208&amp;"*",'2024 AC'!M$3:M$250)</f>
        <v>0</v>
      </c>
      <c r="P208" s="93">
        <f>SUMIF('2024 AC'!$B$3:$B$250,"*"&amp;$D208&amp;"*",'2024 AC'!N$3:N$250)</f>
        <v>0</v>
      </c>
      <c r="Q208" s="92">
        <f t="shared" si="374"/>
        <v>3102.4299999999998</v>
      </c>
      <c r="R208" s="93">
        <f t="shared" si="375"/>
        <v>0</v>
      </c>
      <c r="S208" s="93">
        <f t="shared" si="376"/>
        <v>2344.4299999999998</v>
      </c>
      <c r="T208" s="93">
        <f t="shared" si="377"/>
        <v>758</v>
      </c>
      <c r="U208" s="93">
        <f t="shared" si="378"/>
        <v>0</v>
      </c>
      <c r="V208" s="92">
        <f t="shared" si="379"/>
        <v>3102.4299999999998</v>
      </c>
    </row>
    <row r="209" outlineLevel="1">
      <c r="A209" s="195"/>
      <c r="C209" s="34" t="s">
        <v>534</v>
      </c>
      <c r="D209" s="156" t="s">
        <v>535</v>
      </c>
      <c r="E209" s="63">
        <f>SUMIF('2024 AC'!$B$3:$B$250,"*"&amp;$D209&amp;"*",'2024 AC'!C$3:C$250)</f>
        <v>1540</v>
      </c>
      <c r="F209" s="53">
        <f>SUMIF('2024 AC'!$B$3:$B$250,"*"&amp;$D209&amp;"*",'2024 AC'!D$3:D$250)</f>
        <v>0</v>
      </c>
      <c r="G209" s="53">
        <f>SUMIF('2024 AC'!$B$3:$B$250,"*"&amp;$D209&amp;"*",'2024 AC'!E$3:E$250)</f>
        <v>0</v>
      </c>
      <c r="H209" s="53">
        <f>SUMIF('2024 AC'!$B$3:$B$250,"*"&amp;$D209&amp;"*",'2024 AC'!F$3:F$250)</f>
        <v>0</v>
      </c>
      <c r="I209" s="53">
        <f>SUMIF('2024 AC'!$B$3:$B$250,"*"&amp;$D209&amp;"*",'2024 AC'!G$3:G$250)</f>
        <v>830.85000000000002</v>
      </c>
      <c r="J209" s="53">
        <f>SUMIF('2024 AC'!$B$3:$B$250,"*"&amp;$D209&amp;"*",'2024 AC'!H$3:H$250)</f>
        <v>0</v>
      </c>
      <c r="K209" s="53">
        <f>SUMIF('2024 AC'!$B$3:$B$250,"*"&amp;$D209&amp;"*",'2024 AC'!I$3:I$250)</f>
        <v>0</v>
      </c>
      <c r="L209" s="53">
        <f>SUMIF('2024 AC'!$B$3:$B$250,"*"&amp;$D209&amp;"*",'2024 AC'!J$3:J$250)</f>
        <v>0</v>
      </c>
      <c r="M209" s="53">
        <f>SUMIF('2024 AC'!$B$3:$B$250,"*"&amp;$D209&amp;"*",'2024 AC'!K$3:K$250)</f>
        <v>0</v>
      </c>
      <c r="N209" s="53">
        <f>SUMIF('2024 AC'!$B$3:$B$250,"*"&amp;$D209&amp;"*",'2024 AC'!L$3:L$250)</f>
        <v>0</v>
      </c>
      <c r="O209" s="53">
        <f>SUMIF('2024 AC'!$B$3:$B$250,"*"&amp;$D209&amp;"*",'2024 AC'!M$3:M$250)</f>
        <v>1504.25</v>
      </c>
      <c r="P209" s="93">
        <f>SUMIF('2024 AC'!$B$3:$B$250,"*"&amp;$D209&amp;"*",'2024 AC'!N$3:N$250)</f>
        <v>0</v>
      </c>
      <c r="Q209" s="92">
        <f t="shared" si="374"/>
        <v>3875.0999999999999</v>
      </c>
      <c r="R209" s="93">
        <f t="shared" si="375"/>
        <v>1540</v>
      </c>
      <c r="S209" s="93">
        <f t="shared" si="376"/>
        <v>830.85000000000002</v>
      </c>
      <c r="T209" s="93">
        <f t="shared" si="377"/>
        <v>0</v>
      </c>
      <c r="U209" s="93">
        <f t="shared" si="378"/>
        <v>1504.25</v>
      </c>
      <c r="V209" s="92">
        <f t="shared" si="379"/>
        <v>3875.0999999999999</v>
      </c>
    </row>
    <row r="210" s="137" customFormat="1">
      <c r="A210" s="196" t="s">
        <v>536</v>
      </c>
      <c r="C210" s="173" t="s">
        <v>537</v>
      </c>
      <c r="D210" s="139" t="s">
        <v>502</v>
      </c>
      <c r="E210" s="145">
        <f>SUMIF('2024 AC'!$B$3:$B$250,"*"&amp;$D210&amp;"*",'2024 AC'!C$3:C$250)</f>
        <v>0</v>
      </c>
      <c r="F210" s="146">
        <f>SUMIF('2024 AC'!$B$3:$B$250,"*"&amp;$D210&amp;"*",'2024 AC'!D$3:D$250)</f>
        <v>0</v>
      </c>
      <c r="G210" s="146">
        <f>SUMIF('2024 AC'!$B$3:$B$250,"*"&amp;$D210&amp;"*",'2024 AC'!E$3:E$250)</f>
        <v>93.799999999999997</v>
      </c>
      <c r="H210" s="146">
        <f>SUMIF('2024 AC'!$B$3:$B$250,"*"&amp;$D210&amp;"*",'2024 AC'!F$3:F$250)</f>
        <v>1909.3</v>
      </c>
      <c r="I210" s="146">
        <f>SUMIF('2024 AC'!$B$3:$B$250,"*"&amp;$D210&amp;"*",'2024 AC'!G$3:G$250)</f>
        <v>1465.5</v>
      </c>
      <c r="J210" s="146">
        <f>SUMIF('2024 AC'!$B$3:$B$250,"*"&amp;$D210&amp;"*",'2024 AC'!H$3:H$250)</f>
        <v>1710</v>
      </c>
      <c r="K210" s="146">
        <f>SUMIF('2024 AC'!$B$3:$B$250,"*"&amp;$D210&amp;"*",'2024 AC'!I$3:I$250)</f>
        <v>731</v>
      </c>
      <c r="L210" s="146">
        <f>SUMIF('2024 AC'!$B$3:$B$250,"*"&amp;$D210&amp;"*",'2024 AC'!J$3:J$250)</f>
        <v>1932</v>
      </c>
      <c r="M210" s="146">
        <f>SUMIF('2024 AC'!$B$3:$B$250,"*"&amp;$D210&amp;"*",'2024 AC'!K$3:K$250)</f>
        <v>700</v>
      </c>
      <c r="N210" s="146">
        <f>SUMIF('2024 AC'!$B$3:$B$250,"*"&amp;$D210&amp;"*",'2024 AC'!L$3:L$250)</f>
        <v>800</v>
      </c>
      <c r="O210" s="146">
        <f>SUMIF('2024 AC'!$B$3:$B$250,"*"&amp;$D210&amp;"*",'2024 AC'!M$3:M$250)</f>
        <v>1182</v>
      </c>
      <c r="P210" s="147">
        <f>SUMIF('2024 AC'!$B$3:$B$250,"*"&amp;$D210&amp;"*",'2024 AC'!N$3:N$250)</f>
        <v>800</v>
      </c>
      <c r="Q210" s="148">
        <f t="shared" si="374"/>
        <v>11323.6</v>
      </c>
      <c r="R210" s="147">
        <f t="shared" si="375"/>
        <v>93.799999999999997</v>
      </c>
      <c r="S210" s="147">
        <f t="shared" si="376"/>
        <v>5084.8000000000002</v>
      </c>
      <c r="T210" s="147">
        <f t="shared" si="377"/>
        <v>3363</v>
      </c>
      <c r="U210" s="147">
        <f t="shared" si="378"/>
        <v>2782</v>
      </c>
      <c r="V210" s="148">
        <f t="shared" si="379"/>
        <v>11323.6</v>
      </c>
    </row>
    <row r="211" s="164" customFormat="1" ht="15" customHeight="1" outlineLevel="1">
      <c r="A211" s="185" t="s">
        <v>538</v>
      </c>
      <c r="C211" s="165" t="s">
        <v>539</v>
      </c>
      <c r="D211" s="166" t="s">
        <v>505</v>
      </c>
      <c r="E211" s="168">
        <f>SUMIF('2024 AC'!$B$3:$B$250,"*"&amp;$D211&amp;"*",'2024 AC'!C$3:C$250)</f>
        <v>0</v>
      </c>
      <c r="F211" s="169">
        <f>SUMIF('2024 AC'!$B$3:$B$250,"*"&amp;$D211&amp;"*",'2024 AC'!D$3:D$250)</f>
        <v>0</v>
      </c>
      <c r="G211" s="169">
        <f>SUMIF('2024 AC'!$B$3:$B$250,"*"&amp;$D211&amp;"*",'2024 AC'!E$3:E$250)</f>
        <v>0</v>
      </c>
      <c r="H211" s="169">
        <f>SUMIF('2024 AC'!$B$3:$B$250,"*"&amp;$D211&amp;"*",'2024 AC'!F$3:F$250)</f>
        <v>0</v>
      </c>
      <c r="I211" s="169">
        <f>SUMIF('2024 AC'!$B$3:$B$250,"*"&amp;$D211&amp;"*",'2024 AC'!G$3:G$250)</f>
        <v>0</v>
      </c>
      <c r="J211" s="169">
        <f>SUMIF('2024 AC'!$B$3:$B$250,"*"&amp;$D211&amp;"*",'2024 AC'!H$3:H$250)</f>
        <v>0</v>
      </c>
      <c r="K211" s="169">
        <f>SUMIF('2024 AC'!$B$3:$B$250,"*"&amp;$D211&amp;"*",'2024 AC'!I$3:I$250)</f>
        <v>0</v>
      </c>
      <c r="L211" s="169">
        <f>SUMIF('2024 AC'!$B$3:$B$250,"*"&amp;$D211&amp;"*",'2024 AC'!J$3:J$250)</f>
        <v>0</v>
      </c>
      <c r="M211" s="169">
        <f>SUMIF('2024 AC'!$B$3:$B$250,"*"&amp;$D211&amp;"*",'2024 AC'!K$3:K$250)</f>
        <v>0</v>
      </c>
      <c r="N211" s="169">
        <f>SUMIF('2024 AC'!$B$3:$B$250,"*"&amp;$D211&amp;"*",'2024 AC'!L$3:L$250)</f>
        <v>0</v>
      </c>
      <c r="O211" s="169">
        <f>SUMIF('2024 AC'!$B$3:$B$250,"*"&amp;$D211&amp;"*",'2024 AC'!M$3:M$250)</f>
        <v>0</v>
      </c>
      <c r="P211" s="170">
        <f>SUMIF('2024 AC'!$B$3:$B$250,"*"&amp;$D211&amp;"*",'2024 AC'!N$3:N$250)</f>
        <v>0</v>
      </c>
      <c r="Q211" s="171">
        <f t="shared" si="374"/>
        <v>0</v>
      </c>
      <c r="R211" s="170">
        <f t="shared" si="375"/>
        <v>0</v>
      </c>
      <c r="S211" s="170">
        <f t="shared" si="376"/>
        <v>0</v>
      </c>
      <c r="T211" s="170">
        <f t="shared" si="377"/>
        <v>0</v>
      </c>
      <c r="U211" s="170">
        <f t="shared" si="378"/>
        <v>0</v>
      </c>
      <c r="V211" s="171">
        <f t="shared" si="379"/>
        <v>0</v>
      </c>
    </row>
    <row r="212" s="137" customFormat="1" ht="15" customHeight="1">
      <c r="A212" s="196"/>
      <c r="C212" s="173" t="s">
        <v>540</v>
      </c>
      <c r="D212" s="139" t="s">
        <v>508</v>
      </c>
      <c r="E212" s="145">
        <f>SUMIF('2024 AC'!$B$3:$B$250,"*"&amp;$D212&amp;"*",'2024 AC'!C$3:C$250)</f>
        <v>0</v>
      </c>
      <c r="F212" s="146">
        <f>SUMIF('2024 AC'!$B$3:$B$250,"*"&amp;$D212&amp;"*",'2024 AC'!D$3:D$250)</f>
        <v>0</v>
      </c>
      <c r="G212" s="146">
        <f>SUMIF('2024 AC'!$B$3:$B$250,"*"&amp;$D212&amp;"*",'2024 AC'!E$3:E$250)</f>
        <v>0</v>
      </c>
      <c r="H212" s="146">
        <f>SUMIF('2024 AC'!$B$3:$B$250,"*"&amp;$D212&amp;"*",'2024 AC'!F$3:F$250)</f>
        <v>0</v>
      </c>
      <c r="I212" s="146">
        <f>SUMIF('2024 AC'!$B$3:$B$250,"*"&amp;$D212&amp;"*",'2024 AC'!G$3:G$250)</f>
        <v>29832</v>
      </c>
      <c r="J212" s="146">
        <f>SUMIF('2024 AC'!$B$3:$B$250,"*"&amp;$D212&amp;"*",'2024 AC'!H$3:H$250)</f>
        <v>1353</v>
      </c>
      <c r="K212" s="146">
        <f>SUMIF('2024 AC'!$B$3:$B$250,"*"&amp;$D212&amp;"*",'2024 AC'!I$3:I$250)</f>
        <v>99132</v>
      </c>
      <c r="L212" s="146">
        <f>SUMIF('2024 AC'!$B$3:$B$250,"*"&amp;$D212&amp;"*",'2024 AC'!J$3:J$250)</f>
        <v>99132</v>
      </c>
      <c r="M212" s="146">
        <f>SUMIF('2024 AC'!$B$3:$B$250,"*"&amp;$D212&amp;"*",'2024 AC'!K$3:K$250)</f>
        <v>0</v>
      </c>
      <c r="N212" s="146">
        <f>SUMIF('2024 AC'!$B$3:$B$250,"*"&amp;$D212&amp;"*",'2024 AC'!L$3:L$250)</f>
        <v>0</v>
      </c>
      <c r="O212" s="146">
        <f>SUMIF('2024 AC'!$B$3:$B$250,"*"&amp;$D212&amp;"*",'2024 AC'!M$3:M$250)</f>
        <v>0</v>
      </c>
      <c r="P212" s="147">
        <f>SUMIF('2024 AC'!$B$3:$B$250,"*"&amp;$D212&amp;"*",'2024 AC'!N$3:N$250)</f>
        <v>0</v>
      </c>
      <c r="Q212" s="148">
        <f t="shared" si="374"/>
        <v>229449</v>
      </c>
      <c r="R212" s="147">
        <f t="shared" si="375"/>
        <v>0</v>
      </c>
      <c r="S212" s="147">
        <f t="shared" si="376"/>
        <v>31185</v>
      </c>
      <c r="T212" s="147">
        <f t="shared" si="377"/>
        <v>198264</v>
      </c>
      <c r="U212" s="147">
        <f t="shared" si="378"/>
        <v>0</v>
      </c>
      <c r="V212" s="148">
        <f t="shared" si="379"/>
        <v>229449</v>
      </c>
    </row>
    <row r="213" outlineLevel="1">
      <c r="A213" s="185" t="s">
        <v>541</v>
      </c>
      <c r="C213" s="34" t="s">
        <v>542</v>
      </c>
      <c r="D213" s="35" t="s">
        <v>511</v>
      </c>
      <c r="E213" s="63">
        <f>SUMIF('2024 AC'!$B$3:$B$250,"*"&amp;$D213&amp;"*",'2024 AC'!C$3:C$250)</f>
        <v>0</v>
      </c>
      <c r="F213" s="53">
        <f>SUMIF('2024 AC'!$B$3:$B$250,"*"&amp;$D213&amp;"*",'2024 AC'!D$3:D$250)</f>
        <v>0</v>
      </c>
      <c r="G213" s="53">
        <f>SUMIF('2024 AC'!$B$3:$B$250,"*"&amp;$D213&amp;"*",'2024 AC'!E$3:E$250)</f>
        <v>0</v>
      </c>
      <c r="H213" s="53">
        <f>SUMIF('2024 AC'!$B$3:$B$250,"*"&amp;$D213&amp;"*",'2024 AC'!F$3:F$250)</f>
        <v>0</v>
      </c>
      <c r="I213" s="53">
        <f>SUMIF('2024 AC'!$B$3:$B$250,"*"&amp;$D213&amp;"*",'2024 AC'!G$3:G$250)</f>
        <v>0</v>
      </c>
      <c r="J213" s="53">
        <f>SUMIF('2024 AC'!$B$3:$B$250,"*"&amp;$D213&amp;"*",'2024 AC'!H$3:H$250)</f>
        <v>0</v>
      </c>
      <c r="K213" s="53">
        <f>SUMIF('2024 AC'!$B$3:$B$250,"*"&amp;$D213&amp;"*",'2024 AC'!I$3:I$250)</f>
        <v>99132</v>
      </c>
      <c r="L213" s="53">
        <f>SUMIF('2024 AC'!$B$3:$B$250,"*"&amp;$D213&amp;"*",'2024 AC'!J$3:J$250)</f>
        <v>99132</v>
      </c>
      <c r="M213" s="53">
        <f>SUMIF('2024 AC'!$B$3:$B$250,"*"&amp;$D213&amp;"*",'2024 AC'!K$3:K$250)</f>
        <v>0</v>
      </c>
      <c r="N213" s="53">
        <f>SUMIF('2024 AC'!$B$3:$B$250,"*"&amp;$D213&amp;"*",'2024 AC'!L$3:L$250)</f>
        <v>0</v>
      </c>
      <c r="O213" s="53">
        <f>SUMIF('2024 AC'!$B$3:$B$250,"*"&amp;$D213&amp;"*",'2024 AC'!M$3:M$250)</f>
        <v>0</v>
      </c>
      <c r="P213" s="93">
        <f>SUMIF('2024 AC'!$B$3:$B$250,"*"&amp;$D213&amp;"*",'2024 AC'!N$3:N$250)</f>
        <v>0</v>
      </c>
      <c r="Q213" s="92">
        <f t="shared" si="374"/>
        <v>198264</v>
      </c>
      <c r="R213" s="93">
        <f t="shared" si="375"/>
        <v>0</v>
      </c>
      <c r="S213" s="93">
        <f t="shared" si="376"/>
        <v>0</v>
      </c>
      <c r="T213" s="93">
        <f t="shared" si="377"/>
        <v>198264</v>
      </c>
      <c r="U213" s="93">
        <f t="shared" si="378"/>
        <v>0</v>
      </c>
      <c r="V213" s="92">
        <f t="shared" si="379"/>
        <v>198264</v>
      </c>
    </row>
    <row r="214" outlineLevel="1">
      <c r="A214" s="185"/>
      <c r="C214" s="34" t="s">
        <v>543</v>
      </c>
      <c r="D214" s="35" t="s">
        <v>514</v>
      </c>
      <c r="E214" s="63">
        <f>SUMIF('2024 AC'!$B$3:$B$250,"*"&amp;$D214&amp;"*",'2024 AC'!C$3:C$250)</f>
        <v>0</v>
      </c>
      <c r="F214" s="53">
        <f>SUMIF('2024 AC'!$B$3:$B$250,"*"&amp;$D214&amp;"*",'2024 AC'!D$3:D$250)</f>
        <v>0</v>
      </c>
      <c r="G214" s="53">
        <f>SUMIF('2024 AC'!$B$3:$B$250,"*"&amp;$D214&amp;"*",'2024 AC'!E$3:E$250)</f>
        <v>0</v>
      </c>
      <c r="H214" s="53">
        <f>SUMIF('2024 AC'!$B$3:$B$250,"*"&amp;$D214&amp;"*",'2024 AC'!F$3:F$250)</f>
        <v>0</v>
      </c>
      <c r="I214" s="53">
        <f>SUMIF('2024 AC'!$B$3:$B$250,"*"&amp;$D214&amp;"*",'2024 AC'!G$3:G$250)</f>
        <v>29832</v>
      </c>
      <c r="J214" s="53">
        <f>SUMIF('2024 AC'!$B$3:$B$250,"*"&amp;$D214&amp;"*",'2024 AC'!H$3:H$250)</f>
        <v>1353</v>
      </c>
      <c r="K214" s="53">
        <f>SUMIF('2024 AC'!$B$3:$B$250,"*"&amp;$D214&amp;"*",'2024 AC'!I$3:I$250)</f>
        <v>0</v>
      </c>
      <c r="L214" s="53">
        <f>SUMIF('2024 AC'!$B$3:$B$250,"*"&amp;$D214&amp;"*",'2024 AC'!J$3:J$250)</f>
        <v>0</v>
      </c>
      <c r="M214" s="53">
        <f>SUMIF('2024 AC'!$B$3:$B$250,"*"&amp;$D214&amp;"*",'2024 AC'!K$3:K$250)</f>
        <v>0</v>
      </c>
      <c r="N214" s="53">
        <f>SUMIF('2024 AC'!$B$3:$B$250,"*"&amp;$D214&amp;"*",'2024 AC'!L$3:L$250)</f>
        <v>0</v>
      </c>
      <c r="O214" s="53">
        <f>SUMIF('2024 AC'!$B$3:$B$250,"*"&amp;$D214&amp;"*",'2024 AC'!M$3:M$250)</f>
        <v>0</v>
      </c>
      <c r="P214" s="93">
        <f>SUMIF('2024 AC'!$B$3:$B$250,"*"&amp;$D214&amp;"*",'2024 AC'!N$3:N$250)</f>
        <v>0</v>
      </c>
      <c r="Q214" s="92">
        <f t="shared" si="374"/>
        <v>31185</v>
      </c>
      <c r="R214" s="93">
        <f t="shared" si="375"/>
        <v>0</v>
      </c>
      <c r="S214" s="93">
        <f t="shared" si="376"/>
        <v>31185</v>
      </c>
      <c r="T214" s="93">
        <f t="shared" si="377"/>
        <v>0</v>
      </c>
      <c r="U214" s="93">
        <f t="shared" si="378"/>
        <v>0</v>
      </c>
      <c r="V214" s="92">
        <f t="shared" si="379"/>
        <v>31185</v>
      </c>
    </row>
    <row r="215" s="137" customFormat="1">
      <c r="A215" s="196" t="s">
        <v>544</v>
      </c>
      <c r="C215" s="173" t="s">
        <v>545</v>
      </c>
      <c r="D215" s="139" t="s">
        <v>546</v>
      </c>
      <c r="E215" s="145">
        <f>SUMIF('2024 AC'!$B$3:$B$250,"*"&amp;$D215&amp;"*",'2024 AC'!C$3:C$250)</f>
        <v>6488</v>
      </c>
      <c r="F215" s="146">
        <f>SUMIF('2024 AC'!$B$3:$B$250,"*"&amp;$D215&amp;"*",'2024 AC'!D$3:D$250)</f>
        <v>2450</v>
      </c>
      <c r="G215" s="146">
        <f>SUMIF('2024 AC'!$B$3:$B$250,"*"&amp;$D215&amp;"*",'2024 AC'!E$3:E$250)</f>
        <v>1343.6500000000001</v>
      </c>
      <c r="H215" s="146">
        <f>SUMIF('2024 AC'!$B$3:$B$250,"*"&amp;$D215&amp;"*",'2024 AC'!F$3:F$250)</f>
        <v>0</v>
      </c>
      <c r="I215" s="146">
        <f>SUMIF('2024 AC'!$B$3:$B$250,"*"&amp;$D215&amp;"*",'2024 AC'!G$3:G$250)</f>
        <v>0</v>
      </c>
      <c r="J215" s="146">
        <f>SUMIF('2024 AC'!$B$3:$B$250,"*"&amp;$D215&amp;"*",'2024 AC'!H$3:H$250)</f>
        <v>0</v>
      </c>
      <c r="K215" s="146">
        <f>SUMIF('2024 AC'!$B$3:$B$250,"*"&amp;$D215&amp;"*",'2024 AC'!I$3:I$250)</f>
        <v>0</v>
      </c>
      <c r="L215" s="146">
        <f>SUMIF('2024 AC'!$B$3:$B$250,"*"&amp;$D215&amp;"*",'2024 AC'!J$3:J$250)</f>
        <v>0</v>
      </c>
      <c r="M215" s="146">
        <f>SUMIF('2024 AC'!$B$3:$B$250,"*"&amp;$D215&amp;"*",'2024 AC'!K$3:K$250)</f>
        <v>0</v>
      </c>
      <c r="N215" s="146">
        <f>SUMIF('2024 AC'!$B$3:$B$250,"*"&amp;$D215&amp;"*",'2024 AC'!L$3:L$250)</f>
        <v>0</v>
      </c>
      <c r="O215" s="146">
        <f>SUMIF('2024 AC'!$B$3:$B$250,"*"&amp;$D215&amp;"*",'2024 AC'!M$3:M$250)</f>
        <v>0</v>
      </c>
      <c r="P215" s="147">
        <f>SUMIF('2024 AC'!$B$3:$B$250,"*"&amp;$D215&amp;"*",'2024 AC'!N$3:N$250)</f>
        <v>0</v>
      </c>
      <c r="Q215" s="148">
        <f t="shared" si="374"/>
        <v>10281.65</v>
      </c>
      <c r="R215" s="147">
        <f t="shared" si="375"/>
        <v>10281.65</v>
      </c>
      <c r="S215" s="147">
        <f t="shared" si="376"/>
        <v>0</v>
      </c>
      <c r="T215" s="147">
        <f t="shared" si="377"/>
        <v>0</v>
      </c>
      <c r="U215" s="147">
        <f t="shared" si="378"/>
        <v>0</v>
      </c>
      <c r="V215" s="148">
        <f t="shared" si="379"/>
        <v>10281.65</v>
      </c>
    </row>
    <row r="216" s="137" customFormat="1">
      <c r="C216" s="173" t="s">
        <v>547</v>
      </c>
      <c r="D216" s="139" t="s">
        <v>517</v>
      </c>
      <c r="E216" s="145">
        <f>SUMIF('2024 AC'!$B$3:$B$250,"*"&amp;$D216&amp;"*",'2024 AC'!C$3:C$250)</f>
        <v>692</v>
      </c>
      <c r="F216" s="146">
        <f>SUMIF('2024 AC'!$B$3:$B$250,"*"&amp;$D216&amp;"*",'2024 AC'!D$3:D$250)</f>
        <v>450</v>
      </c>
      <c r="G216" s="146">
        <f>SUMIF('2024 AC'!$B$3:$B$250,"*"&amp;$D216&amp;"*",'2024 AC'!E$3:E$250)</f>
        <v>120</v>
      </c>
      <c r="H216" s="146">
        <f>SUMIF('2024 AC'!$B$3:$B$250,"*"&amp;$D216&amp;"*",'2024 AC'!F$3:F$250)</f>
        <v>301.5</v>
      </c>
      <c r="I216" s="146">
        <f>SUMIF('2024 AC'!$B$3:$B$250,"*"&amp;$D216&amp;"*",'2024 AC'!G$3:G$250)</f>
        <v>200</v>
      </c>
      <c r="J216" s="146">
        <f>SUMIF('2024 AC'!$B$3:$B$250,"*"&amp;$D216&amp;"*",'2024 AC'!H$3:H$250)</f>
        <v>0</v>
      </c>
      <c r="K216" s="146">
        <f>SUMIF('2024 AC'!$B$3:$B$250,"*"&amp;$D216&amp;"*",'2024 AC'!I$3:I$250)</f>
        <v>0</v>
      </c>
      <c r="L216" s="146">
        <f>SUMIF('2024 AC'!$B$3:$B$250,"*"&amp;$D216&amp;"*",'2024 AC'!J$3:J$250)</f>
        <v>48.600000000000001</v>
      </c>
      <c r="M216" s="146">
        <f>SUMIF('2024 AC'!$B$3:$B$250,"*"&amp;$D216&amp;"*",'2024 AC'!K$3:K$250)</f>
        <v>2250</v>
      </c>
      <c r="N216" s="146">
        <f>SUMIF('2024 AC'!$B$3:$B$250,"*"&amp;$D216&amp;"*",'2024 AC'!L$3:L$250)</f>
        <v>3041.54</v>
      </c>
      <c r="O216" s="146">
        <f>SUMIF('2024 AC'!$B$3:$B$250,"*"&amp;$D216&amp;"*",'2024 AC'!M$3:M$250)</f>
        <v>19428</v>
      </c>
      <c r="P216" s="147">
        <f>SUMIF('2024 AC'!$B$3:$B$250,"*"&amp;$D216&amp;"*",'2024 AC'!N$3:N$250)</f>
        <v>5280</v>
      </c>
      <c r="Q216" s="148">
        <f t="shared" si="374"/>
        <v>31811.639999999999</v>
      </c>
      <c r="R216" s="147">
        <f t="shared" si="375"/>
        <v>1262</v>
      </c>
      <c r="S216" s="147">
        <f t="shared" si="376"/>
        <v>501.5</v>
      </c>
      <c r="T216" s="147">
        <f t="shared" si="377"/>
        <v>2298.5999999999999</v>
      </c>
      <c r="U216" s="147">
        <f t="shared" si="378"/>
        <v>27749.540000000001</v>
      </c>
      <c r="V216" s="148">
        <f t="shared" si="379"/>
        <v>31811.639999999999</v>
      </c>
    </row>
    <row r="217" ht="15" customHeight="1" outlineLevel="1">
      <c r="C217" s="34" t="s">
        <v>548</v>
      </c>
      <c r="D217" s="35" t="s">
        <v>520</v>
      </c>
      <c r="E217" s="63">
        <f>SUMIF('2024 AC'!$B$3:$B$250,"*"&amp;$D217&amp;"*",'2024 AC'!C$3:C$250)</f>
        <v>692</v>
      </c>
      <c r="F217" s="53">
        <f>SUMIF('2024 AC'!$B$3:$B$250,"*"&amp;$D217&amp;"*",'2024 AC'!D$3:D$250)</f>
        <v>0</v>
      </c>
      <c r="G217" s="53">
        <f>SUMIF('2024 AC'!$B$3:$B$250,"*"&amp;$D217&amp;"*",'2024 AC'!E$3:E$250)</f>
        <v>0</v>
      </c>
      <c r="H217" s="53">
        <f>SUMIF('2024 AC'!$B$3:$B$250,"*"&amp;$D217&amp;"*",'2024 AC'!F$3:F$250)</f>
        <v>301.5</v>
      </c>
      <c r="I217" s="53">
        <f>SUMIF('2024 AC'!$B$3:$B$250,"*"&amp;$D217&amp;"*",'2024 AC'!G$3:G$250)</f>
        <v>200</v>
      </c>
      <c r="J217" s="53">
        <f>SUMIF('2024 AC'!$B$3:$B$250,"*"&amp;$D217&amp;"*",'2024 AC'!H$3:H$250)</f>
        <v>0</v>
      </c>
      <c r="K217" s="53">
        <f>SUMIF('2024 AC'!$B$3:$B$250,"*"&amp;$D217&amp;"*",'2024 AC'!I$3:I$250)</f>
        <v>0</v>
      </c>
      <c r="L217" s="53">
        <f>SUMIF('2024 AC'!$B$3:$B$250,"*"&amp;$D217&amp;"*",'2024 AC'!J$3:J$250)</f>
        <v>48.600000000000001</v>
      </c>
      <c r="M217" s="53">
        <f>SUMIF('2024 AC'!$B$3:$B$250,"*"&amp;$D217&amp;"*",'2024 AC'!K$3:K$250)</f>
        <v>2250</v>
      </c>
      <c r="N217" s="53">
        <f>SUMIF('2024 AC'!$B$3:$B$250,"*"&amp;$D217&amp;"*",'2024 AC'!L$3:L$250)</f>
        <v>3041.54</v>
      </c>
      <c r="O217" s="53">
        <f>SUMIF('2024 AC'!$B$3:$B$250,"*"&amp;$D217&amp;"*",'2024 AC'!M$3:M$250)</f>
        <v>19428</v>
      </c>
      <c r="P217" s="93">
        <f>SUMIF('2024 AC'!$B$3:$B$250,"*"&amp;$D217&amp;"*",'2024 AC'!N$3:N$250)</f>
        <v>5280</v>
      </c>
      <c r="Q217" s="92">
        <f t="shared" si="374"/>
        <v>31241.639999999999</v>
      </c>
      <c r="R217" s="93">
        <f t="shared" si="375"/>
        <v>692</v>
      </c>
      <c r="S217" s="93">
        <f t="shared" si="376"/>
        <v>501.5</v>
      </c>
      <c r="T217" s="93">
        <f t="shared" si="377"/>
        <v>2298.5999999999999</v>
      </c>
      <c r="U217" s="93">
        <f t="shared" si="378"/>
        <v>27749.540000000001</v>
      </c>
      <c r="V217" s="92">
        <f t="shared" si="379"/>
        <v>31241.639999999999</v>
      </c>
    </row>
    <row r="218" ht="15" customHeight="1" outlineLevel="1">
      <c r="C218" s="34" t="s">
        <v>549</v>
      </c>
      <c r="D218" s="35" t="s">
        <v>523</v>
      </c>
      <c r="E218" s="63">
        <f>SUMIF('2024 AC'!$B$3:$B$250,"*"&amp;$D218&amp;"*",'2024 AC'!C$3:C$250)</f>
        <v>0</v>
      </c>
      <c r="F218" s="53">
        <f>SUMIF('2024 AC'!$B$3:$B$250,"*"&amp;$D218&amp;"*",'2024 AC'!D$3:D$250)</f>
        <v>450</v>
      </c>
      <c r="G218" s="53">
        <f>SUMIF('2024 AC'!$B$3:$B$250,"*"&amp;$D218&amp;"*",'2024 AC'!E$3:E$250)</f>
        <v>120</v>
      </c>
      <c r="H218" s="53">
        <f>SUMIF('2024 AC'!$B$3:$B$250,"*"&amp;$D218&amp;"*",'2024 AC'!F$3:F$250)</f>
        <v>0</v>
      </c>
      <c r="I218" s="53">
        <f>SUMIF('2024 AC'!$B$3:$B$250,"*"&amp;$D218&amp;"*",'2024 AC'!G$3:G$250)</f>
        <v>0</v>
      </c>
      <c r="J218" s="53">
        <f>SUMIF('2024 AC'!$B$3:$B$250,"*"&amp;$D218&amp;"*",'2024 AC'!H$3:H$250)</f>
        <v>0</v>
      </c>
      <c r="K218" s="53">
        <f>SUMIF('2024 AC'!$B$3:$B$250,"*"&amp;$D218&amp;"*",'2024 AC'!I$3:I$250)</f>
        <v>0</v>
      </c>
      <c r="L218" s="53">
        <f>SUMIF('2024 AC'!$B$3:$B$250,"*"&amp;$D218&amp;"*",'2024 AC'!J$3:J$250)</f>
        <v>0</v>
      </c>
      <c r="M218" s="53">
        <f>SUMIF('2024 AC'!$B$3:$B$250,"*"&amp;$D218&amp;"*",'2024 AC'!K$3:K$250)</f>
        <v>0</v>
      </c>
      <c r="N218" s="53">
        <f>SUMIF('2024 AC'!$B$3:$B$250,"*"&amp;$D218&amp;"*",'2024 AC'!L$3:L$250)</f>
        <v>0</v>
      </c>
      <c r="O218" s="53">
        <f>SUMIF('2024 AC'!$B$3:$B$250,"*"&amp;$D218&amp;"*",'2024 AC'!M$3:M$250)</f>
        <v>0</v>
      </c>
      <c r="P218" s="93">
        <f>SUMIF('2024 AC'!$B$3:$B$250,"*"&amp;$D218&amp;"*",'2024 AC'!N$3:N$250)</f>
        <v>0</v>
      </c>
      <c r="Q218" s="92">
        <f t="shared" si="374"/>
        <v>570</v>
      </c>
      <c r="R218" s="93">
        <f t="shared" si="375"/>
        <v>570</v>
      </c>
      <c r="S218" s="93">
        <f t="shared" si="376"/>
        <v>0</v>
      </c>
      <c r="T218" s="93">
        <f t="shared" si="377"/>
        <v>0</v>
      </c>
      <c r="U218" s="93">
        <f t="shared" si="378"/>
        <v>0</v>
      </c>
      <c r="V218" s="92">
        <f t="shared" si="379"/>
        <v>570</v>
      </c>
    </row>
    <row r="219" s="137" customFormat="1">
      <c r="C219" s="173" t="s">
        <v>550</v>
      </c>
      <c r="D219" s="139" t="s">
        <v>526</v>
      </c>
      <c r="E219" s="145">
        <f>SUMIF('2024 AC'!$B$3:$B$250,"*"&amp;$D219&amp;"*",'2024 AC'!C$3:C$250)</f>
        <v>1317.5</v>
      </c>
      <c r="F219" s="146">
        <f>SUMIF('2024 AC'!$B$3:$B$250,"*"&amp;$D219&amp;"*",'2024 AC'!D$3:D$250)</f>
        <v>204</v>
      </c>
      <c r="G219" s="146">
        <f>SUMIF('2024 AC'!$B$3:$B$250,"*"&amp;$D219&amp;"*",'2024 AC'!E$3:E$250)</f>
        <v>2076.5</v>
      </c>
      <c r="H219" s="146">
        <f>SUMIF('2024 AC'!$B$3:$B$250,"*"&amp;$D219&amp;"*",'2024 AC'!F$3:F$250)</f>
        <v>2228</v>
      </c>
      <c r="I219" s="146">
        <f>SUMIF('2024 AC'!$B$3:$B$250,"*"&amp;$D219&amp;"*",'2024 AC'!G$3:G$250)</f>
        <v>1809</v>
      </c>
      <c r="J219" s="146">
        <f>SUMIF('2024 AC'!$B$3:$B$250,"*"&amp;$D219&amp;"*",'2024 AC'!H$3:H$250)</f>
        <v>0</v>
      </c>
      <c r="K219" s="146">
        <f>SUMIF('2024 AC'!$B$3:$B$250,"*"&amp;$D219&amp;"*",'2024 AC'!I$3:I$250)</f>
        <v>1833.5</v>
      </c>
      <c r="L219" s="146">
        <f>SUMIF('2024 AC'!$B$3:$B$250,"*"&amp;$D219&amp;"*",'2024 AC'!J$3:J$250)</f>
        <v>2435</v>
      </c>
      <c r="M219" s="146">
        <f>SUMIF('2024 AC'!$B$3:$B$250,"*"&amp;$D219&amp;"*",'2024 AC'!K$3:K$250)</f>
        <v>726.5</v>
      </c>
      <c r="N219" s="146">
        <f>SUMIF('2024 AC'!$B$3:$B$250,"*"&amp;$D219&amp;"*",'2024 AC'!L$3:L$250)</f>
        <v>1194.5</v>
      </c>
      <c r="O219" s="146">
        <f>SUMIF('2024 AC'!$B$3:$B$250,"*"&amp;$D219&amp;"*",'2024 AC'!M$3:M$250)</f>
        <v>890.5</v>
      </c>
      <c r="P219" s="147">
        <f>SUMIF('2024 AC'!$B$3:$B$250,"*"&amp;$D219&amp;"*",'2024 AC'!N$3:N$250)</f>
        <v>1163.5</v>
      </c>
      <c r="Q219" s="148">
        <f t="shared" si="374"/>
        <v>15878.5</v>
      </c>
      <c r="R219" s="147">
        <f t="shared" si="375"/>
        <v>3598</v>
      </c>
      <c r="S219" s="147">
        <f t="shared" si="376"/>
        <v>4037</v>
      </c>
      <c r="T219" s="147">
        <f t="shared" si="377"/>
        <v>4995</v>
      </c>
      <c r="U219" s="147">
        <f t="shared" si="378"/>
        <v>3248.5</v>
      </c>
      <c r="V219" s="148">
        <f t="shared" si="379"/>
        <v>15878.5</v>
      </c>
    </row>
    <row r="220">
      <c r="C220" s="34"/>
      <c r="D220" s="35"/>
      <c r="E220" s="6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93"/>
      <c r="Q220" s="92"/>
      <c r="R220" s="93">
        <f t="shared" si="375"/>
        <v>0</v>
      </c>
      <c r="S220" s="93">
        <f t="shared" si="376"/>
        <v>0</v>
      </c>
      <c r="T220" s="93">
        <f t="shared" si="377"/>
        <v>0</v>
      </c>
      <c r="U220" s="93">
        <f t="shared" si="378"/>
        <v>0</v>
      </c>
      <c r="V220" s="92">
        <f t="shared" si="379"/>
        <v>0</v>
      </c>
    </row>
    <row r="221" s="190" customFormat="1" ht="15" customHeight="1">
      <c r="A221" s="174"/>
      <c r="C221" s="126" t="s">
        <v>551</v>
      </c>
      <c r="D221" s="191"/>
      <c r="E221" s="180">
        <f>E125+E155+E158+E159+E210+E212+E215+E216+E219</f>
        <v>539744.27000000002</v>
      </c>
      <c r="F221" s="181">
        <f t="shared" ref="F221:P221" si="380">F125+F155+F158+F159+F210+F212+F215+F216+F219</f>
        <v>374025.78999999998</v>
      </c>
      <c r="G221" s="181">
        <f t="shared" si="380"/>
        <v>426689.49000000005</v>
      </c>
      <c r="H221" s="181">
        <f t="shared" si="380"/>
        <v>389462.20000000001</v>
      </c>
      <c r="I221" s="181">
        <f t="shared" si="380"/>
        <v>445526.83000000002</v>
      </c>
      <c r="J221" s="181">
        <f t="shared" si="380"/>
        <v>410105.42999999999</v>
      </c>
      <c r="K221" s="181">
        <f t="shared" si="380"/>
        <v>642714.02000000002</v>
      </c>
      <c r="L221" s="181">
        <f t="shared" si="380"/>
        <v>535633.34999999998</v>
      </c>
      <c r="M221" s="181">
        <f t="shared" si="380"/>
        <v>412351.71999999997</v>
      </c>
      <c r="N221" s="181">
        <f t="shared" si="380"/>
        <v>428792.47999999998</v>
      </c>
      <c r="O221" s="181">
        <f t="shared" si="380"/>
        <v>413128.45999999996</v>
      </c>
      <c r="P221" s="182">
        <f t="shared" si="380"/>
        <v>461471.31000000006</v>
      </c>
      <c r="Q221" s="183">
        <f t="shared" si="374"/>
        <v>5479645.3499999996</v>
      </c>
      <c r="R221" s="182">
        <f t="shared" si="375"/>
        <v>1340459.55</v>
      </c>
      <c r="S221" s="182">
        <f t="shared" si="376"/>
        <v>1245094.46</v>
      </c>
      <c r="T221" s="182">
        <f t="shared" si="377"/>
        <v>1590699.0900000001</v>
      </c>
      <c r="U221" s="182">
        <f t="shared" si="378"/>
        <v>1303392.25</v>
      </c>
      <c r="V221" s="183">
        <f t="shared" si="379"/>
        <v>5479645.3499999996</v>
      </c>
    </row>
    <row r="222">
      <c r="C222" s="34"/>
      <c r="D222" s="35"/>
      <c r="E222" s="6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93"/>
      <c r="Q222" s="92"/>
      <c r="R222" s="93">
        <f t="shared" si="375"/>
        <v>0</v>
      </c>
      <c r="S222" s="93">
        <f t="shared" si="376"/>
        <v>0</v>
      </c>
      <c r="T222" s="93">
        <f t="shared" si="377"/>
        <v>0</v>
      </c>
      <c r="U222" s="93">
        <f t="shared" si="378"/>
        <v>0</v>
      </c>
      <c r="V222" s="92">
        <f t="shared" si="379"/>
        <v>0</v>
      </c>
    </row>
    <row r="223" s="164" customFormat="1" ht="15" customHeight="1">
      <c r="C223" s="165" t="s">
        <v>552</v>
      </c>
      <c r="D223" s="166"/>
      <c r="E223" s="168">
        <f>E110+E121-E221</f>
        <v>-321626.97999999998</v>
      </c>
      <c r="F223" s="169">
        <f t="shared" ref="F223:P223" si="381">F110+F121-F221</f>
        <v>-30932.369999999937</v>
      </c>
      <c r="G223" s="169">
        <f t="shared" si="381"/>
        <v>-182683.38999999998</v>
      </c>
      <c r="H223" s="169">
        <f t="shared" si="381"/>
        <v>-119909.97999999998</v>
      </c>
      <c r="I223" s="169">
        <f t="shared" si="381"/>
        <v>-51389.120000000054</v>
      </c>
      <c r="J223" s="169">
        <f t="shared" si="381"/>
        <v>-89360.150000000023</v>
      </c>
      <c r="K223" s="169">
        <f t="shared" si="381"/>
        <v>-245235.86000000004</v>
      </c>
      <c r="L223" s="169">
        <f t="shared" si="381"/>
        <v>-53667.869999999879</v>
      </c>
      <c r="M223" s="169">
        <f t="shared" si="381"/>
        <v>-62246.059999999939</v>
      </c>
      <c r="N223" s="169">
        <f t="shared" si="381"/>
        <v>-85816.880000000005</v>
      </c>
      <c r="O223" s="169">
        <f t="shared" si="381"/>
        <v>-18168.77999999997</v>
      </c>
      <c r="P223" s="170">
        <f t="shared" si="381"/>
        <v>-10942.070000000065</v>
      </c>
      <c r="Q223" s="171">
        <f t="shared" si="374"/>
        <v>-1271979.5099999998</v>
      </c>
      <c r="R223" s="170">
        <f t="shared" si="375"/>
        <v>-535242.73999999987</v>
      </c>
      <c r="S223" s="170">
        <f t="shared" si="376"/>
        <v>-260659.25000000006</v>
      </c>
      <c r="T223" s="170">
        <f t="shared" si="377"/>
        <v>-361149.78999999986</v>
      </c>
      <c r="U223" s="170">
        <f t="shared" si="378"/>
        <v>-114927.73000000004</v>
      </c>
      <c r="V223" s="171">
        <f t="shared" si="379"/>
        <v>-1271979.5099999998</v>
      </c>
    </row>
    <row r="224" ht="15" customHeight="1">
      <c r="C224" s="165"/>
      <c r="D224" s="35"/>
      <c r="E224" s="6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93"/>
      <c r="Q224" s="92"/>
      <c r="R224" s="93">
        <f t="shared" si="375"/>
        <v>0</v>
      </c>
      <c r="S224" s="93">
        <f t="shared" si="376"/>
        <v>0</v>
      </c>
      <c r="T224" s="93">
        <f t="shared" si="377"/>
        <v>0</v>
      </c>
      <c r="U224" s="93">
        <f t="shared" si="378"/>
        <v>0</v>
      </c>
      <c r="V224" s="92">
        <f t="shared" si="379"/>
        <v>0</v>
      </c>
    </row>
    <row r="225" ht="15" customHeight="1">
      <c r="C225" s="165" t="s">
        <v>529</v>
      </c>
      <c r="D225" s="35"/>
      <c r="E225" s="6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93"/>
      <c r="Q225" s="92"/>
      <c r="R225" s="93">
        <f t="shared" si="375"/>
        <v>0</v>
      </c>
      <c r="S225" s="93">
        <f t="shared" si="376"/>
        <v>0</v>
      </c>
      <c r="T225" s="93">
        <f t="shared" si="377"/>
        <v>0</v>
      </c>
      <c r="U225" s="93">
        <f t="shared" si="378"/>
        <v>0</v>
      </c>
      <c r="V225" s="92">
        <f t="shared" si="379"/>
        <v>0</v>
      </c>
    </row>
    <row r="226" s="137" customFormat="1">
      <c r="C226" s="173" t="s">
        <v>531</v>
      </c>
      <c r="D226" s="139" t="s">
        <v>532</v>
      </c>
      <c r="E226" s="145">
        <f>SUMIF('2024 AC'!$B$3:$B$250,"*"&amp;$D226&amp;"*",'2024 AC'!C$3:C$250)</f>
        <v>0</v>
      </c>
      <c r="F226" s="146">
        <f>SUMIF('2024 AC'!$B$3:$B$250,"*"&amp;$D226&amp;"*",'2024 AC'!D$3:D$250)</f>
        <v>0</v>
      </c>
      <c r="G226" s="146">
        <f>SUMIF('2024 AC'!$B$3:$B$250,"*"&amp;$D226&amp;"*",'2024 AC'!E$3:E$250)</f>
        <v>0</v>
      </c>
      <c r="H226" s="146">
        <f>SUMIF('2024 AC'!$B$3:$B$250,"*"&amp;$D226&amp;"*",'2024 AC'!F$3:F$250)</f>
        <v>0</v>
      </c>
      <c r="I226" s="146">
        <f>SUMIF('2024 AC'!$B$3:$B$250,"*"&amp;$D226&amp;"*",'2024 AC'!G$3:G$250)</f>
        <v>0</v>
      </c>
      <c r="J226" s="146">
        <f>SUMIF('2024 AC'!$B$3:$B$250,"*"&amp;$D226&amp;"*",'2024 AC'!H$3:H$250)</f>
        <v>0</v>
      </c>
      <c r="K226" s="146">
        <f>SUMIF('2024 AC'!$B$3:$B$250,"*"&amp;$D226&amp;"*",'2024 AC'!I$3:I$250)</f>
        <v>0</v>
      </c>
      <c r="L226" s="146">
        <f>SUMIF('2024 AC'!$B$3:$B$250,"*"&amp;$D226&amp;"*",'2024 AC'!J$3:J$250)</f>
        <v>0</v>
      </c>
      <c r="M226" s="146">
        <f>SUMIF('2024 AC'!$B$3:$B$250,"*"&amp;$D226&amp;"*",'2024 AC'!K$3:K$250)</f>
        <v>0</v>
      </c>
      <c r="N226" s="146">
        <f>SUMIF('2024 AC'!$B$3:$B$250,"*"&amp;$D226&amp;"*",'2024 AC'!L$3:L$250)</f>
        <v>0</v>
      </c>
      <c r="O226" s="146">
        <f>SUMIF('2024 AC'!$B$3:$B$250,"*"&amp;$D226&amp;"*",'2024 AC'!M$3:M$250)</f>
        <v>0</v>
      </c>
      <c r="P226" s="147">
        <f>SUMIF('2024 AC'!$B$3:$B$250,"*"&amp;$D226&amp;"*",'2024 AC'!N$3:N$250)</f>
        <v>0</v>
      </c>
      <c r="Q226" s="148">
        <f t="shared" si="374"/>
        <v>0</v>
      </c>
      <c r="R226" s="147">
        <f t="shared" si="375"/>
        <v>0</v>
      </c>
      <c r="S226" s="147">
        <f t="shared" si="376"/>
        <v>0</v>
      </c>
      <c r="T226" s="147">
        <f t="shared" si="377"/>
        <v>0</v>
      </c>
      <c r="U226" s="147">
        <f t="shared" si="378"/>
        <v>0</v>
      </c>
      <c r="V226" s="148">
        <f t="shared" si="379"/>
        <v>0</v>
      </c>
    </row>
    <row r="227">
      <c r="C227" s="34"/>
      <c r="D227" s="35"/>
      <c r="E227" s="6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93"/>
      <c r="Q227" s="92"/>
      <c r="R227" s="93">
        <f t="shared" si="375"/>
        <v>0</v>
      </c>
      <c r="S227" s="93">
        <f t="shared" si="376"/>
        <v>0</v>
      </c>
      <c r="T227" s="93">
        <f t="shared" si="377"/>
        <v>0</v>
      </c>
      <c r="U227" s="93">
        <f t="shared" si="378"/>
        <v>0</v>
      </c>
      <c r="V227" s="92">
        <f t="shared" si="379"/>
        <v>0</v>
      </c>
    </row>
    <row r="228" s="164" customFormat="1" ht="15" customHeight="1">
      <c r="C228" s="204" t="s">
        <v>536</v>
      </c>
      <c r="D228" s="205"/>
      <c r="E228" s="206">
        <f>E223-E226</f>
        <v>-321626.97999999998</v>
      </c>
      <c r="F228" s="207">
        <f t="shared" ref="F228:P228" si="382">F223-F226</f>
        <v>-30932.369999999937</v>
      </c>
      <c r="G228" s="207">
        <f t="shared" si="382"/>
        <v>-182683.38999999998</v>
      </c>
      <c r="H228" s="207">
        <f t="shared" si="382"/>
        <v>-119909.97999999998</v>
      </c>
      <c r="I228" s="207">
        <f t="shared" si="382"/>
        <v>-51389.120000000054</v>
      </c>
      <c r="J228" s="207">
        <f t="shared" si="382"/>
        <v>-89360.150000000023</v>
      </c>
      <c r="K228" s="207">
        <f t="shared" si="382"/>
        <v>-245235.86000000004</v>
      </c>
      <c r="L228" s="207">
        <f t="shared" si="382"/>
        <v>-53667.869999999879</v>
      </c>
      <c r="M228" s="207">
        <f t="shared" si="382"/>
        <v>-62246.059999999939</v>
      </c>
      <c r="N228" s="207">
        <f t="shared" si="382"/>
        <v>-85816.880000000005</v>
      </c>
      <c r="O228" s="207">
        <f t="shared" si="382"/>
        <v>-18168.77999999997</v>
      </c>
      <c r="P228" s="208">
        <f t="shared" si="382"/>
        <v>-10942.070000000065</v>
      </c>
      <c r="Q228" s="209">
        <f t="shared" si="374"/>
        <v>-1271979.5099999998</v>
      </c>
      <c r="R228" s="208">
        <f t="shared" si="375"/>
        <v>-535242.73999999987</v>
      </c>
      <c r="S228" s="208">
        <f t="shared" si="376"/>
        <v>-260659.25000000006</v>
      </c>
      <c r="T228" s="208">
        <f t="shared" si="377"/>
        <v>-361149.78999999986</v>
      </c>
      <c r="U228" s="208">
        <f t="shared" si="378"/>
        <v>-114927.73000000004</v>
      </c>
      <c r="V228" s="209">
        <f t="shared" si="379"/>
        <v>-1271979.5099999998</v>
      </c>
    </row>
    <row r="229" ht="15" customHeight="1"/>
    <row r="230" ht="15" customHeight="1"/>
    <row r="231" ht="15" customHeight="1"/>
    <row r="233" ht="15" customHeight="1"/>
    <row r="234" ht="15" customHeight="1"/>
    <row r="237" ht="15" customHeight="1"/>
    <row r="238" ht="15" customHeight="1"/>
    <row r="239" ht="15" customHeight="1"/>
  </sheetData>
  <mergeCells count="2">
    <mergeCell ref="C4:D5"/>
    <mergeCell ref="E4:V5"/>
  </mergeCells>
  <printOptions headings="0" gridLines="0"/>
  <pageMargins left="0.25" right="0.11944444444444396" top="0.59027777777777801" bottom="0.43263888888888891" header="0.29999999999999999" footer="0.078472222222222221"/>
  <pageSetup paperSize="9" scale="32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topLeftCell="A169" zoomScale="50" workbookViewId="0">
      <selection activeCell="K206" activeCellId="0" sqref="K206"/>
    </sheetView>
  </sheetViews>
  <sheetFormatPr defaultColWidth="9.1796875" defaultRowHeight="14.5"/>
  <cols>
    <col customWidth="1" min="1" max="1" style="213" width="49.7265625"/>
    <col customWidth="1" min="2" max="2" style="214" width="15"/>
    <col customWidth="1" min="3" max="3" style="214" width="12.08984375"/>
    <col customWidth="1" min="4" max="4" style="213" width="12.36328125"/>
    <col customWidth="1" min="5" max="5" style="213" width="13.7265625"/>
    <col customWidth="1" min="6" max="6" style="213" width="14.81640625"/>
    <col customWidth="1" min="7" max="7" style="213" width="12.453125"/>
    <col customWidth="1" min="8" max="8" style="213" width="13"/>
    <col customWidth="1" min="9" max="9" style="213" width="10.81640625"/>
    <col customWidth="1" min="10" max="10" style="213" width="10.54296875"/>
    <col customWidth="1" min="11" max="11" style="213" width="9.90625"/>
    <col customWidth="1" min="12" max="12" style="213" width="10.6328125"/>
    <col customWidth="1" min="13" max="13" style="213" width="9.90625"/>
    <col min="14" max="14" style="213" width="9.1796875"/>
    <col customWidth="1" min="15" max="25" style="213" width="9.81640625"/>
    <col min="26" max="16384" style="213" width="9.1796875"/>
  </cols>
  <sheetData>
    <row r="1" s="215" customFormat="1">
      <c r="A1" s="216" t="s">
        <v>553</v>
      </c>
      <c r="B1" s="216" t="s">
        <v>554</v>
      </c>
      <c r="C1" s="217">
        <v>46023</v>
      </c>
      <c r="D1" s="217">
        <v>46054</v>
      </c>
      <c r="E1" s="217">
        <v>46082</v>
      </c>
      <c r="F1" s="217">
        <v>46113</v>
      </c>
      <c r="G1" s="217">
        <v>46143</v>
      </c>
      <c r="H1" s="217">
        <v>46174</v>
      </c>
      <c r="I1" s="217">
        <v>46204</v>
      </c>
      <c r="J1" s="217">
        <v>46235</v>
      </c>
      <c r="K1" s="217">
        <v>46266</v>
      </c>
      <c r="L1" s="217">
        <v>46296</v>
      </c>
      <c r="M1" s="217">
        <v>46327</v>
      </c>
      <c r="N1" s="217">
        <v>46357</v>
      </c>
    </row>
    <row r="2" s="215" customFormat="1">
      <c r="A2" s="216"/>
      <c r="B2" s="216"/>
      <c r="C2" s="218" t="s">
        <v>555</v>
      </c>
      <c r="D2" s="218" t="s">
        <v>555</v>
      </c>
      <c r="E2" s="218" t="s">
        <v>555</v>
      </c>
      <c r="F2" s="218" t="s">
        <v>555</v>
      </c>
      <c r="G2" s="218" t="s">
        <v>555</v>
      </c>
      <c r="H2" s="218" t="s">
        <v>555</v>
      </c>
      <c r="I2" s="218" t="s">
        <v>555</v>
      </c>
      <c r="J2" s="218" t="s">
        <v>555</v>
      </c>
      <c r="K2" s="218" t="s">
        <v>555</v>
      </c>
      <c r="L2" s="218" t="s">
        <v>555</v>
      </c>
      <c r="M2" s="218" t="s">
        <v>555</v>
      </c>
      <c r="N2" s="218" t="s">
        <v>555</v>
      </c>
    </row>
    <row r="3">
      <c r="A3" s="185" t="s">
        <v>556</v>
      </c>
      <c r="B3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</row>
    <row r="4">
      <c r="A4" t="s">
        <v>557</v>
      </c>
      <c r="B4" t="s">
        <v>558</v>
      </c>
      <c r="C4" s="220">
        <v>0</v>
      </c>
      <c r="D4" s="220">
        <v>0</v>
      </c>
      <c r="E4" s="220">
        <v>0</v>
      </c>
      <c r="F4" s="220">
        <v>0</v>
      </c>
      <c r="G4" s="220">
        <v>0</v>
      </c>
      <c r="H4" s="220">
        <v>0</v>
      </c>
      <c r="I4" s="220"/>
      <c r="J4" s="220"/>
      <c r="K4" s="220"/>
      <c r="L4" s="220"/>
      <c r="M4" s="220"/>
      <c r="N4" s="220"/>
      <c r="O4" s="220"/>
    </row>
    <row r="5">
      <c r="A5" t="s">
        <v>36</v>
      </c>
      <c r="B5" t="s">
        <v>37</v>
      </c>
      <c r="C5" s="220">
        <v>435957.26000000001</v>
      </c>
      <c r="D5" s="220">
        <v>381267.34999999998</v>
      </c>
      <c r="E5" s="220">
        <v>333767.09999999998</v>
      </c>
      <c r="F5" s="220">
        <v>384752.75</v>
      </c>
      <c r="G5" s="220">
        <v>406390.26000000001</v>
      </c>
      <c r="H5" s="220">
        <v>380114.72999999998</v>
      </c>
      <c r="I5" s="220"/>
      <c r="J5" s="220"/>
      <c r="K5" s="220"/>
      <c r="L5" s="220"/>
      <c r="M5" s="220"/>
      <c r="N5" s="220"/>
      <c r="O5" s="220"/>
    </row>
    <row r="6">
      <c r="A6" t="s">
        <v>39</v>
      </c>
      <c r="B6" t="s">
        <v>40</v>
      </c>
      <c r="C6" s="220">
        <v>72341.520000000004</v>
      </c>
      <c r="D6" s="220">
        <v>41920.269999999997</v>
      </c>
      <c r="E6" s="220">
        <v>47216.199999999997</v>
      </c>
      <c r="F6" s="220">
        <v>64930.400000000001</v>
      </c>
      <c r="G6" s="220">
        <v>39865.169999999998</v>
      </c>
      <c r="H6" s="220">
        <v>45375.879999999997</v>
      </c>
      <c r="I6" s="220"/>
      <c r="J6" s="220"/>
      <c r="K6" s="220"/>
      <c r="L6" s="220"/>
      <c r="M6" s="220"/>
      <c r="N6" s="220"/>
      <c r="O6" s="220"/>
    </row>
    <row r="7">
      <c r="A7" t="s">
        <v>42</v>
      </c>
      <c r="B7" t="s">
        <v>43</v>
      </c>
      <c r="C7" s="220">
        <v>348894.12</v>
      </c>
      <c r="D7" s="220">
        <v>328793.52000000002</v>
      </c>
      <c r="E7" s="220">
        <v>274584.53000000003</v>
      </c>
      <c r="F7" s="220">
        <v>303828.01000000001</v>
      </c>
      <c r="G7" s="220">
        <v>357100.78000000003</v>
      </c>
      <c r="H7" s="220">
        <v>322233.15000000002</v>
      </c>
      <c r="I7" s="220"/>
      <c r="J7" s="220"/>
      <c r="K7" s="220"/>
      <c r="L7" s="220"/>
      <c r="M7" s="220"/>
      <c r="N7" s="220"/>
      <c r="O7" s="220"/>
    </row>
    <row r="8">
      <c r="A8" t="s">
        <v>559</v>
      </c>
      <c r="B8" t="s">
        <v>46</v>
      </c>
      <c r="C8" s="220">
        <v>2122.9000000000001</v>
      </c>
      <c r="D8" s="220">
        <v>1652.6199999999999</v>
      </c>
      <c r="E8" s="220">
        <v>2279.7399999999998</v>
      </c>
      <c r="F8" s="220">
        <v>1355.96</v>
      </c>
      <c r="G8" s="220">
        <v>1813.6199999999999</v>
      </c>
      <c r="H8" s="220">
        <v>1881.4000000000001</v>
      </c>
      <c r="I8" s="220"/>
      <c r="J8" s="220"/>
      <c r="K8" s="220"/>
      <c r="L8" s="220"/>
      <c r="M8" s="220"/>
      <c r="N8" s="220"/>
      <c r="O8" s="220"/>
    </row>
    <row r="9">
      <c r="A9" t="s">
        <v>560</v>
      </c>
      <c r="B9" t="s">
        <v>561</v>
      </c>
      <c r="C9" s="220">
        <v>562.25999999999999</v>
      </c>
      <c r="D9" s="220">
        <v>221.34999999999999</v>
      </c>
      <c r="E9" s="220">
        <v>0</v>
      </c>
      <c r="F9" s="220">
        <v>56.82</v>
      </c>
      <c r="G9" s="220">
        <v>156.99000000000001</v>
      </c>
      <c r="H9" s="220">
        <v>123.01000000000001</v>
      </c>
      <c r="I9" s="220"/>
      <c r="J9" s="220"/>
      <c r="K9" s="220"/>
      <c r="L9" s="220"/>
      <c r="M9" s="220"/>
      <c r="N9" s="220"/>
      <c r="O9" s="220"/>
    </row>
    <row r="10">
      <c r="A10" t="s">
        <v>48</v>
      </c>
      <c r="B10" t="s">
        <v>49</v>
      </c>
      <c r="C10" s="220">
        <v>308.00999999999999</v>
      </c>
      <c r="D10" s="220">
        <v>178.97999999999999</v>
      </c>
      <c r="E10" s="220">
        <v>0</v>
      </c>
      <c r="F10" s="220">
        <v>56.82</v>
      </c>
      <c r="G10" s="220">
        <v>146.99000000000001</v>
      </c>
      <c r="H10" s="220">
        <v>123.01000000000001</v>
      </c>
      <c r="I10" s="220"/>
      <c r="J10" s="220"/>
      <c r="K10" s="220"/>
      <c r="L10" s="220"/>
      <c r="M10" s="220"/>
      <c r="N10" s="220"/>
      <c r="O10" s="220"/>
    </row>
    <row r="11">
      <c r="A11" t="s">
        <v>51</v>
      </c>
      <c r="B11" t="s">
        <v>52</v>
      </c>
      <c r="C11" s="220">
        <v>0</v>
      </c>
      <c r="D11" s="220">
        <v>0</v>
      </c>
      <c r="E11" s="220">
        <v>0</v>
      </c>
      <c r="F11" s="220">
        <v>0</v>
      </c>
      <c r="G11" s="220">
        <v>0</v>
      </c>
      <c r="H11" s="220">
        <v>0</v>
      </c>
      <c r="I11" s="220"/>
      <c r="J11" s="220"/>
      <c r="K11" s="220"/>
      <c r="L11" s="220"/>
      <c r="M11" s="220"/>
      <c r="N11" s="220"/>
      <c r="O11" s="220"/>
    </row>
    <row r="12">
      <c r="A12" t="s">
        <v>54</v>
      </c>
      <c r="B12" t="s">
        <v>55</v>
      </c>
      <c r="C12" s="220">
        <v>0</v>
      </c>
      <c r="D12" s="220">
        <v>42.369999999999997</v>
      </c>
      <c r="E12" s="220">
        <v>0</v>
      </c>
      <c r="F12" s="220">
        <v>0</v>
      </c>
      <c r="G12" s="220">
        <v>0</v>
      </c>
      <c r="H12" s="220">
        <v>0</v>
      </c>
      <c r="I12" s="220"/>
      <c r="J12" s="220"/>
      <c r="K12" s="220"/>
      <c r="L12" s="220"/>
      <c r="M12" s="220"/>
      <c r="N12" s="220"/>
      <c r="O12" s="220"/>
    </row>
    <row r="13">
      <c r="A13" t="s">
        <v>57</v>
      </c>
      <c r="B13" t="s">
        <v>58</v>
      </c>
      <c r="C13" s="220">
        <v>0</v>
      </c>
      <c r="D13" s="220">
        <v>0</v>
      </c>
      <c r="E13" s="220">
        <v>0</v>
      </c>
      <c r="F13" s="220">
        <v>0</v>
      </c>
      <c r="G13" s="220">
        <v>0</v>
      </c>
      <c r="H13" s="220">
        <v>0</v>
      </c>
      <c r="I13" s="220"/>
      <c r="J13" s="220"/>
      <c r="K13" s="220"/>
      <c r="L13" s="220"/>
      <c r="M13" s="220"/>
      <c r="N13" s="220"/>
      <c r="O13" s="220"/>
    </row>
    <row r="14">
      <c r="A14" t="s">
        <v>60</v>
      </c>
      <c r="B14" t="s">
        <v>61</v>
      </c>
      <c r="C14" s="220">
        <v>254.25</v>
      </c>
      <c r="D14" s="220">
        <v>0</v>
      </c>
      <c r="E14" s="220">
        <v>0</v>
      </c>
      <c r="F14" s="220">
        <v>0</v>
      </c>
      <c r="G14" s="220">
        <v>0</v>
      </c>
      <c r="H14" s="220">
        <v>0</v>
      </c>
      <c r="I14" s="220"/>
      <c r="J14" s="220"/>
      <c r="K14" s="220"/>
      <c r="L14" s="220"/>
      <c r="M14" s="220"/>
      <c r="N14" s="220"/>
      <c r="O14" s="220"/>
    </row>
    <row r="15">
      <c r="A15" t="s">
        <v>63</v>
      </c>
      <c r="B15" t="s">
        <v>64</v>
      </c>
      <c r="C15" s="220">
        <v>0</v>
      </c>
      <c r="D15" s="220">
        <v>0</v>
      </c>
      <c r="E15" s="220">
        <v>0</v>
      </c>
      <c r="F15" s="220">
        <v>0</v>
      </c>
      <c r="G15" s="220">
        <v>10</v>
      </c>
      <c r="H15" s="220">
        <v>0</v>
      </c>
      <c r="I15" s="220"/>
      <c r="J15" s="220"/>
      <c r="K15" s="220"/>
      <c r="L15" s="220"/>
      <c r="M15" s="220"/>
      <c r="N15" s="220"/>
      <c r="O15" s="220"/>
    </row>
    <row r="16">
      <c r="A16" t="s">
        <v>66</v>
      </c>
      <c r="B16" t="s">
        <v>67</v>
      </c>
      <c r="C16" s="220">
        <v>12036.459999999999</v>
      </c>
      <c r="D16" s="220">
        <v>8679.5900000000001</v>
      </c>
      <c r="E16" s="220">
        <v>9686.6299999999992</v>
      </c>
      <c r="F16" s="220">
        <v>14581.559999999999</v>
      </c>
      <c r="G16" s="220">
        <v>7453.6999999999998</v>
      </c>
      <c r="H16" s="220">
        <v>10501.290000000001</v>
      </c>
      <c r="I16" s="220"/>
      <c r="J16" s="220"/>
      <c r="K16" s="220"/>
      <c r="L16" s="220"/>
      <c r="M16" s="220"/>
      <c r="N16" s="220"/>
      <c r="O16" s="220"/>
    </row>
    <row r="17">
      <c r="A17" t="s">
        <v>69</v>
      </c>
      <c r="B17" t="s">
        <v>70</v>
      </c>
      <c r="C17" s="220">
        <v>18794.09</v>
      </c>
      <c r="D17" s="220">
        <v>27030.970000000001</v>
      </c>
      <c r="E17" s="220">
        <v>110045.72</v>
      </c>
      <c r="F17" s="220">
        <v>10962.42</v>
      </c>
      <c r="G17" s="220">
        <v>9606.0599999999995</v>
      </c>
      <c r="H17" s="220">
        <v>17895.139999999999</v>
      </c>
      <c r="I17" s="220"/>
      <c r="J17" s="220"/>
      <c r="K17" s="220"/>
      <c r="L17" s="220"/>
      <c r="M17" s="220"/>
      <c r="N17" s="220"/>
      <c r="O17" s="220"/>
    </row>
    <row r="18">
      <c r="A18" t="s">
        <v>562</v>
      </c>
      <c r="B18" t="s">
        <v>563</v>
      </c>
      <c r="C18" s="220">
        <v>6606.96</v>
      </c>
      <c r="D18" s="220">
        <v>6051.21</v>
      </c>
      <c r="E18" s="220">
        <v>8556.0100000000002</v>
      </c>
      <c r="F18" s="220">
        <v>6467.9700000000003</v>
      </c>
      <c r="G18" s="220">
        <v>3578.8899999999999</v>
      </c>
      <c r="H18" s="220">
        <v>9060.8099999999995</v>
      </c>
      <c r="I18" s="220"/>
      <c r="J18" s="220"/>
      <c r="K18" s="220"/>
      <c r="L18" s="220"/>
      <c r="M18" s="220"/>
      <c r="N18" s="220"/>
      <c r="O18" s="220"/>
    </row>
    <row r="19">
      <c r="A19" t="s">
        <v>72</v>
      </c>
      <c r="B19" t="s">
        <v>73</v>
      </c>
      <c r="C19" s="220">
        <v>6606.96</v>
      </c>
      <c r="D19" s="220">
        <v>6051.21</v>
      </c>
      <c r="E19" s="220">
        <v>8556.0100000000002</v>
      </c>
      <c r="F19" s="220">
        <v>6467.9700000000003</v>
      </c>
      <c r="G19" s="220">
        <v>3578.8899999999999</v>
      </c>
      <c r="H19" s="220">
        <v>9060.8099999999995</v>
      </c>
      <c r="I19" s="220"/>
      <c r="J19" s="220"/>
      <c r="K19" s="220"/>
      <c r="L19" s="220"/>
      <c r="M19" s="220"/>
      <c r="N19" s="220"/>
      <c r="O19" s="220"/>
    </row>
    <row r="20">
      <c r="A20" t="s">
        <v>75</v>
      </c>
      <c r="B20" t="s">
        <v>76</v>
      </c>
      <c r="C20" s="220">
        <v>0</v>
      </c>
      <c r="D20" s="220">
        <v>0</v>
      </c>
      <c r="E20" s="220">
        <v>0</v>
      </c>
      <c r="F20" s="220">
        <v>0</v>
      </c>
      <c r="G20" s="220">
        <v>0</v>
      </c>
      <c r="H20" s="220">
        <v>0</v>
      </c>
      <c r="I20" s="220"/>
      <c r="J20" s="220"/>
      <c r="K20" s="220"/>
      <c r="L20" s="220"/>
      <c r="M20" s="220"/>
      <c r="N20" s="220"/>
      <c r="O20" s="220"/>
    </row>
    <row r="21">
      <c r="A21" t="s">
        <v>564</v>
      </c>
      <c r="B21" t="s">
        <v>565</v>
      </c>
      <c r="C21" s="220">
        <v>0</v>
      </c>
      <c r="D21" s="220">
        <v>0</v>
      </c>
      <c r="E21" s="220">
        <v>0</v>
      </c>
      <c r="F21" s="220">
        <v>0</v>
      </c>
      <c r="G21" s="220">
        <v>0</v>
      </c>
      <c r="H21" s="220">
        <v>0</v>
      </c>
      <c r="I21" s="220"/>
      <c r="J21" s="220"/>
      <c r="K21" s="220"/>
      <c r="L21" s="220"/>
      <c r="M21" s="220"/>
      <c r="N21" s="220"/>
      <c r="O21" s="220"/>
    </row>
    <row r="22">
      <c r="A22" t="s">
        <v>78</v>
      </c>
      <c r="B22" t="s">
        <v>79</v>
      </c>
      <c r="C22" s="220">
        <v>0</v>
      </c>
      <c r="D22" s="220">
        <v>0</v>
      </c>
      <c r="E22" s="220">
        <v>0</v>
      </c>
      <c r="F22" s="220">
        <v>0</v>
      </c>
      <c r="G22" s="220">
        <v>0</v>
      </c>
      <c r="H22" s="220">
        <v>0</v>
      </c>
      <c r="I22" s="220"/>
      <c r="J22" s="220"/>
      <c r="K22" s="220"/>
      <c r="L22" s="220"/>
      <c r="M22" s="220"/>
      <c r="N22" s="220"/>
      <c r="O22" s="220"/>
    </row>
    <row r="23">
      <c r="A23" t="s">
        <v>81</v>
      </c>
      <c r="B23" t="s">
        <v>82</v>
      </c>
      <c r="C23" s="220">
        <v>0</v>
      </c>
      <c r="D23" s="220">
        <v>0</v>
      </c>
      <c r="E23" s="220">
        <v>0</v>
      </c>
      <c r="F23" s="220">
        <v>0</v>
      </c>
      <c r="G23" s="220">
        <v>0</v>
      </c>
      <c r="H23" s="220">
        <v>0</v>
      </c>
      <c r="I23" s="220"/>
      <c r="J23" s="220"/>
      <c r="K23" s="220"/>
      <c r="L23" s="220"/>
      <c r="M23" s="220"/>
      <c r="N23" s="220"/>
      <c r="O23" s="220"/>
    </row>
    <row r="24">
      <c r="A24" t="s">
        <v>566</v>
      </c>
      <c r="B24" t="s">
        <v>567</v>
      </c>
      <c r="C24" s="220">
        <v>12187.129999999999</v>
      </c>
      <c r="D24" s="220">
        <v>20979.759999999998</v>
      </c>
      <c r="E24" s="220">
        <v>101489.71000000001</v>
      </c>
      <c r="F24" s="220">
        <v>4494.4499999999998</v>
      </c>
      <c r="G24" s="220">
        <v>6027.1700000000001</v>
      </c>
      <c r="H24" s="220">
        <v>8834.3299999999999</v>
      </c>
      <c r="I24" s="220"/>
      <c r="J24" s="220"/>
      <c r="K24" s="220"/>
      <c r="L24" s="220"/>
      <c r="M24" s="220"/>
      <c r="N24" s="220"/>
      <c r="O24" s="220"/>
    </row>
    <row r="25">
      <c r="A25" t="s">
        <v>84</v>
      </c>
      <c r="B25" t="s">
        <v>85</v>
      </c>
      <c r="C25" s="220">
        <v>12187.129999999999</v>
      </c>
      <c r="D25" s="220">
        <v>20979.759999999998</v>
      </c>
      <c r="E25" s="220">
        <v>101489.71000000001</v>
      </c>
      <c r="F25" s="220">
        <v>4494.4499999999998</v>
      </c>
      <c r="G25" s="220">
        <v>6027.1700000000001</v>
      </c>
      <c r="H25" s="220">
        <v>8834.3299999999999</v>
      </c>
      <c r="I25" s="220"/>
      <c r="J25" s="220"/>
      <c r="K25" s="220"/>
      <c r="L25" s="220"/>
      <c r="M25" s="220"/>
      <c r="N25" s="220"/>
      <c r="O25" s="220"/>
    </row>
    <row r="26">
      <c r="A26" t="s">
        <v>87</v>
      </c>
      <c r="B26" t="s">
        <v>88</v>
      </c>
      <c r="C26" s="220">
        <v>0</v>
      </c>
      <c r="D26" s="221">
        <v>0</v>
      </c>
      <c r="E26" s="221">
        <v>0</v>
      </c>
      <c r="F26" s="220">
        <v>0</v>
      </c>
      <c r="G26" s="221">
        <v>0</v>
      </c>
      <c r="H26" s="221">
        <v>0</v>
      </c>
      <c r="I26" s="222"/>
      <c r="J26" s="222"/>
      <c r="K26" s="222"/>
      <c r="L26" s="222"/>
      <c r="M26" s="222"/>
      <c r="N26" s="220"/>
      <c r="O26" s="220"/>
    </row>
    <row r="27">
      <c r="A27" t="s">
        <v>90</v>
      </c>
      <c r="B27" t="s">
        <v>91</v>
      </c>
      <c r="C27" s="220">
        <v>45334.790000000001</v>
      </c>
      <c r="D27" s="221">
        <v>43000.029999999999</v>
      </c>
      <c r="E27" s="221">
        <v>47369.480000000003</v>
      </c>
      <c r="F27" s="220">
        <v>79461.970000000001</v>
      </c>
      <c r="G27" s="221">
        <v>32711.919999999998</v>
      </c>
      <c r="H27" s="221">
        <v>57628.849999999999</v>
      </c>
      <c r="I27" s="222"/>
      <c r="J27" s="222"/>
      <c r="K27" s="222"/>
      <c r="L27" s="222"/>
      <c r="M27" s="222"/>
      <c r="N27" s="220"/>
      <c r="O27" s="220"/>
    </row>
    <row r="28">
      <c r="A28" t="s">
        <v>93</v>
      </c>
      <c r="B28" t="s">
        <v>94</v>
      </c>
      <c r="C28" s="220">
        <v>0</v>
      </c>
      <c r="D28" s="220">
        <v>0</v>
      </c>
      <c r="E28" s="220">
        <v>0</v>
      </c>
      <c r="F28" s="220">
        <v>0</v>
      </c>
      <c r="G28" s="220">
        <v>0</v>
      </c>
      <c r="H28" s="220">
        <v>0</v>
      </c>
      <c r="I28" s="220"/>
      <c r="J28" s="220"/>
      <c r="K28" s="220"/>
      <c r="L28" s="220"/>
      <c r="M28" s="220"/>
      <c r="N28" s="220"/>
      <c r="O28" s="220"/>
    </row>
    <row r="29">
      <c r="A29" t="s">
        <v>568</v>
      </c>
      <c r="B29" t="s">
        <v>98</v>
      </c>
      <c r="C29" s="220">
        <v>24135.599999999999</v>
      </c>
      <c r="D29" s="220">
        <v>21631.360000000001</v>
      </c>
      <c r="E29" s="220">
        <v>35170.330000000002</v>
      </c>
      <c r="F29" s="220">
        <v>34766.970000000001</v>
      </c>
      <c r="G29" s="220">
        <v>22601.709999999999</v>
      </c>
      <c r="H29" s="220">
        <v>29211.869999999999</v>
      </c>
      <c r="I29" s="220"/>
      <c r="J29" s="220"/>
      <c r="K29" s="220"/>
      <c r="L29" s="220"/>
      <c r="M29" s="220"/>
      <c r="N29" s="220"/>
      <c r="O29" s="220"/>
    </row>
    <row r="30">
      <c r="A30" t="s">
        <v>569</v>
      </c>
      <c r="B30" t="s">
        <v>100</v>
      </c>
      <c r="C30" s="220">
        <v>1059.3599999999999</v>
      </c>
      <c r="D30" s="220">
        <v>635.62</v>
      </c>
      <c r="E30" s="220">
        <v>550.87</v>
      </c>
      <c r="F30" s="220">
        <v>1864.49</v>
      </c>
      <c r="G30" s="220">
        <v>720.37</v>
      </c>
      <c r="H30" s="220">
        <v>1271.23</v>
      </c>
      <c r="I30" s="220"/>
      <c r="J30" s="220"/>
      <c r="K30" s="220"/>
      <c r="L30" s="220"/>
      <c r="M30" s="220"/>
      <c r="N30" s="220"/>
      <c r="O30" s="220"/>
    </row>
    <row r="31">
      <c r="A31" t="s">
        <v>570</v>
      </c>
      <c r="B31" t="s">
        <v>102</v>
      </c>
      <c r="C31" s="220">
        <v>20139.830000000002</v>
      </c>
      <c r="D31" s="220">
        <v>20733.049999999999</v>
      </c>
      <c r="E31" s="220">
        <v>11203.360000000001</v>
      </c>
      <c r="F31" s="220">
        <v>42830.510000000002</v>
      </c>
      <c r="G31" s="220">
        <v>9389.8400000000001</v>
      </c>
      <c r="H31" s="220">
        <v>27145.75</v>
      </c>
      <c r="I31" s="220"/>
      <c r="J31" s="220"/>
      <c r="K31" s="220"/>
      <c r="L31" s="220"/>
      <c r="M31" s="220"/>
      <c r="N31" s="220"/>
      <c r="O31" s="220"/>
    </row>
    <row r="32">
      <c r="A32" t="s">
        <v>571</v>
      </c>
      <c r="B32" t="s">
        <v>104</v>
      </c>
      <c r="C32" s="220">
        <v>0</v>
      </c>
      <c r="D32" s="220">
        <v>0</v>
      </c>
      <c r="E32" s="220">
        <v>444.92000000000002</v>
      </c>
      <c r="F32" s="220">
        <v>0</v>
      </c>
      <c r="G32" s="220">
        <v>0</v>
      </c>
      <c r="H32" s="220">
        <v>0</v>
      </c>
      <c r="I32" s="220"/>
      <c r="J32" s="220"/>
      <c r="K32" s="220"/>
      <c r="L32" s="220"/>
      <c r="M32" s="220"/>
      <c r="N32" s="220"/>
      <c r="O32" s="220"/>
    </row>
    <row r="33">
      <c r="A33" t="s">
        <v>95</v>
      </c>
      <c r="B33" t="s">
        <v>96</v>
      </c>
      <c r="C33" s="220">
        <v>0</v>
      </c>
      <c r="D33" s="220">
        <v>0</v>
      </c>
      <c r="E33" s="220">
        <v>0</v>
      </c>
      <c r="F33" s="220">
        <v>0</v>
      </c>
      <c r="G33" s="220">
        <v>0</v>
      </c>
      <c r="H33" s="220">
        <v>0</v>
      </c>
      <c r="I33" s="220"/>
      <c r="J33" s="220"/>
      <c r="K33" s="220"/>
      <c r="L33" s="220"/>
      <c r="M33" s="220"/>
      <c r="N33" s="220"/>
      <c r="O33" s="220"/>
    </row>
    <row r="34">
      <c r="A34" t="s">
        <v>106</v>
      </c>
      <c r="B34" t="s">
        <v>107</v>
      </c>
      <c r="C34" s="220">
        <v>8556.6000000000004</v>
      </c>
      <c r="D34" s="220">
        <v>4878.29</v>
      </c>
      <c r="E34" s="220">
        <v>4501.8800000000001</v>
      </c>
      <c r="F34" s="220">
        <v>8695.2800000000007</v>
      </c>
      <c r="G34" s="220">
        <v>5929.2399999999998</v>
      </c>
      <c r="H34" s="220">
        <v>3860.3699999999999</v>
      </c>
      <c r="I34" s="220"/>
      <c r="J34" s="220"/>
      <c r="K34" s="220"/>
      <c r="L34" s="220"/>
      <c r="M34" s="220"/>
      <c r="N34" s="220"/>
      <c r="O34" s="220"/>
    </row>
    <row r="35">
      <c r="A35" t="s">
        <v>113</v>
      </c>
      <c r="B35" t="s">
        <v>110</v>
      </c>
      <c r="C35" s="220">
        <v>8556.6000000000004</v>
      </c>
      <c r="D35" s="220">
        <v>4878.29</v>
      </c>
      <c r="E35" s="220">
        <v>4501.8800000000001</v>
      </c>
      <c r="F35" s="220">
        <v>8695.2800000000007</v>
      </c>
      <c r="G35" s="220">
        <v>5929.2399999999998</v>
      </c>
      <c r="H35" s="220">
        <v>3860.3699999999999</v>
      </c>
      <c r="I35" s="220"/>
      <c r="J35" s="220"/>
      <c r="K35" s="220"/>
      <c r="L35" s="220"/>
      <c r="M35" s="220"/>
      <c r="N35" s="220"/>
      <c r="O35" s="220"/>
    </row>
    <row r="36">
      <c r="A36" t="s">
        <v>572</v>
      </c>
      <c r="B36" t="s">
        <v>112</v>
      </c>
      <c r="C36" s="220">
        <v>0</v>
      </c>
      <c r="D36" s="220">
        <v>0</v>
      </c>
      <c r="E36" s="220">
        <v>0</v>
      </c>
      <c r="F36" s="220">
        <v>0</v>
      </c>
      <c r="G36" s="220">
        <v>0</v>
      </c>
      <c r="H36" s="220">
        <v>0</v>
      </c>
      <c r="I36" s="220"/>
      <c r="J36" s="220"/>
      <c r="K36" s="220"/>
      <c r="L36" s="220"/>
      <c r="M36" s="220"/>
      <c r="N36" s="220"/>
      <c r="O36" s="220"/>
    </row>
    <row r="37">
      <c r="A37" t="s">
        <v>118</v>
      </c>
      <c r="B37" t="s">
        <v>115</v>
      </c>
      <c r="C37" s="220">
        <v>1000</v>
      </c>
      <c r="D37" s="220">
        <v>1000</v>
      </c>
      <c r="E37" s="220">
        <v>1000</v>
      </c>
      <c r="F37" s="220">
        <v>1000</v>
      </c>
      <c r="G37" s="220">
        <v>1000</v>
      </c>
      <c r="H37" s="220">
        <v>1000</v>
      </c>
      <c r="I37" s="220"/>
      <c r="J37" s="220"/>
      <c r="K37" s="220"/>
      <c r="L37" s="220"/>
      <c r="M37" s="220"/>
      <c r="N37" s="220"/>
      <c r="O37" s="220"/>
    </row>
    <row r="38">
      <c r="A38" t="s">
        <v>116</v>
      </c>
      <c r="B38" t="s">
        <v>117</v>
      </c>
      <c r="C38" s="220">
        <v>1000</v>
      </c>
      <c r="D38" s="220">
        <v>1000</v>
      </c>
      <c r="E38" s="220">
        <v>1000</v>
      </c>
      <c r="F38" s="220">
        <v>1000</v>
      </c>
      <c r="G38" s="220">
        <v>1000</v>
      </c>
      <c r="H38" s="220">
        <v>1000</v>
      </c>
      <c r="I38" s="220"/>
      <c r="J38" s="220"/>
      <c r="K38" s="220"/>
      <c r="L38" s="220"/>
      <c r="M38" s="220"/>
      <c r="N38" s="220"/>
      <c r="O38" s="220"/>
    </row>
    <row r="39">
      <c r="A39" t="s">
        <v>573</v>
      </c>
      <c r="B39" t="s">
        <v>120</v>
      </c>
      <c r="C39" s="220">
        <v>15</v>
      </c>
      <c r="D39" s="220">
        <v>0</v>
      </c>
      <c r="E39" s="220">
        <v>30</v>
      </c>
      <c r="F39" s="220">
        <v>0</v>
      </c>
      <c r="G39" s="220">
        <v>0</v>
      </c>
      <c r="H39" s="220">
        <v>0</v>
      </c>
      <c r="I39" s="220"/>
      <c r="J39" s="220"/>
      <c r="K39" s="220"/>
      <c r="L39" s="220"/>
      <c r="M39" s="220"/>
      <c r="N39" s="220"/>
      <c r="O39" s="220"/>
    </row>
    <row r="40">
      <c r="A40" t="s">
        <v>121</v>
      </c>
      <c r="B40" t="s">
        <v>122</v>
      </c>
      <c r="C40" s="220">
        <v>0</v>
      </c>
      <c r="D40" s="220">
        <v>0</v>
      </c>
      <c r="E40" s="220">
        <v>0</v>
      </c>
      <c r="F40" s="220">
        <v>0</v>
      </c>
      <c r="G40" s="220">
        <v>0</v>
      </c>
      <c r="H40" s="220">
        <v>0</v>
      </c>
      <c r="I40" s="220"/>
      <c r="J40" s="220"/>
      <c r="K40" s="220"/>
      <c r="L40" s="220"/>
      <c r="M40" s="220"/>
      <c r="N40" s="220"/>
      <c r="O40" s="220"/>
    </row>
    <row r="41">
      <c r="A41" t="s">
        <v>124</v>
      </c>
      <c r="B41" t="s">
        <v>125</v>
      </c>
      <c r="C41" s="220">
        <v>15</v>
      </c>
      <c r="D41" s="220">
        <v>0</v>
      </c>
      <c r="E41" s="220">
        <v>30</v>
      </c>
      <c r="F41" s="220">
        <v>0</v>
      </c>
      <c r="G41" s="220">
        <v>0</v>
      </c>
      <c r="H41" s="220">
        <v>0</v>
      </c>
      <c r="I41" s="220"/>
      <c r="J41" s="220"/>
      <c r="K41" s="220"/>
      <c r="L41" s="220"/>
      <c r="M41" s="220"/>
      <c r="N41" s="220"/>
      <c r="O41" s="220"/>
    </row>
    <row r="42">
      <c r="A42" t="s">
        <v>574</v>
      </c>
      <c r="B42" t="s">
        <v>128</v>
      </c>
      <c r="C42" s="220">
        <v>2500</v>
      </c>
      <c r="D42" s="220">
        <v>2500</v>
      </c>
      <c r="E42" s="220">
        <v>2500</v>
      </c>
      <c r="F42" s="220">
        <v>2500</v>
      </c>
      <c r="G42" s="220">
        <v>2500</v>
      </c>
      <c r="H42" s="220">
        <v>2500</v>
      </c>
      <c r="I42" s="220"/>
      <c r="J42" s="220"/>
      <c r="K42" s="220"/>
      <c r="L42" s="220"/>
      <c r="M42" s="220"/>
      <c r="N42" s="220"/>
      <c r="O42" s="220"/>
    </row>
    <row r="43">
      <c r="A43" t="s">
        <v>140</v>
      </c>
      <c r="B43" t="s">
        <v>130</v>
      </c>
      <c r="C43" s="220">
        <v>2500</v>
      </c>
      <c r="D43" s="220">
        <v>2500</v>
      </c>
      <c r="E43" s="220">
        <v>2500</v>
      </c>
      <c r="F43" s="220">
        <v>2500</v>
      </c>
      <c r="G43" s="220">
        <v>2500</v>
      </c>
      <c r="H43" s="220">
        <v>2500</v>
      </c>
      <c r="I43" s="220"/>
      <c r="J43" s="220"/>
      <c r="K43" s="220"/>
      <c r="L43" s="220"/>
      <c r="M43" s="220"/>
      <c r="N43" s="220"/>
      <c r="O43" s="220"/>
    </row>
    <row r="44">
      <c r="A44" s="185"/>
      <c r="B44"/>
      <c r="C44" s="221">
        <v>512157.73999999999</v>
      </c>
      <c r="D44" s="220">
        <v>459676.64000000001</v>
      </c>
      <c r="E44" s="220">
        <v>499214.17999999999</v>
      </c>
      <c r="F44" s="220">
        <v>487372.41999999998</v>
      </c>
      <c r="G44" s="220">
        <v>458137.47999999998</v>
      </c>
      <c r="H44" s="220">
        <v>462999.09000000003</v>
      </c>
      <c r="I44" s="220"/>
      <c r="J44" s="220"/>
      <c r="K44" s="220"/>
      <c r="L44" s="220"/>
      <c r="M44" s="220"/>
      <c r="N44" s="220"/>
      <c r="O44" s="220"/>
    </row>
    <row r="45">
      <c r="A45" s="185" t="s">
        <v>131</v>
      </c>
      <c r="B45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</row>
    <row r="46">
      <c r="A46" t="s">
        <v>575</v>
      </c>
      <c r="B46" t="s">
        <v>133</v>
      </c>
      <c r="C46" s="220">
        <v>0</v>
      </c>
      <c r="D46" s="220">
        <v>0</v>
      </c>
      <c r="E46" s="220">
        <v>0</v>
      </c>
      <c r="F46" s="220">
        <v>0</v>
      </c>
      <c r="G46" s="220">
        <v>0</v>
      </c>
      <c r="H46" s="220">
        <v>0</v>
      </c>
      <c r="I46" s="220"/>
      <c r="J46" s="220"/>
      <c r="K46" s="220"/>
      <c r="L46" s="220"/>
      <c r="M46" s="220"/>
      <c r="N46" s="220"/>
      <c r="O46" s="220"/>
    </row>
    <row r="47">
      <c r="A47" t="s">
        <v>576</v>
      </c>
      <c r="B47" t="s">
        <v>135</v>
      </c>
      <c r="C47" s="220">
        <v>0</v>
      </c>
      <c r="D47" s="220">
        <v>0</v>
      </c>
      <c r="E47" s="220">
        <v>0</v>
      </c>
      <c r="F47" s="220">
        <v>0</v>
      </c>
      <c r="G47" s="220">
        <v>0</v>
      </c>
      <c r="H47" s="220">
        <v>0</v>
      </c>
      <c r="I47" s="220"/>
      <c r="J47" s="220"/>
      <c r="K47" s="220"/>
      <c r="L47" s="220"/>
      <c r="M47" s="220"/>
      <c r="N47" s="220"/>
      <c r="O47" s="220"/>
    </row>
    <row r="48">
      <c r="A48" t="s">
        <v>577</v>
      </c>
      <c r="B48" t="s">
        <v>137</v>
      </c>
      <c r="C48" s="220">
        <v>0</v>
      </c>
      <c r="D48" s="220">
        <v>0</v>
      </c>
      <c r="E48" s="220">
        <v>0</v>
      </c>
      <c r="F48" s="220">
        <v>0</v>
      </c>
      <c r="G48" s="220">
        <v>0</v>
      </c>
      <c r="H48" s="220">
        <v>0</v>
      </c>
      <c r="I48" s="220"/>
      <c r="J48" s="220"/>
      <c r="K48" s="220"/>
      <c r="L48" s="220"/>
      <c r="M48" s="220"/>
      <c r="N48" s="220"/>
      <c r="O48" s="220"/>
    </row>
    <row r="49">
      <c r="A49" t="s">
        <v>578</v>
      </c>
      <c r="B49" t="s">
        <v>139</v>
      </c>
      <c r="C49" s="220">
        <v>0</v>
      </c>
      <c r="D49" s="220">
        <v>0</v>
      </c>
      <c r="E49" s="220">
        <v>0</v>
      </c>
      <c r="F49" s="220">
        <v>0</v>
      </c>
      <c r="G49" s="220">
        <v>0</v>
      </c>
      <c r="H49" s="220">
        <v>0</v>
      </c>
      <c r="I49" s="220"/>
      <c r="J49" s="220"/>
      <c r="K49" s="220"/>
      <c r="L49" s="220"/>
      <c r="M49" s="220"/>
      <c r="N49" s="220"/>
      <c r="O49" s="220"/>
    </row>
    <row r="50">
      <c r="A50" s="185"/>
      <c r="B50"/>
      <c r="C50" s="221">
        <v>0</v>
      </c>
      <c r="D50" s="220">
        <v>0</v>
      </c>
      <c r="E50" s="220">
        <v>0</v>
      </c>
      <c r="F50" s="220">
        <v>0</v>
      </c>
      <c r="G50" s="220">
        <v>0</v>
      </c>
      <c r="H50" s="220">
        <v>0</v>
      </c>
      <c r="I50" s="220"/>
      <c r="J50" s="220"/>
      <c r="K50" s="220"/>
      <c r="L50" s="220"/>
      <c r="M50" s="220"/>
      <c r="N50" s="220"/>
      <c r="O50" s="220"/>
    </row>
    <row r="51">
      <c r="A51" s="185" t="s">
        <v>579</v>
      </c>
      <c r="B51"/>
      <c r="C51" s="221">
        <v>512157.73999999999</v>
      </c>
      <c r="D51" s="220">
        <v>459676.64000000001</v>
      </c>
      <c r="E51" s="220">
        <v>499214.17999999999</v>
      </c>
      <c r="F51" s="220">
        <v>487372.41999999998</v>
      </c>
      <c r="G51" s="220">
        <v>458137.47999999998</v>
      </c>
      <c r="H51" s="220">
        <v>462999.09000000003</v>
      </c>
      <c r="I51" s="220"/>
      <c r="J51" s="220"/>
      <c r="K51" s="220"/>
      <c r="L51" s="220"/>
      <c r="M51" s="220"/>
      <c r="N51" s="220"/>
      <c r="O51" s="220"/>
    </row>
    <row r="52">
      <c r="A52" s="185" t="s">
        <v>142</v>
      </c>
      <c r="B52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</row>
    <row r="53">
      <c r="A53" t="s">
        <v>144</v>
      </c>
      <c r="B53" t="s">
        <v>145</v>
      </c>
      <c r="C53" s="220">
        <v>41167.699999999997</v>
      </c>
      <c r="D53" s="220">
        <v>40202.099999999999</v>
      </c>
      <c r="E53" s="220">
        <v>44444.290000000001</v>
      </c>
      <c r="F53" s="220">
        <v>38689.93</v>
      </c>
      <c r="G53" s="220">
        <v>39319.489999999998</v>
      </c>
      <c r="H53" s="220">
        <v>36922.050000000003</v>
      </c>
      <c r="I53" s="220"/>
      <c r="J53" s="220"/>
      <c r="K53" s="220"/>
      <c r="L53" s="220"/>
      <c r="M53" s="220"/>
      <c r="N53" s="220"/>
      <c r="O53" s="220"/>
    </row>
    <row r="54">
      <c r="A54" t="s">
        <v>580</v>
      </c>
      <c r="B54" t="s">
        <v>581</v>
      </c>
      <c r="C54" s="220">
        <v>0</v>
      </c>
      <c r="D54" s="220">
        <v>0</v>
      </c>
      <c r="E54" s="220">
        <v>0</v>
      </c>
      <c r="F54" s="220">
        <v>0</v>
      </c>
      <c r="G54" s="220">
        <v>0</v>
      </c>
      <c r="H54" s="220">
        <v>0</v>
      </c>
      <c r="I54" s="220"/>
      <c r="J54" s="220"/>
      <c r="K54" s="220"/>
      <c r="L54" s="220"/>
      <c r="M54" s="220"/>
      <c r="N54" s="220"/>
      <c r="O54" s="220"/>
    </row>
    <row r="55">
      <c r="A55" t="s">
        <v>147</v>
      </c>
      <c r="B55" t="s">
        <v>148</v>
      </c>
      <c r="C55" s="220">
        <v>54076.440000000002</v>
      </c>
      <c r="D55" s="221">
        <v>40039.139999999999</v>
      </c>
      <c r="E55" s="221">
        <v>37963.669999999998</v>
      </c>
      <c r="F55" s="220">
        <v>31837.16</v>
      </c>
      <c r="G55" s="221">
        <v>37307.220000000001</v>
      </c>
      <c r="H55" s="221">
        <v>39470.190000000002</v>
      </c>
      <c r="I55" s="222"/>
      <c r="J55" s="222"/>
      <c r="K55" s="222"/>
      <c r="L55" s="222"/>
      <c r="M55" s="222"/>
      <c r="N55" s="220"/>
      <c r="O55" s="220"/>
    </row>
    <row r="56">
      <c r="A56" t="s">
        <v>150</v>
      </c>
      <c r="B56" t="s">
        <v>151</v>
      </c>
      <c r="C56" s="220">
        <v>25601</v>
      </c>
      <c r="D56" s="221">
        <v>13590</v>
      </c>
      <c r="E56" s="221">
        <v>15527</v>
      </c>
      <c r="F56" s="220">
        <v>7622</v>
      </c>
      <c r="G56" s="221">
        <v>12180</v>
      </c>
      <c r="H56" s="221">
        <v>10342</v>
      </c>
      <c r="I56" s="222"/>
      <c r="J56" s="222"/>
      <c r="K56" s="222"/>
      <c r="L56" s="222"/>
      <c r="M56" s="222"/>
      <c r="N56" s="220"/>
      <c r="O56" s="220"/>
    </row>
    <row r="57">
      <c r="A57" t="s">
        <v>582</v>
      </c>
      <c r="B57" t="s">
        <v>583</v>
      </c>
      <c r="C57" s="220">
        <v>0</v>
      </c>
      <c r="D57" s="220">
        <v>0</v>
      </c>
      <c r="E57" s="220">
        <v>0</v>
      </c>
      <c r="F57" s="220">
        <v>0</v>
      </c>
      <c r="G57" s="220">
        <v>0</v>
      </c>
      <c r="H57" s="220">
        <v>0</v>
      </c>
      <c r="I57" s="220"/>
      <c r="J57" s="220"/>
      <c r="K57" s="220"/>
      <c r="L57" s="220"/>
      <c r="M57" s="220"/>
      <c r="N57" s="220"/>
      <c r="O57" s="220"/>
    </row>
    <row r="58">
      <c r="A58" t="s">
        <v>153</v>
      </c>
      <c r="B58" t="s">
        <v>154</v>
      </c>
      <c r="C58" s="220">
        <v>0</v>
      </c>
      <c r="D58" s="220">
        <v>0</v>
      </c>
      <c r="E58" s="220">
        <v>0</v>
      </c>
      <c r="F58" s="220">
        <v>0</v>
      </c>
      <c r="G58" s="220">
        <v>0</v>
      </c>
      <c r="H58" s="220">
        <v>0</v>
      </c>
      <c r="I58" s="220"/>
      <c r="J58" s="220"/>
      <c r="K58" s="220"/>
      <c r="L58" s="220"/>
      <c r="M58" s="220"/>
      <c r="N58" s="220"/>
      <c r="O58" s="220"/>
    </row>
    <row r="59">
      <c r="A59" t="s">
        <v>156</v>
      </c>
      <c r="B59" t="s">
        <v>157</v>
      </c>
      <c r="C59" s="220">
        <v>0</v>
      </c>
      <c r="D59" s="220">
        <v>0</v>
      </c>
      <c r="E59" s="220">
        <v>0</v>
      </c>
      <c r="F59" s="220">
        <v>0</v>
      </c>
      <c r="G59" s="220">
        <v>0</v>
      </c>
      <c r="H59" s="220">
        <v>0</v>
      </c>
      <c r="I59" s="220"/>
      <c r="J59" s="220"/>
      <c r="K59" s="220"/>
      <c r="L59" s="220"/>
      <c r="M59" s="220"/>
      <c r="N59" s="220"/>
      <c r="O59" s="220"/>
    </row>
    <row r="60">
      <c r="A60" t="s">
        <v>159</v>
      </c>
      <c r="B60" t="s">
        <v>160</v>
      </c>
      <c r="C60" s="220">
        <v>0</v>
      </c>
      <c r="D60" s="221">
        <v>0</v>
      </c>
      <c r="E60" s="221">
        <v>0</v>
      </c>
      <c r="F60" s="220">
        <v>0</v>
      </c>
      <c r="G60" s="221">
        <v>0</v>
      </c>
      <c r="H60" s="221">
        <v>0</v>
      </c>
      <c r="I60" s="222"/>
      <c r="J60" s="222"/>
      <c r="K60" s="222"/>
      <c r="L60" s="222"/>
      <c r="M60" s="222"/>
      <c r="N60" s="220"/>
      <c r="O60" s="220"/>
    </row>
    <row r="61">
      <c r="A61" t="s">
        <v>162</v>
      </c>
      <c r="B61" t="s">
        <v>163</v>
      </c>
      <c r="C61" s="220">
        <v>0</v>
      </c>
      <c r="D61" s="220">
        <v>0</v>
      </c>
      <c r="E61" s="220">
        <v>0</v>
      </c>
      <c r="F61" s="220">
        <v>0</v>
      </c>
      <c r="G61" s="220">
        <v>0</v>
      </c>
      <c r="H61" s="220">
        <v>0</v>
      </c>
      <c r="I61" s="220"/>
      <c r="J61" s="220"/>
      <c r="K61" s="220"/>
      <c r="L61" s="220"/>
      <c r="M61" s="220"/>
      <c r="N61" s="220"/>
      <c r="O61" s="220"/>
    </row>
    <row r="62">
      <c r="A62" t="s">
        <v>165</v>
      </c>
      <c r="B62" t="s">
        <v>166</v>
      </c>
      <c r="C62" s="220">
        <v>28475.439999999999</v>
      </c>
      <c r="D62" s="220">
        <v>26449.139999999999</v>
      </c>
      <c r="E62" s="220">
        <v>22436.669999999998</v>
      </c>
      <c r="F62" s="220">
        <v>24215.16</v>
      </c>
      <c r="G62" s="220">
        <v>25127.220000000001</v>
      </c>
      <c r="H62" s="220">
        <v>29128.189999999999</v>
      </c>
      <c r="I62" s="220"/>
      <c r="J62" s="220"/>
      <c r="K62" s="220"/>
      <c r="L62" s="220"/>
      <c r="M62" s="220"/>
      <c r="N62" s="220"/>
      <c r="O62" s="220"/>
    </row>
    <row r="63">
      <c r="A63" t="s">
        <v>168</v>
      </c>
      <c r="B63" t="s">
        <v>169</v>
      </c>
      <c r="C63" s="220">
        <v>36014.300000000003</v>
      </c>
      <c r="D63" s="220">
        <v>50142.150000000001</v>
      </c>
      <c r="E63" s="220">
        <v>51584.709999999999</v>
      </c>
      <c r="F63" s="220">
        <v>32936.580000000002</v>
      </c>
      <c r="G63" s="220">
        <v>22839.110000000001</v>
      </c>
      <c r="H63" s="220">
        <v>28254.209999999999</v>
      </c>
      <c r="I63" s="220"/>
      <c r="J63" s="220"/>
      <c r="K63" s="220"/>
      <c r="L63" s="220"/>
      <c r="M63" s="220"/>
      <c r="N63" s="220"/>
      <c r="O63" s="220"/>
      <c r="P63" s="214"/>
      <c r="Q63" s="214"/>
      <c r="R63" s="214"/>
      <c r="S63" s="214"/>
      <c r="T63" s="214"/>
      <c r="U63" s="214"/>
      <c r="V63" s="214"/>
      <c r="W63" s="214"/>
      <c r="X63" s="214"/>
      <c r="Y63" s="214"/>
    </row>
    <row r="64">
      <c r="A64" t="s">
        <v>584</v>
      </c>
      <c r="B64" t="s">
        <v>585</v>
      </c>
      <c r="C64" s="220">
        <v>0</v>
      </c>
      <c r="D64" s="220">
        <v>0</v>
      </c>
      <c r="E64" s="220">
        <v>0</v>
      </c>
      <c r="F64" s="220">
        <v>0</v>
      </c>
      <c r="G64" s="220">
        <v>0</v>
      </c>
      <c r="H64" s="220">
        <v>0</v>
      </c>
      <c r="I64" s="220"/>
      <c r="J64" s="220"/>
      <c r="K64" s="220"/>
      <c r="L64" s="220"/>
      <c r="M64" s="220"/>
      <c r="N64" s="220"/>
      <c r="O64" s="220"/>
    </row>
    <row r="65">
      <c r="A65" s="223" t="s">
        <v>586</v>
      </c>
      <c r="B65" t="s">
        <v>172</v>
      </c>
      <c r="C65" s="220">
        <v>0</v>
      </c>
      <c r="D65" s="220">
        <v>0</v>
      </c>
      <c r="E65" s="220">
        <v>0</v>
      </c>
      <c r="F65" s="220">
        <v>0</v>
      </c>
      <c r="G65" s="220">
        <v>0</v>
      </c>
      <c r="H65" s="220">
        <v>0</v>
      </c>
      <c r="I65" s="220"/>
      <c r="J65" s="220"/>
      <c r="K65" s="220"/>
      <c r="L65" s="220"/>
      <c r="M65" s="220"/>
      <c r="N65" s="220"/>
      <c r="O65" s="220"/>
    </row>
    <row r="66">
      <c r="A66" s="223" t="s">
        <v>587</v>
      </c>
      <c r="B66" t="s">
        <v>175</v>
      </c>
      <c r="C66" s="220">
        <v>0</v>
      </c>
      <c r="D66" s="220">
        <v>0</v>
      </c>
      <c r="E66" s="220">
        <v>0</v>
      </c>
      <c r="F66" s="220">
        <v>0</v>
      </c>
      <c r="G66" s="220">
        <v>0</v>
      </c>
      <c r="H66" s="220">
        <v>0</v>
      </c>
      <c r="I66" s="220"/>
      <c r="J66" s="220"/>
      <c r="K66" s="220"/>
      <c r="L66" s="220"/>
      <c r="M66" s="220"/>
      <c r="N66" s="220"/>
      <c r="O66" s="220"/>
    </row>
    <row r="67">
      <c r="A67" t="s">
        <v>177</v>
      </c>
      <c r="B67" t="s">
        <v>178</v>
      </c>
      <c r="C67" s="220">
        <v>0</v>
      </c>
      <c r="D67" s="220">
        <v>0</v>
      </c>
      <c r="E67" s="220">
        <v>0</v>
      </c>
      <c r="F67" s="220">
        <v>0</v>
      </c>
      <c r="G67" s="220">
        <v>0</v>
      </c>
      <c r="H67" s="220">
        <v>0</v>
      </c>
      <c r="I67" s="220"/>
      <c r="J67" s="220"/>
      <c r="K67" s="220"/>
      <c r="L67" s="220"/>
      <c r="M67" s="220"/>
      <c r="N67" s="220"/>
      <c r="O67" s="220"/>
    </row>
    <row r="68">
      <c r="A68" s="224" t="s">
        <v>588</v>
      </c>
      <c r="B68" t="s">
        <v>181</v>
      </c>
      <c r="C68" s="220">
        <v>0</v>
      </c>
      <c r="D68" s="220">
        <v>0</v>
      </c>
      <c r="E68" s="220">
        <v>0</v>
      </c>
      <c r="F68" s="220">
        <v>0</v>
      </c>
      <c r="G68" s="220">
        <v>0</v>
      </c>
      <c r="H68" s="220">
        <v>0</v>
      </c>
      <c r="I68" s="220"/>
      <c r="J68" s="220"/>
      <c r="K68" s="220"/>
      <c r="L68" s="220"/>
      <c r="M68" s="220"/>
      <c r="N68" s="220"/>
      <c r="O68" s="220"/>
    </row>
    <row r="69">
      <c r="A69" t="s">
        <v>183</v>
      </c>
      <c r="B69" t="s">
        <v>184</v>
      </c>
      <c r="C69" s="220">
        <v>0</v>
      </c>
      <c r="D69" s="220">
        <v>0</v>
      </c>
      <c r="E69" s="220">
        <v>0</v>
      </c>
      <c r="F69" s="220">
        <v>0</v>
      </c>
      <c r="G69" s="220">
        <v>0</v>
      </c>
      <c r="H69" s="220">
        <v>0</v>
      </c>
      <c r="I69" s="220"/>
      <c r="J69" s="220"/>
      <c r="K69" s="220"/>
      <c r="L69" s="220"/>
      <c r="M69" s="220"/>
      <c r="N69" s="220"/>
      <c r="O69" s="220"/>
    </row>
    <row r="70">
      <c r="A70" s="223" t="s">
        <v>589</v>
      </c>
      <c r="B70" t="s">
        <v>187</v>
      </c>
      <c r="C70" s="220">
        <v>34428.980000000003</v>
      </c>
      <c r="D70" s="220">
        <v>43138.18</v>
      </c>
      <c r="E70" s="220">
        <v>50054.410000000003</v>
      </c>
      <c r="F70" s="220">
        <v>30865.200000000001</v>
      </c>
      <c r="G70" s="220">
        <v>19949.25</v>
      </c>
      <c r="H70" s="220">
        <v>28190.810000000001</v>
      </c>
      <c r="I70" s="220"/>
      <c r="J70" s="220"/>
      <c r="K70" s="220"/>
      <c r="L70" s="220"/>
      <c r="M70" s="220"/>
      <c r="N70" s="220"/>
      <c r="O70" s="220"/>
    </row>
    <row r="71">
      <c r="A71" t="s">
        <v>189</v>
      </c>
      <c r="B71" t="s">
        <v>190</v>
      </c>
      <c r="C71" s="220">
        <v>0</v>
      </c>
      <c r="D71" s="220">
        <v>0</v>
      </c>
      <c r="E71" s="220">
        <v>0</v>
      </c>
      <c r="F71" s="220">
        <v>0</v>
      </c>
      <c r="G71" s="220">
        <v>0</v>
      </c>
      <c r="H71" s="220">
        <v>0</v>
      </c>
      <c r="I71" s="220"/>
      <c r="J71" s="220"/>
      <c r="K71" s="220"/>
      <c r="L71" s="220"/>
      <c r="M71" s="220"/>
      <c r="N71" s="220"/>
      <c r="O71" s="220"/>
    </row>
    <row r="72">
      <c r="A72" s="223" t="s">
        <v>192</v>
      </c>
      <c r="B72" t="s">
        <v>193</v>
      </c>
      <c r="C72" s="220">
        <v>1585.3199999999999</v>
      </c>
      <c r="D72" s="220">
        <v>7003.9700000000003</v>
      </c>
      <c r="E72" s="220">
        <v>1530.3</v>
      </c>
      <c r="F72" s="220">
        <v>2071.3800000000001</v>
      </c>
      <c r="G72" s="220">
        <v>2889.8600000000001</v>
      </c>
      <c r="H72" s="220">
        <v>63.399999999999999</v>
      </c>
      <c r="I72" s="220"/>
      <c r="J72" s="220"/>
      <c r="K72" s="220"/>
      <c r="L72" s="220"/>
      <c r="M72" s="220"/>
      <c r="N72" s="220"/>
      <c r="O72" s="220"/>
    </row>
    <row r="73">
      <c r="A73" t="s">
        <v>195</v>
      </c>
      <c r="B73" t="s">
        <v>196</v>
      </c>
      <c r="C73" s="220">
        <v>0</v>
      </c>
      <c r="D73" s="220">
        <v>0</v>
      </c>
      <c r="E73" s="220">
        <v>0</v>
      </c>
      <c r="F73" s="220">
        <v>0</v>
      </c>
      <c r="G73" s="220">
        <v>0</v>
      </c>
      <c r="H73" s="220">
        <v>0</v>
      </c>
      <c r="I73" s="220"/>
      <c r="J73" s="220"/>
      <c r="K73" s="220"/>
      <c r="L73" s="220"/>
      <c r="M73" s="220"/>
      <c r="N73" s="220"/>
      <c r="O73" s="220"/>
    </row>
    <row r="74">
      <c r="A74" t="s">
        <v>198</v>
      </c>
      <c r="B74" t="s">
        <v>199</v>
      </c>
      <c r="C74" s="220">
        <v>1196</v>
      </c>
      <c r="D74" s="220">
        <v>1592</v>
      </c>
      <c r="E74" s="220">
        <v>1820</v>
      </c>
      <c r="F74" s="220">
        <v>1740</v>
      </c>
      <c r="G74" s="220">
        <v>1652</v>
      </c>
      <c r="H74" s="220">
        <v>4280</v>
      </c>
      <c r="I74" s="220"/>
      <c r="J74" s="220"/>
      <c r="K74" s="220"/>
      <c r="L74" s="220"/>
      <c r="M74" s="220"/>
      <c r="N74" s="220"/>
      <c r="O74" s="220"/>
    </row>
    <row r="75">
      <c r="A75" t="s">
        <v>201</v>
      </c>
      <c r="B75" t="s">
        <v>202</v>
      </c>
      <c r="C75" s="220">
        <v>1196</v>
      </c>
      <c r="D75" s="220">
        <v>1592</v>
      </c>
      <c r="E75" s="220">
        <v>1820</v>
      </c>
      <c r="F75" s="220">
        <v>1740</v>
      </c>
      <c r="G75" s="220">
        <v>1652</v>
      </c>
      <c r="H75" s="220">
        <v>4280</v>
      </c>
      <c r="I75" s="220"/>
      <c r="J75" s="220"/>
      <c r="K75" s="220"/>
      <c r="L75" s="220"/>
      <c r="M75" s="220"/>
      <c r="N75" s="220"/>
      <c r="O75" s="220"/>
    </row>
    <row r="76">
      <c r="A76" t="s">
        <v>203</v>
      </c>
      <c r="B76" t="s">
        <v>204</v>
      </c>
      <c r="C76" s="220">
        <v>0</v>
      </c>
      <c r="D76" s="220">
        <v>0</v>
      </c>
      <c r="E76" s="220">
        <v>0</v>
      </c>
      <c r="F76" s="220">
        <v>0</v>
      </c>
      <c r="G76" s="220">
        <v>0</v>
      </c>
      <c r="H76" s="220">
        <v>0</v>
      </c>
      <c r="I76" s="220"/>
      <c r="J76" s="220"/>
      <c r="K76" s="220"/>
      <c r="L76" s="220"/>
      <c r="M76" s="220"/>
      <c r="N76" s="220"/>
      <c r="O76" s="220"/>
    </row>
    <row r="77">
      <c r="A77" t="s">
        <v>206</v>
      </c>
      <c r="B77" t="s">
        <v>207</v>
      </c>
      <c r="C77" s="220">
        <v>0</v>
      </c>
      <c r="D77" s="220">
        <v>0</v>
      </c>
      <c r="E77" s="220">
        <v>0</v>
      </c>
      <c r="F77" s="220">
        <v>0</v>
      </c>
      <c r="G77" s="220">
        <v>0</v>
      </c>
      <c r="H77" s="220">
        <v>0</v>
      </c>
      <c r="I77" s="220"/>
      <c r="J77" s="220"/>
      <c r="K77" s="220"/>
      <c r="L77" s="220"/>
      <c r="M77" s="220"/>
      <c r="N77" s="220"/>
      <c r="O77" s="220"/>
    </row>
    <row r="78">
      <c r="A78" t="s">
        <v>209</v>
      </c>
      <c r="B78" t="s">
        <v>210</v>
      </c>
      <c r="C78" s="220">
        <v>-40202.099999999999</v>
      </c>
      <c r="D78" s="220">
        <v>-44444.290000000001</v>
      </c>
      <c r="E78" s="220">
        <v>-38689.93</v>
      </c>
      <c r="F78" s="220">
        <v>-39319.489999999998</v>
      </c>
      <c r="G78" s="220">
        <v>-36922.050000000003</v>
      </c>
      <c r="H78" s="220">
        <v>-35738.370000000003</v>
      </c>
      <c r="I78" s="220"/>
      <c r="J78" s="220"/>
      <c r="K78" s="220"/>
      <c r="L78" s="220"/>
      <c r="M78" s="220"/>
      <c r="N78" s="220"/>
      <c r="O78" s="220"/>
    </row>
    <row r="79">
      <c r="A79" t="s">
        <v>212</v>
      </c>
      <c r="B79" t="s">
        <v>213</v>
      </c>
      <c r="C79" s="220">
        <v>4589.3000000000002</v>
      </c>
      <c r="D79" s="220">
        <v>4909.8400000000001</v>
      </c>
      <c r="E79" s="220">
        <v>4238.0100000000002</v>
      </c>
      <c r="F79" s="220">
        <v>3901.3200000000002</v>
      </c>
      <c r="G79" s="220">
        <v>3883.8299999999999</v>
      </c>
      <c r="H79" s="220">
        <v>5172.21</v>
      </c>
      <c r="I79" s="220"/>
      <c r="J79" s="220"/>
      <c r="K79" s="220"/>
      <c r="L79" s="220"/>
      <c r="M79" s="220"/>
      <c r="N79" s="220"/>
      <c r="O79" s="220"/>
    </row>
    <row r="80">
      <c r="A80" t="s">
        <v>215</v>
      </c>
      <c r="B80" t="s">
        <v>216</v>
      </c>
      <c r="C80" s="220">
        <v>4370.5500000000002</v>
      </c>
      <c r="D80" s="220">
        <v>4834.21</v>
      </c>
      <c r="E80" s="220">
        <v>3915.98</v>
      </c>
      <c r="F80" s="220">
        <v>3820.4000000000001</v>
      </c>
      <c r="G80" s="220">
        <v>3862.46</v>
      </c>
      <c r="H80" s="220">
        <v>5147.7399999999998</v>
      </c>
      <c r="I80" s="220"/>
      <c r="J80" s="220"/>
      <c r="K80" s="220"/>
      <c r="L80" s="220"/>
      <c r="M80" s="220"/>
      <c r="N80" s="220"/>
      <c r="O80" s="220"/>
    </row>
    <row r="81">
      <c r="A81" t="s">
        <v>218</v>
      </c>
      <c r="B81" t="s">
        <v>219</v>
      </c>
      <c r="C81" s="220">
        <v>209.13</v>
      </c>
      <c r="D81" s="220">
        <v>64.75</v>
      </c>
      <c r="E81" s="220">
        <v>299.56</v>
      </c>
      <c r="F81" s="220">
        <v>65.069999999999993</v>
      </c>
      <c r="G81" s="220">
        <v>14</v>
      </c>
      <c r="H81" s="220">
        <v>7</v>
      </c>
      <c r="I81" s="220"/>
      <c r="J81" s="220"/>
      <c r="K81" s="220"/>
      <c r="L81" s="220"/>
      <c r="M81" s="220"/>
      <c r="N81" s="220"/>
      <c r="O81" s="220"/>
    </row>
    <row r="82">
      <c r="A82" t="s">
        <v>221</v>
      </c>
      <c r="B82" t="s">
        <v>222</v>
      </c>
      <c r="C82" s="220">
        <v>9.6199999999999992</v>
      </c>
      <c r="D82" s="220">
        <v>10.880000000000001</v>
      </c>
      <c r="E82" s="220">
        <v>22.469999999999999</v>
      </c>
      <c r="F82" s="220">
        <v>15.85</v>
      </c>
      <c r="G82" s="220">
        <v>7.3700000000000001</v>
      </c>
      <c r="H82" s="220">
        <v>17.469999999999999</v>
      </c>
      <c r="I82" s="220"/>
      <c r="J82" s="220"/>
      <c r="K82" s="220"/>
      <c r="L82" s="220"/>
      <c r="M82" s="220"/>
      <c r="N82" s="220"/>
      <c r="O82" s="220"/>
    </row>
    <row r="83">
      <c r="A83" t="s">
        <v>224</v>
      </c>
      <c r="B83" t="s">
        <v>225</v>
      </c>
      <c r="C83" s="220">
        <v>0</v>
      </c>
      <c r="D83" s="220">
        <v>0</v>
      </c>
      <c r="E83" s="220">
        <v>0</v>
      </c>
      <c r="F83" s="220">
        <v>0</v>
      </c>
      <c r="G83" s="220">
        <v>0</v>
      </c>
      <c r="H83" s="220">
        <v>0</v>
      </c>
      <c r="I83" s="220"/>
      <c r="J83" s="220"/>
      <c r="K83" s="220"/>
      <c r="L83" s="220"/>
      <c r="M83" s="220"/>
      <c r="N83" s="220"/>
      <c r="O83" s="220"/>
    </row>
    <row r="84">
      <c r="A84" t="s">
        <v>227</v>
      </c>
      <c r="B84" t="s">
        <v>228</v>
      </c>
      <c r="C84" s="220">
        <v>0</v>
      </c>
      <c r="D84" s="220">
        <v>0</v>
      </c>
      <c r="E84" s="220">
        <v>0</v>
      </c>
      <c r="F84" s="220">
        <v>0</v>
      </c>
      <c r="G84" s="220">
        <v>0</v>
      </c>
      <c r="H84" s="220">
        <v>0</v>
      </c>
      <c r="I84" s="220"/>
      <c r="J84" s="220"/>
      <c r="K84" s="220"/>
      <c r="L84" s="220"/>
      <c r="M84" s="220"/>
      <c r="N84" s="220"/>
      <c r="O84" s="220"/>
    </row>
    <row r="85">
      <c r="A85" t="s">
        <v>230</v>
      </c>
      <c r="B85" t="s">
        <v>231</v>
      </c>
      <c r="C85" s="220">
        <v>36111.160000000003</v>
      </c>
      <c r="D85" s="220">
        <v>11241.18</v>
      </c>
      <c r="E85" s="220">
        <v>8667.7099999999991</v>
      </c>
      <c r="F85" s="220">
        <v>9895.1499999999996</v>
      </c>
      <c r="G85" s="220">
        <v>16125.719999999999</v>
      </c>
      <c r="H85" s="220">
        <v>11908.780000000001</v>
      </c>
      <c r="I85" s="220"/>
      <c r="J85" s="220"/>
      <c r="K85" s="220"/>
      <c r="L85" s="220"/>
      <c r="M85" s="220"/>
      <c r="N85" s="220"/>
      <c r="O85" s="220"/>
    </row>
    <row r="86">
      <c r="A86" t="s">
        <v>233</v>
      </c>
      <c r="B86" t="s">
        <v>234</v>
      </c>
      <c r="C86" s="220">
        <v>36111.160000000003</v>
      </c>
      <c r="D86" s="220">
        <v>11241.18</v>
      </c>
      <c r="E86" s="220">
        <v>8667.7099999999991</v>
      </c>
      <c r="F86" s="220">
        <v>9638.3500000000004</v>
      </c>
      <c r="G86" s="220">
        <v>16125.719999999999</v>
      </c>
      <c r="H86" s="220">
        <v>11908.780000000001</v>
      </c>
      <c r="I86" s="220"/>
      <c r="J86" s="220"/>
      <c r="K86" s="220"/>
      <c r="L86" s="220"/>
      <c r="M86" s="220"/>
      <c r="N86" s="220"/>
      <c r="O86" s="220"/>
    </row>
    <row r="87">
      <c r="A87" t="s">
        <v>236</v>
      </c>
      <c r="B87" t="s">
        <v>237</v>
      </c>
      <c r="C87" s="220">
        <v>0</v>
      </c>
      <c r="D87" s="220">
        <v>0</v>
      </c>
      <c r="E87" s="220">
        <v>0</v>
      </c>
      <c r="F87" s="220">
        <v>0</v>
      </c>
      <c r="G87" s="220">
        <v>0</v>
      </c>
      <c r="H87" s="220">
        <v>0</v>
      </c>
      <c r="I87" s="220"/>
      <c r="J87" s="220"/>
      <c r="K87" s="220"/>
      <c r="L87" s="220"/>
      <c r="M87" s="220"/>
      <c r="N87" s="220"/>
      <c r="O87" s="220"/>
    </row>
    <row r="88">
      <c r="A88" t="s">
        <v>239</v>
      </c>
      <c r="B88" t="s">
        <v>240</v>
      </c>
      <c r="C88" s="220">
        <v>0</v>
      </c>
      <c r="D88" s="220">
        <v>0</v>
      </c>
      <c r="E88" s="220">
        <v>0</v>
      </c>
      <c r="F88" s="220">
        <v>256.80000000000001</v>
      </c>
      <c r="G88" s="220">
        <v>0</v>
      </c>
      <c r="H88" s="220">
        <v>0</v>
      </c>
      <c r="I88" s="220"/>
      <c r="J88" s="220"/>
      <c r="K88" s="220"/>
      <c r="L88" s="220"/>
      <c r="M88" s="220"/>
      <c r="N88" s="220"/>
      <c r="O88" s="220"/>
    </row>
    <row r="89">
      <c r="A89" s="185"/>
      <c r="B89"/>
      <c r="C89" s="221">
        <v>132952.79999999999</v>
      </c>
      <c r="D89" s="220">
        <v>103682.12</v>
      </c>
      <c r="E89" s="220">
        <v>110028.46000000001</v>
      </c>
      <c r="F89" s="220">
        <v>79680.649999999994</v>
      </c>
      <c r="G89" s="220">
        <v>84205.320000000007</v>
      </c>
      <c r="H89" s="220">
        <v>90269.070000000007</v>
      </c>
      <c r="I89" s="220"/>
      <c r="J89" s="220"/>
      <c r="K89" s="220"/>
      <c r="L89" s="220"/>
      <c r="M89" s="220"/>
      <c r="N89" s="220"/>
      <c r="O89" s="220"/>
    </row>
    <row r="90">
      <c r="A90" s="185" t="s">
        <v>243</v>
      </c>
      <c r="B90"/>
      <c r="C90" s="221">
        <v>379204.94</v>
      </c>
      <c r="D90" s="220">
        <v>355994.52000000002</v>
      </c>
      <c r="E90" s="220">
        <v>389185.71999999997</v>
      </c>
      <c r="F90" s="220">
        <v>407691.77000000002</v>
      </c>
      <c r="G90" s="220">
        <v>373932.15999999997</v>
      </c>
      <c r="H90" s="220">
        <v>372730.02000000002</v>
      </c>
      <c r="I90" s="220"/>
      <c r="J90" s="220"/>
      <c r="K90" s="220"/>
      <c r="L90" s="220"/>
      <c r="M90" s="220"/>
      <c r="N90" s="220"/>
      <c r="O90" s="220"/>
    </row>
    <row r="91">
      <c r="A91" s="185" t="s">
        <v>245</v>
      </c>
      <c r="B91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</row>
    <row r="92">
      <c r="A92" t="s">
        <v>246</v>
      </c>
      <c r="B92" t="s">
        <v>247</v>
      </c>
      <c r="C92" s="220">
        <v>0</v>
      </c>
      <c r="D92" s="220">
        <v>0</v>
      </c>
      <c r="E92" s="220">
        <v>0</v>
      </c>
      <c r="F92" s="220">
        <v>0</v>
      </c>
      <c r="G92" s="220">
        <v>0</v>
      </c>
      <c r="H92" s="220">
        <v>0</v>
      </c>
      <c r="I92" s="220"/>
      <c r="J92" s="220"/>
      <c r="K92" s="220"/>
      <c r="L92" s="220"/>
      <c r="M92" s="220"/>
      <c r="N92" s="220"/>
      <c r="O92" s="220"/>
    </row>
    <row r="93">
      <c r="A93" t="s">
        <v>249</v>
      </c>
      <c r="B93" t="s">
        <v>250</v>
      </c>
      <c r="C93" s="220">
        <v>490</v>
      </c>
      <c r="D93" s="220">
        <v>348</v>
      </c>
      <c r="E93" s="220">
        <v>200</v>
      </c>
      <c r="F93" s="220">
        <v>880</v>
      </c>
      <c r="G93" s="220">
        <v>1295</v>
      </c>
      <c r="H93" s="220">
        <v>225</v>
      </c>
      <c r="I93" s="220"/>
      <c r="J93" s="220"/>
      <c r="K93" s="220"/>
      <c r="L93" s="220"/>
      <c r="M93" s="220"/>
      <c r="N93" s="220"/>
      <c r="O93" s="220"/>
    </row>
    <row r="94">
      <c r="A94" t="s">
        <v>252</v>
      </c>
      <c r="B94" t="s">
        <v>253</v>
      </c>
      <c r="C94" s="220">
        <v>490</v>
      </c>
      <c r="D94" s="220">
        <v>348</v>
      </c>
      <c r="E94" s="220">
        <v>200</v>
      </c>
      <c r="F94" s="220">
        <v>880</v>
      </c>
      <c r="G94" s="220">
        <v>1295</v>
      </c>
      <c r="H94" s="220">
        <v>225</v>
      </c>
      <c r="I94" s="220"/>
      <c r="J94" s="220"/>
      <c r="K94" s="220"/>
      <c r="L94" s="220"/>
      <c r="M94" s="220"/>
      <c r="N94" s="220"/>
      <c r="O94" s="220"/>
    </row>
    <row r="95">
      <c r="A95" t="s">
        <v>255</v>
      </c>
      <c r="B95" t="s">
        <v>256</v>
      </c>
      <c r="C95" s="220">
        <v>0</v>
      </c>
      <c r="D95" s="220">
        <v>0</v>
      </c>
      <c r="E95" s="220">
        <v>0</v>
      </c>
      <c r="F95" s="220">
        <v>0</v>
      </c>
      <c r="G95" s="220">
        <v>0</v>
      </c>
      <c r="H95" s="220">
        <v>0</v>
      </c>
      <c r="I95" s="220"/>
      <c r="J95" s="220"/>
      <c r="K95" s="220"/>
      <c r="L95" s="220"/>
      <c r="M95" s="220"/>
      <c r="N95" s="220"/>
      <c r="O95" s="220"/>
    </row>
    <row r="96">
      <c r="A96" t="s">
        <v>258</v>
      </c>
      <c r="B96" t="s">
        <v>259</v>
      </c>
      <c r="C96" s="220">
        <v>0</v>
      </c>
      <c r="D96" s="220">
        <v>0</v>
      </c>
      <c r="E96" s="220">
        <v>0</v>
      </c>
      <c r="F96" s="220">
        <v>0</v>
      </c>
      <c r="G96" s="220">
        <v>0</v>
      </c>
      <c r="H96" s="220">
        <v>0</v>
      </c>
      <c r="I96" s="220"/>
      <c r="J96" s="220"/>
      <c r="K96" s="220"/>
      <c r="L96" s="220"/>
      <c r="M96" s="220"/>
      <c r="N96" s="220"/>
      <c r="O96" s="220"/>
    </row>
    <row r="97">
      <c r="A97" t="s">
        <v>261</v>
      </c>
      <c r="B97" t="s">
        <v>262</v>
      </c>
      <c r="C97" s="220">
        <v>0</v>
      </c>
      <c r="D97" s="220">
        <v>0</v>
      </c>
      <c r="E97" s="220">
        <v>0</v>
      </c>
      <c r="F97" s="220">
        <v>0</v>
      </c>
      <c r="G97" s="220">
        <v>0</v>
      </c>
      <c r="H97" s="220">
        <v>0</v>
      </c>
      <c r="I97" s="220"/>
      <c r="J97" s="220"/>
      <c r="K97" s="220"/>
      <c r="L97" s="220"/>
      <c r="M97" s="220"/>
      <c r="N97" s="220"/>
      <c r="O97" s="220"/>
    </row>
    <row r="98">
      <c r="A98" s="185"/>
      <c r="B98"/>
      <c r="C98" s="221">
        <v>490</v>
      </c>
      <c r="D98" s="220">
        <v>348</v>
      </c>
      <c r="E98" s="220">
        <v>200</v>
      </c>
      <c r="F98" s="220">
        <v>880</v>
      </c>
      <c r="G98" s="220">
        <v>1295</v>
      </c>
      <c r="H98" s="220">
        <v>225</v>
      </c>
      <c r="I98" s="220"/>
      <c r="J98" s="220"/>
      <c r="K98" s="220"/>
      <c r="L98" s="220"/>
      <c r="M98" s="220"/>
      <c r="N98" s="220"/>
      <c r="O98" s="220"/>
    </row>
    <row r="99">
      <c r="A99" s="185" t="s">
        <v>265</v>
      </c>
      <c r="B99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</row>
    <row r="100">
      <c r="A100" t="s">
        <v>266</v>
      </c>
      <c r="B100" t="s">
        <v>267</v>
      </c>
      <c r="C100" s="220">
        <v>304141.14000000001</v>
      </c>
      <c r="D100" s="220">
        <v>254112.29000000001</v>
      </c>
      <c r="E100" s="220">
        <v>236623.04000000001</v>
      </c>
      <c r="F100" s="220">
        <v>224355.76999999999</v>
      </c>
      <c r="G100" s="220">
        <v>216934.88</v>
      </c>
      <c r="H100" s="220">
        <v>219465.63</v>
      </c>
      <c r="I100" s="220"/>
      <c r="J100" s="220"/>
      <c r="K100" s="220"/>
      <c r="L100" s="220"/>
      <c r="M100" s="220"/>
      <c r="N100" s="220"/>
      <c r="O100" s="220"/>
    </row>
    <row r="101">
      <c r="A101" t="s">
        <v>269</v>
      </c>
      <c r="B101" t="s">
        <v>270</v>
      </c>
      <c r="C101" s="220">
        <v>194480.13</v>
      </c>
      <c r="D101" s="220">
        <v>147430</v>
      </c>
      <c r="E101" s="220">
        <v>139686.23000000001</v>
      </c>
      <c r="F101" s="220">
        <v>141355.76000000001</v>
      </c>
      <c r="G101" s="220">
        <v>132888.98000000001</v>
      </c>
      <c r="H101" s="220">
        <v>133481.38</v>
      </c>
      <c r="I101" s="220"/>
      <c r="J101" s="220"/>
      <c r="K101" s="220"/>
      <c r="L101" s="220"/>
      <c r="M101" s="220"/>
      <c r="N101" s="220"/>
      <c r="O101" s="220"/>
    </row>
    <row r="102">
      <c r="A102" t="s">
        <v>272</v>
      </c>
      <c r="B102" t="s">
        <v>273</v>
      </c>
      <c r="C102" s="220">
        <v>48663</v>
      </c>
      <c r="D102" s="220">
        <v>37371</v>
      </c>
      <c r="E102" s="220">
        <v>33397</v>
      </c>
      <c r="F102" s="220">
        <v>34258</v>
      </c>
      <c r="G102" s="220">
        <v>33302</v>
      </c>
      <c r="H102" s="220">
        <v>33034</v>
      </c>
      <c r="I102" s="220"/>
      <c r="J102" s="220"/>
      <c r="K102" s="220"/>
      <c r="L102" s="220"/>
      <c r="M102" s="220"/>
      <c r="N102" s="220"/>
      <c r="O102" s="220"/>
    </row>
    <row r="103">
      <c r="A103" t="s">
        <v>276</v>
      </c>
      <c r="B103" t="s">
        <v>277</v>
      </c>
      <c r="C103" s="220">
        <v>3321.0999999999999</v>
      </c>
      <c r="D103" s="220">
        <v>3406.1999999999998</v>
      </c>
      <c r="E103" s="220">
        <v>3387.5999999999999</v>
      </c>
      <c r="F103" s="220">
        <v>3340.0999999999999</v>
      </c>
      <c r="G103" s="220">
        <v>3231.4000000000001</v>
      </c>
      <c r="H103" s="220">
        <v>4380.0500000000002</v>
      </c>
      <c r="I103" s="220"/>
      <c r="J103" s="220"/>
      <c r="K103" s="220"/>
      <c r="L103" s="220"/>
      <c r="M103" s="220"/>
      <c r="N103" s="220"/>
      <c r="O103" s="220"/>
    </row>
    <row r="104">
      <c r="A104" t="s">
        <v>279</v>
      </c>
      <c r="B104" t="s">
        <v>280</v>
      </c>
      <c r="C104" s="220">
        <v>565.39999999999998</v>
      </c>
      <c r="D104" s="220">
        <v>581.39999999999998</v>
      </c>
      <c r="E104" s="220">
        <v>577</v>
      </c>
      <c r="F104" s="220">
        <v>566.79999999999995</v>
      </c>
      <c r="G104" s="220">
        <v>550.60000000000002</v>
      </c>
      <c r="H104" s="220">
        <v>554</v>
      </c>
      <c r="I104" s="220"/>
      <c r="J104" s="220"/>
      <c r="K104" s="220"/>
      <c r="L104" s="220"/>
      <c r="M104" s="220"/>
      <c r="N104" s="220"/>
      <c r="O104" s="220"/>
    </row>
    <row r="105">
      <c r="A105" t="s">
        <v>282</v>
      </c>
      <c r="B105" t="s">
        <v>283</v>
      </c>
      <c r="C105" s="220">
        <v>5922.6499999999996</v>
      </c>
      <c r="D105" s="220">
        <v>4690.3000000000002</v>
      </c>
      <c r="E105" s="220">
        <v>1915.3</v>
      </c>
      <c r="F105" s="220">
        <v>2942.9000000000001</v>
      </c>
      <c r="G105" s="220">
        <v>1642</v>
      </c>
      <c r="H105" s="220">
        <v>1659.95</v>
      </c>
      <c r="I105" s="220"/>
      <c r="J105" s="220"/>
      <c r="K105" s="220"/>
      <c r="L105" s="220"/>
      <c r="M105" s="220"/>
      <c r="N105" s="220"/>
      <c r="O105" s="220"/>
    </row>
    <row r="106">
      <c r="A106" t="s">
        <v>285</v>
      </c>
      <c r="B106" t="s">
        <v>286</v>
      </c>
      <c r="C106" s="220">
        <v>1451.96</v>
      </c>
      <c r="D106" s="220">
        <v>1453.0899999999999</v>
      </c>
      <c r="E106" s="220">
        <v>1459.22</v>
      </c>
      <c r="F106" s="220">
        <v>1398.5699999999999</v>
      </c>
      <c r="G106" s="220">
        <v>1444.8599999999999</v>
      </c>
      <c r="H106" s="220">
        <v>1432.53</v>
      </c>
      <c r="I106" s="220"/>
      <c r="J106" s="220"/>
      <c r="K106" s="220"/>
      <c r="L106" s="220"/>
      <c r="M106" s="220"/>
      <c r="N106" s="220"/>
      <c r="O106" s="220"/>
    </row>
    <row r="107">
      <c r="A107" t="s">
        <v>288</v>
      </c>
      <c r="B107" t="s">
        <v>289</v>
      </c>
      <c r="C107" s="220">
        <v>0</v>
      </c>
      <c r="D107" s="220">
        <v>0</v>
      </c>
      <c r="E107" s="220">
        <v>0</v>
      </c>
      <c r="F107" s="220">
        <v>0</v>
      </c>
      <c r="G107" s="220">
        <v>0</v>
      </c>
      <c r="H107" s="220">
        <v>0</v>
      </c>
      <c r="I107" s="220"/>
      <c r="J107" s="220"/>
      <c r="K107" s="220"/>
      <c r="L107" s="220"/>
      <c r="M107" s="220"/>
      <c r="N107" s="220"/>
      <c r="O107" s="220"/>
    </row>
    <row r="108">
      <c r="A108" t="s">
        <v>291</v>
      </c>
      <c r="B108" t="s">
        <v>292</v>
      </c>
      <c r="C108" s="220">
        <v>320</v>
      </c>
      <c r="D108" s="220">
        <v>360</v>
      </c>
      <c r="E108" s="220">
        <v>360</v>
      </c>
      <c r="F108" s="220">
        <v>360</v>
      </c>
      <c r="G108" s="220">
        <v>360</v>
      </c>
      <c r="H108" s="220">
        <v>360</v>
      </c>
      <c r="I108" s="220"/>
      <c r="J108" s="220"/>
      <c r="K108" s="220"/>
      <c r="L108" s="220"/>
      <c r="M108" s="220"/>
      <c r="N108" s="220"/>
      <c r="O108" s="220"/>
    </row>
    <row r="109">
      <c r="A109" t="s">
        <v>294</v>
      </c>
      <c r="B109" t="s">
        <v>295</v>
      </c>
      <c r="C109" s="220">
        <v>0</v>
      </c>
      <c r="D109" s="220">
        <v>0</v>
      </c>
      <c r="E109" s="220">
        <v>0</v>
      </c>
      <c r="F109" s="220">
        <v>0</v>
      </c>
      <c r="G109" s="220">
        <v>0</v>
      </c>
      <c r="H109" s="220">
        <v>0</v>
      </c>
      <c r="I109" s="220"/>
      <c r="J109" s="220"/>
      <c r="K109" s="220"/>
      <c r="L109" s="220"/>
      <c r="M109" s="220"/>
      <c r="N109" s="220"/>
      <c r="O109" s="220"/>
    </row>
    <row r="110">
      <c r="A110" t="s">
        <v>297</v>
      </c>
      <c r="B110" t="s">
        <v>298</v>
      </c>
      <c r="C110" s="220">
        <v>3060</v>
      </c>
      <c r="D110" s="220">
        <v>1080</v>
      </c>
      <c r="E110" s="220">
        <v>4900</v>
      </c>
      <c r="F110" s="220">
        <v>1000</v>
      </c>
      <c r="G110" s="220">
        <v>550</v>
      </c>
      <c r="H110" s="220">
        <v>600</v>
      </c>
      <c r="I110" s="220"/>
      <c r="J110" s="220"/>
      <c r="K110" s="220"/>
      <c r="L110" s="220"/>
      <c r="M110" s="220"/>
      <c r="N110" s="220"/>
      <c r="O110" s="220"/>
    </row>
    <row r="111">
      <c r="A111" t="s">
        <v>300</v>
      </c>
      <c r="B111" t="s">
        <v>301</v>
      </c>
      <c r="C111" s="220">
        <v>34119.25</v>
      </c>
      <c r="D111" s="220">
        <v>34376.93</v>
      </c>
      <c r="E111" s="220">
        <v>31650.07</v>
      </c>
      <c r="F111" s="220">
        <v>32460.900000000001</v>
      </c>
      <c r="G111" s="220">
        <v>32640.27</v>
      </c>
      <c r="H111" s="220">
        <v>37685.160000000003</v>
      </c>
      <c r="I111" s="220"/>
      <c r="J111" s="220"/>
      <c r="K111" s="220"/>
      <c r="L111" s="220"/>
      <c r="M111" s="220"/>
      <c r="N111" s="220"/>
      <c r="O111" s="220"/>
    </row>
    <row r="112">
      <c r="A112" t="s">
        <v>303</v>
      </c>
      <c r="B112" t="s">
        <v>304</v>
      </c>
      <c r="C112" s="220">
        <v>274.19999999999999</v>
      </c>
      <c r="D112" s="220">
        <v>500</v>
      </c>
      <c r="E112" s="220">
        <v>708</v>
      </c>
      <c r="F112" s="220">
        <v>0</v>
      </c>
      <c r="G112" s="220">
        <v>0</v>
      </c>
      <c r="H112" s="220">
        <v>0</v>
      </c>
      <c r="I112" s="220"/>
      <c r="J112" s="220"/>
      <c r="K112" s="220"/>
      <c r="L112" s="220"/>
      <c r="M112" s="220"/>
      <c r="N112" s="220"/>
      <c r="O112" s="220"/>
    </row>
    <row r="113">
      <c r="A113" t="s">
        <v>306</v>
      </c>
      <c r="B113" t="s">
        <v>307</v>
      </c>
      <c r="C113" s="220">
        <v>0</v>
      </c>
      <c r="D113" s="220">
        <v>0</v>
      </c>
      <c r="E113" s="220">
        <v>4500</v>
      </c>
      <c r="F113" s="220">
        <v>0</v>
      </c>
      <c r="G113" s="220">
        <v>0</v>
      </c>
      <c r="H113" s="220">
        <v>0</v>
      </c>
      <c r="I113" s="220"/>
      <c r="J113" s="220"/>
      <c r="K113" s="220"/>
      <c r="L113" s="220"/>
      <c r="M113" s="220"/>
      <c r="N113" s="220"/>
      <c r="O113" s="220"/>
    </row>
    <row r="114">
      <c r="A114" t="s">
        <v>309</v>
      </c>
      <c r="B114" t="s">
        <v>310</v>
      </c>
      <c r="C114" s="220">
        <v>1685.8399999999999</v>
      </c>
      <c r="D114" s="220">
        <v>15511.709999999999</v>
      </c>
      <c r="E114" s="220">
        <v>977.20000000000005</v>
      </c>
      <c r="F114" s="220">
        <v>1844.0999999999999</v>
      </c>
      <c r="G114" s="220">
        <v>1159.5</v>
      </c>
      <c r="H114" s="220">
        <v>2149.5999999999999</v>
      </c>
      <c r="I114" s="220"/>
      <c r="J114" s="220"/>
      <c r="K114" s="220"/>
      <c r="L114" s="220"/>
      <c r="M114" s="220"/>
      <c r="N114" s="220"/>
      <c r="O114" s="220"/>
    </row>
    <row r="115">
      <c r="A115" t="s">
        <v>312</v>
      </c>
      <c r="B115" t="s">
        <v>313</v>
      </c>
      <c r="C115" s="220">
        <v>0</v>
      </c>
      <c r="D115" s="220">
        <v>0</v>
      </c>
      <c r="E115" s="220">
        <v>0</v>
      </c>
      <c r="F115" s="220">
        <v>0</v>
      </c>
      <c r="G115" s="220">
        <v>0</v>
      </c>
      <c r="H115" s="220">
        <v>0</v>
      </c>
      <c r="I115" s="220"/>
      <c r="J115" s="220"/>
      <c r="K115" s="220"/>
      <c r="L115" s="220"/>
      <c r="M115" s="220"/>
      <c r="N115" s="220"/>
      <c r="O115" s="220"/>
    </row>
    <row r="116">
      <c r="A116" t="s">
        <v>315</v>
      </c>
      <c r="B116" t="s">
        <v>316</v>
      </c>
      <c r="C116" s="220">
        <v>0</v>
      </c>
      <c r="D116" s="220">
        <v>0</v>
      </c>
      <c r="E116" s="220">
        <v>0</v>
      </c>
      <c r="F116" s="220">
        <v>0</v>
      </c>
      <c r="G116" s="220">
        <v>0</v>
      </c>
      <c r="H116" s="220">
        <v>0</v>
      </c>
      <c r="I116" s="220"/>
      <c r="J116" s="220"/>
      <c r="K116" s="220"/>
      <c r="L116" s="220"/>
      <c r="M116" s="220"/>
      <c r="N116" s="220"/>
      <c r="O116" s="220"/>
    </row>
    <row r="117">
      <c r="A117" t="s">
        <v>318</v>
      </c>
      <c r="B117" t="s">
        <v>319</v>
      </c>
      <c r="C117" s="220">
        <v>0</v>
      </c>
      <c r="D117" s="220">
        <v>774.20000000000005</v>
      </c>
      <c r="E117" s="220">
        <v>0</v>
      </c>
      <c r="F117" s="220">
        <v>0</v>
      </c>
      <c r="G117" s="220">
        <v>0</v>
      </c>
      <c r="H117" s="220">
        <v>161.69999999999999</v>
      </c>
      <c r="I117" s="220"/>
      <c r="J117" s="220"/>
      <c r="K117" s="220"/>
      <c r="L117" s="220"/>
      <c r="M117" s="220"/>
      <c r="N117" s="220"/>
      <c r="O117" s="220"/>
    </row>
    <row r="118">
      <c r="A118" t="s">
        <v>321</v>
      </c>
      <c r="B118" t="s">
        <v>322</v>
      </c>
      <c r="C118" s="220">
        <v>4390.1400000000003</v>
      </c>
      <c r="D118" s="220">
        <v>0</v>
      </c>
      <c r="E118" s="220">
        <v>0</v>
      </c>
      <c r="F118" s="220">
        <v>0</v>
      </c>
      <c r="G118" s="220">
        <v>812.63999999999999</v>
      </c>
      <c r="H118" s="220">
        <v>0</v>
      </c>
      <c r="I118" s="220"/>
      <c r="J118" s="220"/>
      <c r="K118" s="220"/>
      <c r="L118" s="220"/>
      <c r="M118" s="220"/>
      <c r="N118" s="220"/>
      <c r="O118" s="220"/>
    </row>
    <row r="119">
      <c r="A119" t="s">
        <v>324</v>
      </c>
      <c r="B119" t="s">
        <v>325</v>
      </c>
      <c r="C119" s="220">
        <v>770</v>
      </c>
      <c r="D119" s="220">
        <v>550</v>
      </c>
      <c r="E119" s="220">
        <v>615</v>
      </c>
      <c r="F119" s="220">
        <v>600</v>
      </c>
      <c r="G119" s="220">
        <v>350</v>
      </c>
      <c r="H119" s="220">
        <v>650</v>
      </c>
      <c r="I119" s="220"/>
      <c r="J119" s="220"/>
      <c r="K119" s="220"/>
      <c r="L119" s="220"/>
      <c r="M119" s="220"/>
      <c r="N119" s="220"/>
      <c r="O119" s="220"/>
    </row>
    <row r="120">
      <c r="A120" t="s">
        <v>327</v>
      </c>
      <c r="B120" t="s">
        <v>328</v>
      </c>
      <c r="C120" s="220">
        <v>0</v>
      </c>
      <c r="D120" s="220">
        <v>0</v>
      </c>
      <c r="E120" s="220">
        <v>0</v>
      </c>
      <c r="F120" s="220">
        <v>30</v>
      </c>
      <c r="G120" s="220">
        <v>0</v>
      </c>
      <c r="H120" s="220">
        <v>0</v>
      </c>
      <c r="I120" s="220"/>
      <c r="J120" s="220"/>
      <c r="K120" s="220"/>
      <c r="L120" s="220"/>
      <c r="M120" s="220"/>
      <c r="N120" s="220"/>
      <c r="O120" s="220"/>
    </row>
    <row r="121">
      <c r="A121" t="s">
        <v>330</v>
      </c>
      <c r="B121" t="s">
        <v>331</v>
      </c>
      <c r="C121" s="220">
        <v>50.969999999999999</v>
      </c>
      <c r="D121" s="220">
        <v>930</v>
      </c>
      <c r="E121" s="220">
        <v>7467</v>
      </c>
      <c r="F121" s="220">
        <v>45</v>
      </c>
      <c r="G121" s="220">
        <v>270</v>
      </c>
      <c r="H121" s="220">
        <v>0</v>
      </c>
      <c r="I121" s="220"/>
      <c r="J121" s="220"/>
      <c r="K121" s="220"/>
      <c r="L121" s="220"/>
      <c r="M121" s="220"/>
      <c r="N121" s="220"/>
      <c r="O121" s="220"/>
    </row>
    <row r="122">
      <c r="A122" t="s">
        <v>333</v>
      </c>
      <c r="B122" t="s">
        <v>334</v>
      </c>
      <c r="C122" s="220">
        <v>0</v>
      </c>
      <c r="D122" s="221">
        <v>0</v>
      </c>
      <c r="E122" s="221">
        <v>0</v>
      </c>
      <c r="F122" s="220">
        <v>0</v>
      </c>
      <c r="G122" s="221">
        <v>0</v>
      </c>
      <c r="H122" s="221">
        <v>0</v>
      </c>
      <c r="I122" s="222"/>
      <c r="J122" s="220"/>
      <c r="K122" s="220"/>
      <c r="L122" s="220"/>
      <c r="M122" s="220"/>
      <c r="N122" s="220"/>
      <c r="O122" s="220"/>
    </row>
    <row r="123">
      <c r="A123" t="s">
        <v>336</v>
      </c>
      <c r="B123" t="s">
        <v>337</v>
      </c>
      <c r="C123" s="220">
        <v>0</v>
      </c>
      <c r="D123" s="221">
        <v>0</v>
      </c>
      <c r="E123" s="221">
        <v>0</v>
      </c>
      <c r="F123" s="220">
        <v>0</v>
      </c>
      <c r="G123" s="221">
        <v>2017.1500000000001</v>
      </c>
      <c r="H123" s="221">
        <v>0</v>
      </c>
      <c r="I123" s="222"/>
      <c r="J123" s="220"/>
      <c r="K123" s="220"/>
      <c r="L123" s="220"/>
      <c r="M123" s="220"/>
      <c r="N123" s="220"/>
      <c r="O123" s="220"/>
    </row>
    <row r="124">
      <c r="A124" t="s">
        <v>339</v>
      </c>
      <c r="B124" t="s">
        <v>340</v>
      </c>
      <c r="C124" s="220">
        <v>0</v>
      </c>
      <c r="D124" s="220">
        <v>0</v>
      </c>
      <c r="E124" s="220">
        <v>0</v>
      </c>
      <c r="F124" s="220">
        <v>0</v>
      </c>
      <c r="G124" s="220">
        <v>0</v>
      </c>
      <c r="H124" s="220">
        <v>0</v>
      </c>
      <c r="I124" s="220"/>
      <c r="J124" s="220"/>
      <c r="K124" s="220"/>
      <c r="L124" s="220"/>
      <c r="M124" s="220"/>
      <c r="N124" s="220"/>
      <c r="O124" s="220"/>
    </row>
    <row r="125">
      <c r="A125" t="s">
        <v>342</v>
      </c>
      <c r="B125" t="s">
        <v>343</v>
      </c>
      <c r="C125" s="220">
        <v>0</v>
      </c>
      <c r="D125" s="220">
        <v>0</v>
      </c>
      <c r="E125" s="220">
        <v>0</v>
      </c>
      <c r="F125" s="220">
        <v>0</v>
      </c>
      <c r="G125" s="220">
        <v>0</v>
      </c>
      <c r="H125" s="220">
        <v>0</v>
      </c>
      <c r="I125" s="220"/>
      <c r="J125" s="220"/>
      <c r="K125" s="220"/>
      <c r="L125" s="220"/>
      <c r="M125" s="220"/>
      <c r="N125" s="220"/>
      <c r="O125" s="220"/>
    </row>
    <row r="126">
      <c r="A126" t="s">
        <v>345</v>
      </c>
      <c r="B126" t="s">
        <v>346</v>
      </c>
      <c r="C126" s="220">
        <v>0</v>
      </c>
      <c r="D126" s="221">
        <v>0</v>
      </c>
      <c r="E126" s="221">
        <v>0</v>
      </c>
      <c r="F126" s="220">
        <v>0</v>
      </c>
      <c r="G126" s="221">
        <v>0</v>
      </c>
      <c r="H126" s="221">
        <v>0</v>
      </c>
      <c r="I126" s="222"/>
      <c r="J126" s="220"/>
      <c r="K126" s="220"/>
      <c r="L126" s="220"/>
      <c r="M126" s="220"/>
      <c r="N126" s="220"/>
      <c r="O126" s="220"/>
    </row>
    <row r="127">
      <c r="A127" t="s">
        <v>348</v>
      </c>
      <c r="B127" t="s">
        <v>349</v>
      </c>
      <c r="C127" s="220">
        <v>3166.5</v>
      </c>
      <c r="D127" s="220">
        <v>2698.2199999999998</v>
      </c>
      <c r="E127" s="220">
        <v>3123.4200000000001</v>
      </c>
      <c r="F127" s="220">
        <v>2253.6399999999999</v>
      </c>
      <c r="G127" s="220">
        <v>1223.48</v>
      </c>
      <c r="H127" s="220">
        <v>1385.26</v>
      </c>
      <c r="I127" s="220"/>
      <c r="J127" s="220"/>
      <c r="K127" s="220"/>
      <c r="L127" s="220"/>
      <c r="M127" s="220"/>
      <c r="N127" s="220"/>
      <c r="O127" s="220"/>
    </row>
    <row r="128">
      <c r="A128" t="s">
        <v>351</v>
      </c>
      <c r="B128" t="s">
        <v>352</v>
      </c>
      <c r="C128" s="220">
        <v>0</v>
      </c>
      <c r="D128" s="220">
        <v>180</v>
      </c>
      <c r="E128" s="220">
        <v>0</v>
      </c>
      <c r="F128" s="220">
        <v>0</v>
      </c>
      <c r="G128" s="220">
        <v>192</v>
      </c>
      <c r="H128" s="220">
        <v>32</v>
      </c>
      <c r="I128" s="220"/>
      <c r="J128" s="220"/>
      <c r="K128" s="220"/>
      <c r="L128" s="220"/>
      <c r="M128" s="220"/>
      <c r="N128" s="220"/>
      <c r="O128" s="220"/>
    </row>
    <row r="129">
      <c r="A129" t="s">
        <v>354</v>
      </c>
      <c r="B129" t="s">
        <v>355</v>
      </c>
      <c r="C129" s="220">
        <v>1900</v>
      </c>
      <c r="D129" s="220">
        <v>2219.2399999999998</v>
      </c>
      <c r="E129" s="220">
        <v>1900</v>
      </c>
      <c r="F129" s="220">
        <v>1900</v>
      </c>
      <c r="G129" s="220">
        <v>4300</v>
      </c>
      <c r="H129" s="220">
        <v>1900</v>
      </c>
      <c r="I129" s="220"/>
      <c r="J129" s="220"/>
      <c r="K129" s="220"/>
      <c r="L129" s="220"/>
      <c r="M129" s="220"/>
      <c r="N129" s="220"/>
      <c r="O129" s="220"/>
    </row>
    <row r="130">
      <c r="A130" t="s">
        <v>590</v>
      </c>
      <c r="B130" t="s">
        <v>360</v>
      </c>
      <c r="C130" s="220">
        <v>7</v>
      </c>
      <c r="D130" s="220">
        <v>7</v>
      </c>
      <c r="E130" s="220">
        <v>7</v>
      </c>
      <c r="F130" s="220">
        <v>14.300000000000001</v>
      </c>
      <c r="G130" s="220">
        <v>57.5</v>
      </c>
      <c r="H130" s="220">
        <v>14.300000000000001</v>
      </c>
      <c r="I130" s="220"/>
      <c r="J130" s="220"/>
      <c r="K130" s="220"/>
      <c r="L130" s="220"/>
      <c r="M130" s="220"/>
      <c r="N130" s="220"/>
      <c r="O130" s="220"/>
    </row>
    <row r="131">
      <c r="A131" t="s">
        <v>591</v>
      </c>
      <c r="B131" t="s">
        <v>364</v>
      </c>
      <c r="C131" s="220">
        <v>7</v>
      </c>
      <c r="D131" s="220">
        <v>7</v>
      </c>
      <c r="E131" s="220">
        <v>7</v>
      </c>
      <c r="F131" s="220">
        <v>14.300000000000001</v>
      </c>
      <c r="G131" s="220">
        <v>57.5</v>
      </c>
      <c r="H131" s="220">
        <v>14.300000000000001</v>
      </c>
      <c r="I131" s="220"/>
      <c r="J131" s="220"/>
      <c r="K131" s="220"/>
      <c r="L131" s="220"/>
      <c r="M131" s="220"/>
      <c r="N131" s="220"/>
      <c r="O131" s="220"/>
    </row>
    <row r="132">
      <c r="A132" t="s">
        <v>592</v>
      </c>
      <c r="B132" t="s">
        <v>368</v>
      </c>
      <c r="C132" s="220">
        <v>0</v>
      </c>
      <c r="D132" s="220">
        <v>0</v>
      </c>
      <c r="E132" s="220">
        <v>0</v>
      </c>
      <c r="F132" s="220">
        <v>0</v>
      </c>
      <c r="G132" s="220">
        <v>0</v>
      </c>
      <c r="H132" s="220">
        <v>0</v>
      </c>
      <c r="I132" s="220"/>
      <c r="J132" s="220"/>
      <c r="K132" s="220"/>
      <c r="L132" s="220"/>
      <c r="M132" s="220"/>
      <c r="N132" s="220"/>
      <c r="O132" s="220"/>
    </row>
    <row r="133">
      <c r="A133" t="s">
        <v>593</v>
      </c>
      <c r="B133" t="s">
        <v>372</v>
      </c>
      <c r="C133" s="220">
        <v>94363.399999999994</v>
      </c>
      <c r="D133" s="220">
        <v>98888.529999999999</v>
      </c>
      <c r="E133" s="220">
        <v>98817.899999999994</v>
      </c>
      <c r="F133" s="220">
        <v>100279.34</v>
      </c>
      <c r="G133" s="220">
        <v>100447.44</v>
      </c>
      <c r="H133" s="220">
        <v>100454.36</v>
      </c>
      <c r="I133" s="220"/>
      <c r="J133" s="220"/>
      <c r="K133" s="220"/>
      <c r="L133" s="220"/>
      <c r="M133" s="220"/>
      <c r="N133" s="220"/>
      <c r="O133" s="220"/>
    </row>
    <row r="134">
      <c r="A134" t="s">
        <v>594</v>
      </c>
      <c r="B134" t="s">
        <v>375</v>
      </c>
      <c r="C134" s="220">
        <v>151422.98000000001</v>
      </c>
      <c r="D134" s="220">
        <v>161972.45999999999</v>
      </c>
      <c r="E134" s="220">
        <v>198047.62</v>
      </c>
      <c r="F134" s="220">
        <v>147031.66</v>
      </c>
      <c r="G134" s="220">
        <v>164601.32999999999</v>
      </c>
      <c r="H134" s="220">
        <v>156331.67999999999</v>
      </c>
      <c r="I134" s="220"/>
      <c r="J134" s="220"/>
      <c r="K134" s="220"/>
      <c r="L134" s="220"/>
      <c r="M134" s="220"/>
      <c r="N134" s="220"/>
      <c r="O134" s="220"/>
    </row>
    <row r="135">
      <c r="A135" t="s">
        <v>595</v>
      </c>
      <c r="B135" t="s">
        <v>379</v>
      </c>
      <c r="C135" s="220">
        <v>0</v>
      </c>
      <c r="D135" s="220">
        <v>0</v>
      </c>
      <c r="E135" s="220">
        <v>0</v>
      </c>
      <c r="F135" s="220">
        <v>0</v>
      </c>
      <c r="G135" s="220">
        <v>0</v>
      </c>
      <c r="H135" s="220">
        <v>0</v>
      </c>
      <c r="I135" s="220"/>
      <c r="J135" s="220"/>
      <c r="K135" s="220"/>
      <c r="L135" s="220"/>
      <c r="M135" s="220"/>
      <c r="N135" s="220"/>
      <c r="O135" s="220"/>
    </row>
    <row r="136">
      <c r="A136" t="s">
        <v>596</v>
      </c>
      <c r="B136" t="s">
        <v>383</v>
      </c>
      <c r="C136" s="220">
        <v>0</v>
      </c>
      <c r="D136" s="221">
        <v>0</v>
      </c>
      <c r="E136" s="221">
        <v>0</v>
      </c>
      <c r="F136" s="220">
        <v>0</v>
      </c>
      <c r="G136" s="221">
        <v>0</v>
      </c>
      <c r="H136" s="221">
        <v>0</v>
      </c>
      <c r="I136" s="222"/>
      <c r="J136" s="220"/>
      <c r="K136" s="220"/>
      <c r="L136" s="220"/>
      <c r="M136" s="220"/>
      <c r="N136" s="220"/>
      <c r="O136" s="220"/>
    </row>
    <row r="137">
      <c r="A137" t="s">
        <v>597</v>
      </c>
      <c r="B137" t="s">
        <v>387</v>
      </c>
      <c r="C137" s="220">
        <v>0</v>
      </c>
      <c r="D137" s="220">
        <v>0</v>
      </c>
      <c r="E137" s="220">
        <v>0</v>
      </c>
      <c r="F137" s="220">
        <v>0</v>
      </c>
      <c r="G137" s="220">
        <v>0</v>
      </c>
      <c r="H137" s="220">
        <v>0</v>
      </c>
      <c r="I137" s="220"/>
      <c r="J137" s="220"/>
      <c r="K137" s="220"/>
      <c r="L137" s="220"/>
      <c r="M137" s="220"/>
      <c r="N137" s="220"/>
      <c r="O137" s="220"/>
    </row>
    <row r="138">
      <c r="A138" t="s">
        <v>598</v>
      </c>
      <c r="B138" t="s">
        <v>391</v>
      </c>
      <c r="C138" s="220">
        <v>41.100000000000001</v>
      </c>
      <c r="D138" s="220">
        <v>81.200000000000003</v>
      </c>
      <c r="E138" s="220">
        <v>317.51999999999998</v>
      </c>
      <c r="F138" s="220">
        <v>64.549999999999997</v>
      </c>
      <c r="G138" s="220">
        <v>42.799999999999997</v>
      </c>
      <c r="H138" s="220">
        <v>207.80000000000001</v>
      </c>
      <c r="I138" s="220"/>
      <c r="J138" s="220"/>
      <c r="K138" s="220"/>
      <c r="L138" s="220"/>
      <c r="M138" s="220"/>
      <c r="N138" s="220"/>
      <c r="O138" s="220"/>
    </row>
    <row r="139">
      <c r="A139" t="s">
        <v>599</v>
      </c>
      <c r="B139" t="s">
        <v>395</v>
      </c>
      <c r="C139" s="220">
        <v>4250</v>
      </c>
      <c r="D139" s="220">
        <v>3785.71</v>
      </c>
      <c r="E139" s="220">
        <v>3096.77</v>
      </c>
      <c r="F139" s="220">
        <v>3473.3299999999999</v>
      </c>
      <c r="G139" s="220">
        <v>15200</v>
      </c>
      <c r="H139" s="220">
        <v>0</v>
      </c>
      <c r="I139" s="220"/>
      <c r="J139" s="220"/>
      <c r="K139" s="220"/>
      <c r="L139" s="220"/>
      <c r="M139" s="220"/>
      <c r="N139" s="220"/>
      <c r="O139" s="220"/>
    </row>
    <row r="140">
      <c r="A140" t="s">
        <v>600</v>
      </c>
      <c r="B140" t="s">
        <v>399</v>
      </c>
      <c r="C140" s="220">
        <v>8957.7299999999996</v>
      </c>
      <c r="D140" s="221">
        <v>8094</v>
      </c>
      <c r="E140" s="221">
        <v>4710</v>
      </c>
      <c r="F140" s="220">
        <v>3935.5999999999999</v>
      </c>
      <c r="G140" s="221">
        <v>4559.5</v>
      </c>
      <c r="H140" s="221">
        <v>3701</v>
      </c>
      <c r="I140" s="222"/>
      <c r="J140" s="220"/>
      <c r="K140" s="220"/>
      <c r="L140" s="220"/>
      <c r="M140" s="220"/>
      <c r="N140" s="220"/>
      <c r="O140" s="220"/>
    </row>
    <row r="141">
      <c r="A141" t="s">
        <v>601</v>
      </c>
      <c r="B141" t="s">
        <v>403</v>
      </c>
      <c r="C141" s="220">
        <v>660</v>
      </c>
      <c r="D141" s="221">
        <v>445</v>
      </c>
      <c r="E141" s="221">
        <v>180</v>
      </c>
      <c r="F141" s="220">
        <v>1720</v>
      </c>
      <c r="G141" s="221">
        <v>620</v>
      </c>
      <c r="H141" s="221">
        <v>0</v>
      </c>
      <c r="I141" s="222"/>
      <c r="J141" s="220"/>
      <c r="K141" s="220"/>
      <c r="L141" s="220"/>
      <c r="M141" s="220"/>
      <c r="N141" s="220"/>
      <c r="O141" s="220"/>
    </row>
    <row r="142">
      <c r="A142" t="s">
        <v>602</v>
      </c>
      <c r="B142" t="s">
        <v>407</v>
      </c>
      <c r="C142" s="220">
        <v>4870.6099999999997</v>
      </c>
      <c r="D142" s="220">
        <v>4870.6099999999997</v>
      </c>
      <c r="E142" s="220">
        <v>4870.6099999999997</v>
      </c>
      <c r="F142" s="220">
        <v>4870.6099999999997</v>
      </c>
      <c r="G142" s="220">
        <v>4870.6099999999997</v>
      </c>
      <c r="H142" s="220">
        <v>4870.6099999999997</v>
      </c>
      <c r="I142" s="220"/>
      <c r="J142" s="220"/>
      <c r="K142" s="220"/>
      <c r="L142" s="220"/>
      <c r="M142" s="220"/>
      <c r="N142" s="220"/>
      <c r="O142" s="220"/>
    </row>
    <row r="143">
      <c r="A143" t="s">
        <v>603</v>
      </c>
      <c r="B143" t="s">
        <v>604</v>
      </c>
      <c r="C143" s="220">
        <v>0</v>
      </c>
      <c r="D143" s="220">
        <v>0</v>
      </c>
      <c r="E143" s="220">
        <v>0</v>
      </c>
      <c r="F143" s="220">
        <v>0</v>
      </c>
      <c r="G143" s="220">
        <v>0</v>
      </c>
      <c r="H143" s="220">
        <v>0</v>
      </c>
      <c r="I143" s="220"/>
      <c r="J143" s="220"/>
      <c r="K143" s="220"/>
      <c r="L143" s="220"/>
      <c r="M143" s="220"/>
      <c r="N143" s="220"/>
      <c r="O143" s="220"/>
    </row>
    <row r="144">
      <c r="A144" t="s">
        <v>605</v>
      </c>
      <c r="B144" t="s">
        <v>411</v>
      </c>
      <c r="C144" s="220">
        <v>0</v>
      </c>
      <c r="D144" s="220">
        <v>0</v>
      </c>
      <c r="E144" s="220">
        <v>0</v>
      </c>
      <c r="F144" s="220">
        <v>0</v>
      </c>
      <c r="G144" s="220">
        <v>0</v>
      </c>
      <c r="H144" s="220">
        <v>0</v>
      </c>
      <c r="I144" s="220"/>
      <c r="J144" s="220"/>
      <c r="K144" s="220"/>
      <c r="L144" s="220"/>
      <c r="M144" s="220"/>
      <c r="N144" s="220"/>
      <c r="O144" s="220"/>
    </row>
    <row r="145">
      <c r="A145" t="s">
        <v>357</v>
      </c>
      <c r="B145" t="s">
        <v>358</v>
      </c>
      <c r="C145" s="220">
        <v>0</v>
      </c>
      <c r="D145" s="221">
        <v>0</v>
      </c>
      <c r="E145" s="221">
        <v>0</v>
      </c>
      <c r="F145" s="220">
        <v>0</v>
      </c>
      <c r="G145" s="221">
        <v>0</v>
      </c>
      <c r="H145" s="221">
        <v>0</v>
      </c>
      <c r="I145" s="222"/>
      <c r="J145" s="220"/>
      <c r="K145" s="220"/>
      <c r="L145" s="220"/>
      <c r="M145" s="220"/>
      <c r="N145" s="220"/>
      <c r="O145" s="220"/>
    </row>
    <row r="146">
      <c r="A146" t="s">
        <v>361</v>
      </c>
      <c r="B146" t="s">
        <v>362</v>
      </c>
      <c r="C146" s="220">
        <v>0</v>
      </c>
      <c r="D146" s="220">
        <v>0</v>
      </c>
      <c r="E146" s="220">
        <v>0</v>
      </c>
      <c r="F146" s="220">
        <v>0</v>
      </c>
      <c r="G146" s="220">
        <v>0</v>
      </c>
      <c r="H146" s="220">
        <v>0</v>
      </c>
      <c r="I146" s="220"/>
      <c r="J146" s="220"/>
      <c r="K146" s="220"/>
      <c r="L146" s="220"/>
      <c r="M146" s="220"/>
      <c r="N146" s="220"/>
      <c r="O146" s="220"/>
    </row>
    <row r="147">
      <c r="A147" t="s">
        <v>365</v>
      </c>
      <c r="B147" t="s">
        <v>366</v>
      </c>
      <c r="C147" s="220">
        <v>0</v>
      </c>
      <c r="D147" s="220">
        <v>0</v>
      </c>
      <c r="E147" s="220">
        <v>0</v>
      </c>
      <c r="F147" s="220">
        <v>0</v>
      </c>
      <c r="G147" s="220">
        <v>0</v>
      </c>
      <c r="H147" s="220">
        <v>0</v>
      </c>
      <c r="I147" s="220"/>
      <c r="J147" s="220"/>
      <c r="K147" s="220"/>
      <c r="L147" s="220"/>
      <c r="M147" s="220"/>
      <c r="N147" s="220"/>
      <c r="O147" s="220"/>
    </row>
    <row r="148">
      <c r="A148" t="s">
        <v>369</v>
      </c>
      <c r="B148" t="s">
        <v>370</v>
      </c>
      <c r="C148" s="220">
        <v>3047.0599999999999</v>
      </c>
      <c r="D148" s="220">
        <v>1691.04</v>
      </c>
      <c r="E148" s="220">
        <v>2889.04</v>
      </c>
      <c r="F148" s="220">
        <v>3112.48</v>
      </c>
      <c r="G148" s="220">
        <v>1907.3299999999999</v>
      </c>
      <c r="H148" s="220">
        <v>1271.28</v>
      </c>
      <c r="I148" s="220"/>
      <c r="J148" s="220"/>
      <c r="K148" s="220"/>
      <c r="L148" s="220"/>
      <c r="M148" s="220"/>
      <c r="N148" s="220"/>
      <c r="O148" s="220"/>
    </row>
    <row r="149">
      <c r="A149" t="s">
        <v>373</v>
      </c>
      <c r="B149" t="s">
        <v>374</v>
      </c>
      <c r="C149" s="220">
        <v>38133.5</v>
      </c>
      <c r="D149" s="220">
        <v>52200.199999999997</v>
      </c>
      <c r="E149" s="220">
        <v>96312.639999999999</v>
      </c>
      <c r="F149" s="220">
        <v>31236.23</v>
      </c>
      <c r="G149" s="220">
        <v>36582.080000000002</v>
      </c>
      <c r="H149" s="220">
        <v>40503.760000000002</v>
      </c>
      <c r="I149" s="220"/>
      <c r="J149" s="220"/>
      <c r="K149" s="220"/>
      <c r="L149" s="220"/>
      <c r="M149" s="220"/>
      <c r="N149" s="220"/>
      <c r="O149" s="220"/>
    </row>
    <row r="150">
      <c r="A150" t="s">
        <v>376</v>
      </c>
      <c r="B150" t="s">
        <v>377</v>
      </c>
      <c r="C150" s="220">
        <v>2900</v>
      </c>
      <c r="D150" s="221">
        <v>6267.1999999999998</v>
      </c>
      <c r="E150" s="221">
        <v>2900</v>
      </c>
      <c r="F150" s="220">
        <v>2900</v>
      </c>
      <c r="G150" s="221">
        <v>2900</v>
      </c>
      <c r="H150" s="221">
        <v>2900</v>
      </c>
      <c r="I150" s="222"/>
      <c r="J150" s="220"/>
      <c r="K150" s="220"/>
      <c r="L150" s="220"/>
      <c r="M150" s="220"/>
      <c r="N150" s="220"/>
      <c r="O150" s="220"/>
    </row>
    <row r="151">
      <c r="A151" t="s">
        <v>380</v>
      </c>
      <c r="B151" t="s">
        <v>381</v>
      </c>
      <c r="C151" s="220">
        <v>2900</v>
      </c>
      <c r="D151" s="220">
        <v>6267.1999999999998</v>
      </c>
      <c r="E151" s="220">
        <v>2900</v>
      </c>
      <c r="F151" s="220">
        <v>2900</v>
      </c>
      <c r="G151" s="220">
        <v>2900</v>
      </c>
      <c r="H151" s="220">
        <v>2900</v>
      </c>
      <c r="I151" s="220"/>
      <c r="J151" s="220"/>
      <c r="K151" s="220"/>
      <c r="L151" s="220"/>
      <c r="M151" s="220"/>
      <c r="N151" s="220"/>
      <c r="O151" s="220"/>
    </row>
    <row r="152">
      <c r="A152" t="s">
        <v>384</v>
      </c>
      <c r="B152" t="s">
        <v>385</v>
      </c>
      <c r="C152" s="220">
        <v>15408</v>
      </c>
      <c r="D152" s="221">
        <v>12800.9</v>
      </c>
      <c r="E152" s="221">
        <v>11374.940000000001</v>
      </c>
      <c r="F152" s="220">
        <v>14128.290000000001</v>
      </c>
      <c r="G152" s="221">
        <v>11334.49</v>
      </c>
      <c r="H152" s="221">
        <v>11542.92</v>
      </c>
      <c r="I152" s="222"/>
      <c r="J152" s="220"/>
      <c r="K152" s="220"/>
      <c r="L152" s="220"/>
      <c r="M152" s="220"/>
      <c r="N152" s="220"/>
      <c r="O152" s="220"/>
    </row>
    <row r="153">
      <c r="A153" t="s">
        <v>388</v>
      </c>
      <c r="B153" t="s">
        <v>389</v>
      </c>
      <c r="C153" s="220">
        <v>0</v>
      </c>
      <c r="D153" s="221">
        <v>0</v>
      </c>
      <c r="E153" s="221">
        <v>0</v>
      </c>
      <c r="F153" s="220">
        <v>2500</v>
      </c>
      <c r="G153" s="221">
        <v>0</v>
      </c>
      <c r="H153" s="221">
        <v>0</v>
      </c>
      <c r="I153" s="222"/>
      <c r="J153" s="220"/>
      <c r="K153" s="220"/>
      <c r="L153" s="220"/>
      <c r="M153" s="220"/>
      <c r="N153" s="220"/>
      <c r="O153" s="220"/>
    </row>
    <row r="154">
      <c r="A154" t="s">
        <v>392</v>
      </c>
      <c r="B154" t="s">
        <v>393</v>
      </c>
      <c r="C154" s="220">
        <v>11655</v>
      </c>
      <c r="D154" s="221">
        <v>6156</v>
      </c>
      <c r="E154" s="221">
        <v>6220.8000000000002</v>
      </c>
      <c r="F154" s="220">
        <v>6275</v>
      </c>
      <c r="G154" s="221">
        <v>6156</v>
      </c>
      <c r="H154" s="221">
        <v>6156</v>
      </c>
      <c r="I154" s="222"/>
      <c r="J154" s="220"/>
      <c r="K154" s="220"/>
      <c r="L154" s="220"/>
      <c r="M154" s="220"/>
      <c r="N154" s="220"/>
      <c r="O154" s="220"/>
    </row>
    <row r="155">
      <c r="A155" t="s">
        <v>396</v>
      </c>
      <c r="B155" t="s">
        <v>397</v>
      </c>
      <c r="C155" s="220">
        <v>0</v>
      </c>
      <c r="D155" s="221">
        <v>0</v>
      </c>
      <c r="E155" s="221">
        <v>0</v>
      </c>
      <c r="F155" s="220">
        <v>0</v>
      </c>
      <c r="G155" s="221">
        <v>0</v>
      </c>
      <c r="H155" s="221">
        <v>0</v>
      </c>
      <c r="I155" s="222"/>
      <c r="J155" s="220"/>
      <c r="K155" s="220"/>
      <c r="L155" s="220"/>
      <c r="M155" s="220"/>
      <c r="N155" s="220"/>
      <c r="O155" s="220"/>
    </row>
    <row r="156">
      <c r="A156" t="s">
        <v>400</v>
      </c>
      <c r="B156" t="s">
        <v>401</v>
      </c>
      <c r="C156" s="220">
        <v>3753</v>
      </c>
      <c r="D156" s="220">
        <v>6644.8999999999996</v>
      </c>
      <c r="E156" s="220">
        <v>5154.1400000000003</v>
      </c>
      <c r="F156" s="220">
        <v>5353.29</v>
      </c>
      <c r="G156" s="220">
        <v>5178.4899999999998</v>
      </c>
      <c r="H156" s="220">
        <v>5386.9200000000001</v>
      </c>
      <c r="I156" s="220"/>
      <c r="J156" s="220"/>
      <c r="K156" s="220"/>
      <c r="L156" s="220"/>
      <c r="M156" s="220"/>
      <c r="N156" s="220"/>
      <c r="O156" s="220"/>
    </row>
    <row r="157">
      <c r="A157" t="s">
        <v>404</v>
      </c>
      <c r="B157" t="s">
        <v>405</v>
      </c>
      <c r="C157" s="220">
        <v>19825.5</v>
      </c>
      <c r="D157" s="220">
        <v>33132.099999999999</v>
      </c>
      <c r="E157" s="220">
        <v>82037.699999999997</v>
      </c>
      <c r="F157" s="220">
        <v>14207.940000000001</v>
      </c>
      <c r="G157" s="220">
        <v>22347.59</v>
      </c>
      <c r="H157" s="220">
        <v>26060.84</v>
      </c>
      <c r="I157" s="220"/>
      <c r="J157" s="220"/>
      <c r="K157" s="220"/>
      <c r="L157" s="220"/>
      <c r="M157" s="220"/>
      <c r="N157" s="220"/>
      <c r="O157" s="220"/>
    </row>
    <row r="158">
      <c r="A158" t="s">
        <v>606</v>
      </c>
      <c r="B158" t="s">
        <v>442</v>
      </c>
      <c r="C158" s="220">
        <v>0</v>
      </c>
      <c r="D158" s="220">
        <v>0</v>
      </c>
      <c r="E158" s="220">
        <v>27.5</v>
      </c>
      <c r="F158" s="220">
        <v>0</v>
      </c>
      <c r="G158" s="220">
        <v>2800</v>
      </c>
      <c r="H158" s="220">
        <v>0</v>
      </c>
      <c r="I158" s="220"/>
      <c r="J158" s="220"/>
      <c r="K158" s="220"/>
      <c r="L158" s="220"/>
      <c r="M158" s="220"/>
      <c r="N158" s="220"/>
      <c r="O158" s="220"/>
    </row>
    <row r="159">
      <c r="A159" t="s">
        <v>408</v>
      </c>
      <c r="B159" t="s">
        <v>409</v>
      </c>
      <c r="C159" s="220">
        <v>3504.5999999999999</v>
      </c>
      <c r="D159" s="220">
        <v>3504.5999999999999</v>
      </c>
      <c r="E159" s="220">
        <v>3504.5999999999999</v>
      </c>
      <c r="F159" s="220">
        <v>3853.4400000000001</v>
      </c>
      <c r="G159" s="220">
        <v>3853.4400000000001</v>
      </c>
      <c r="H159" s="220">
        <v>3853.4400000000001</v>
      </c>
      <c r="I159" s="220"/>
      <c r="J159" s="220"/>
      <c r="K159" s="220"/>
      <c r="L159" s="220"/>
      <c r="M159" s="220"/>
      <c r="N159" s="220"/>
      <c r="O159" s="220"/>
    </row>
    <row r="160">
      <c r="A160" t="s">
        <v>412</v>
      </c>
      <c r="B160" t="s">
        <v>413</v>
      </c>
      <c r="C160" s="220">
        <v>260</v>
      </c>
      <c r="D160" s="220">
        <v>260</v>
      </c>
      <c r="E160" s="220">
        <v>260</v>
      </c>
      <c r="F160" s="220">
        <v>2630</v>
      </c>
      <c r="G160" s="220">
        <v>260</v>
      </c>
      <c r="H160" s="220">
        <v>1240</v>
      </c>
      <c r="I160" s="220"/>
      <c r="J160" s="220"/>
      <c r="K160" s="220"/>
      <c r="L160" s="220"/>
      <c r="M160" s="220"/>
      <c r="N160" s="220"/>
      <c r="O160" s="220"/>
    </row>
    <row r="161">
      <c r="A161" s="224" t="s">
        <v>415</v>
      </c>
      <c r="B161" t="s">
        <v>416</v>
      </c>
      <c r="C161" s="220">
        <v>0</v>
      </c>
      <c r="D161" s="220">
        <v>0</v>
      </c>
      <c r="E161" s="220">
        <v>0</v>
      </c>
      <c r="F161" s="220">
        <v>0</v>
      </c>
      <c r="G161" s="220">
        <v>0</v>
      </c>
      <c r="H161" s="220">
        <v>0</v>
      </c>
      <c r="I161" s="220"/>
      <c r="J161" s="220"/>
      <c r="K161" s="220"/>
      <c r="L161" s="220"/>
      <c r="M161" s="220"/>
      <c r="N161" s="220"/>
      <c r="O161" s="220"/>
    </row>
    <row r="162">
      <c r="A162" s="223" t="s">
        <v>418</v>
      </c>
      <c r="B162" t="s">
        <v>419</v>
      </c>
      <c r="C162" s="220">
        <v>0</v>
      </c>
      <c r="D162" s="220">
        <v>0</v>
      </c>
      <c r="E162" s="220">
        <v>0</v>
      </c>
      <c r="F162" s="220">
        <v>0</v>
      </c>
      <c r="G162" s="220">
        <v>0</v>
      </c>
      <c r="H162" s="220">
        <v>0</v>
      </c>
      <c r="I162" s="220"/>
      <c r="J162" s="220"/>
      <c r="K162" s="220"/>
      <c r="L162" s="220"/>
      <c r="M162" s="220"/>
      <c r="N162" s="220"/>
      <c r="O162" s="220"/>
    </row>
    <row r="163">
      <c r="A163" t="s">
        <v>421</v>
      </c>
      <c r="B163" t="s">
        <v>422</v>
      </c>
      <c r="C163" s="220">
        <v>0</v>
      </c>
      <c r="D163" s="220">
        <v>0</v>
      </c>
      <c r="E163" s="220">
        <v>150</v>
      </c>
      <c r="F163" s="220">
        <v>107</v>
      </c>
      <c r="G163" s="220">
        <v>120.40000000000001</v>
      </c>
      <c r="H163" s="220">
        <v>1221</v>
      </c>
      <c r="I163" s="220"/>
      <c r="J163" s="220"/>
      <c r="K163" s="220"/>
      <c r="L163" s="220"/>
      <c r="M163" s="220"/>
      <c r="N163" s="220"/>
      <c r="O163" s="220"/>
    </row>
    <row r="164">
      <c r="A164" t="s">
        <v>607</v>
      </c>
      <c r="B164" t="s">
        <v>461</v>
      </c>
      <c r="C164" s="220">
        <v>2214</v>
      </c>
      <c r="D164" s="220">
        <v>2214</v>
      </c>
      <c r="E164" s="220">
        <v>2214</v>
      </c>
      <c r="F164" s="220">
        <v>2214</v>
      </c>
      <c r="G164" s="220">
        <v>2214</v>
      </c>
      <c r="H164" s="220">
        <v>2214</v>
      </c>
      <c r="I164" s="220"/>
      <c r="J164" s="220"/>
      <c r="K164" s="220"/>
      <c r="L164" s="220"/>
      <c r="M164" s="220"/>
      <c r="N164" s="220"/>
      <c r="O164" s="220"/>
    </row>
    <row r="165">
      <c r="A165" t="s">
        <v>608</v>
      </c>
      <c r="B165" t="s">
        <v>465</v>
      </c>
      <c r="C165" s="220">
        <v>200</v>
      </c>
      <c r="D165" s="220">
        <v>0</v>
      </c>
      <c r="E165" s="220">
        <v>0</v>
      </c>
      <c r="F165" s="220">
        <v>0</v>
      </c>
      <c r="G165" s="220">
        <v>0</v>
      </c>
      <c r="H165" s="220">
        <v>0</v>
      </c>
      <c r="I165" s="220"/>
      <c r="J165" s="220"/>
      <c r="K165" s="220"/>
      <c r="L165" s="220"/>
      <c r="M165" s="220"/>
      <c r="N165" s="220"/>
      <c r="O165" s="220"/>
    </row>
    <row r="166">
      <c r="A166" t="s">
        <v>424</v>
      </c>
      <c r="B166" t="s">
        <v>425</v>
      </c>
      <c r="C166" s="220">
        <v>2646</v>
      </c>
      <c r="D166" s="220">
        <v>6696</v>
      </c>
      <c r="E166" s="220">
        <v>3132</v>
      </c>
      <c r="F166" s="220">
        <v>0</v>
      </c>
      <c r="G166" s="220">
        <v>0</v>
      </c>
      <c r="H166" s="220">
        <v>0</v>
      </c>
      <c r="I166" s="220"/>
      <c r="J166" s="220"/>
      <c r="K166" s="220"/>
      <c r="L166" s="220"/>
      <c r="M166" s="220"/>
      <c r="N166" s="220"/>
      <c r="O166" s="220"/>
    </row>
    <row r="167">
      <c r="A167" t="s">
        <v>609</v>
      </c>
      <c r="B167" t="s">
        <v>472</v>
      </c>
      <c r="C167" s="220">
        <v>0</v>
      </c>
      <c r="D167" s="220">
        <v>0</v>
      </c>
      <c r="E167" s="220">
        <v>6432</v>
      </c>
      <c r="F167" s="220">
        <v>3132</v>
      </c>
      <c r="G167" s="220">
        <v>1980</v>
      </c>
      <c r="H167" s="220">
        <v>0</v>
      </c>
      <c r="I167" s="220"/>
      <c r="J167" s="220"/>
      <c r="K167" s="220"/>
      <c r="L167" s="220"/>
      <c r="M167" s="220"/>
      <c r="N167" s="220"/>
      <c r="O167" s="220"/>
    </row>
    <row r="168">
      <c r="A168" t="s">
        <v>427</v>
      </c>
      <c r="B168" t="s">
        <v>428</v>
      </c>
      <c r="C168" s="220">
        <v>400</v>
      </c>
      <c r="D168" s="220">
        <v>16120</v>
      </c>
      <c r="E168" s="220">
        <v>56200</v>
      </c>
      <c r="F168" s="220">
        <v>0</v>
      </c>
      <c r="G168" s="220">
        <v>0</v>
      </c>
      <c r="H168" s="220">
        <v>0</v>
      </c>
      <c r="I168" s="220"/>
      <c r="J168" s="220"/>
      <c r="K168" s="220"/>
      <c r="L168" s="220"/>
      <c r="M168" s="220"/>
      <c r="N168" s="220"/>
      <c r="O168" s="220"/>
    </row>
    <row r="169">
      <c r="A169" t="s">
        <v>430</v>
      </c>
      <c r="B169" t="s">
        <v>431</v>
      </c>
      <c r="C169" s="220">
        <v>0</v>
      </c>
      <c r="D169" s="220">
        <v>0</v>
      </c>
      <c r="E169" s="220">
        <v>1350</v>
      </c>
      <c r="F169" s="220">
        <v>0</v>
      </c>
      <c r="G169" s="220">
        <v>4860</v>
      </c>
      <c r="H169" s="220">
        <v>1300</v>
      </c>
      <c r="I169" s="220"/>
      <c r="J169" s="220"/>
      <c r="K169" s="220"/>
      <c r="L169" s="220"/>
      <c r="M169" s="220"/>
      <c r="N169" s="220"/>
      <c r="O169" s="220"/>
    </row>
    <row r="170">
      <c r="A170" t="s">
        <v>433</v>
      </c>
      <c r="B170" t="s">
        <v>434</v>
      </c>
      <c r="C170" s="220">
        <v>2139.9000000000001</v>
      </c>
      <c r="D170" s="220">
        <v>87.5</v>
      </c>
      <c r="E170" s="220">
        <v>3356.8000000000002</v>
      </c>
      <c r="F170" s="220">
        <v>40.5</v>
      </c>
      <c r="G170" s="220">
        <v>1728.75</v>
      </c>
      <c r="H170" s="220">
        <v>7071.3999999999996</v>
      </c>
      <c r="I170" s="220"/>
      <c r="J170" s="220"/>
      <c r="K170" s="220"/>
      <c r="L170" s="220"/>
      <c r="M170" s="220"/>
      <c r="N170" s="220"/>
      <c r="O170" s="220"/>
    </row>
    <row r="171">
      <c r="A171" t="s">
        <v>436</v>
      </c>
      <c r="B171" t="s">
        <v>437</v>
      </c>
      <c r="C171" s="220">
        <v>5500</v>
      </c>
      <c r="D171" s="220">
        <v>300</v>
      </c>
      <c r="E171" s="220">
        <v>1530.8</v>
      </c>
      <c r="F171" s="220">
        <v>0</v>
      </c>
      <c r="G171" s="220">
        <v>1130</v>
      </c>
      <c r="H171" s="220">
        <v>310</v>
      </c>
      <c r="I171" s="220"/>
      <c r="J171" s="220"/>
      <c r="K171" s="220"/>
      <c r="L171" s="220"/>
      <c r="M171" s="220"/>
      <c r="N171" s="220"/>
      <c r="O171" s="220"/>
    </row>
    <row r="172">
      <c r="A172" t="s">
        <v>610</v>
      </c>
      <c r="B172" t="s">
        <v>488</v>
      </c>
      <c r="C172" s="220">
        <v>2231</v>
      </c>
      <c r="D172" s="220">
        <v>1900</v>
      </c>
      <c r="E172" s="220">
        <v>3410</v>
      </c>
      <c r="F172" s="220">
        <v>2231</v>
      </c>
      <c r="G172" s="220">
        <v>2231</v>
      </c>
      <c r="H172" s="220">
        <v>2231</v>
      </c>
      <c r="I172" s="220"/>
      <c r="J172" s="220"/>
      <c r="K172" s="220"/>
      <c r="L172" s="220"/>
      <c r="M172" s="220"/>
      <c r="N172" s="220"/>
      <c r="O172" s="220"/>
    </row>
    <row r="173">
      <c r="A173" t="s">
        <v>439</v>
      </c>
      <c r="B173" t="s">
        <v>440</v>
      </c>
      <c r="C173" s="220">
        <v>0</v>
      </c>
      <c r="D173" s="220">
        <v>0</v>
      </c>
      <c r="E173" s="220">
        <v>0</v>
      </c>
      <c r="F173" s="220">
        <v>0</v>
      </c>
      <c r="G173" s="220">
        <v>0</v>
      </c>
      <c r="H173" s="220">
        <v>0</v>
      </c>
      <c r="I173" s="220"/>
      <c r="J173" s="220"/>
      <c r="K173" s="220"/>
      <c r="L173" s="220"/>
      <c r="M173" s="220"/>
      <c r="N173" s="220"/>
      <c r="O173" s="220"/>
    </row>
    <row r="174">
      <c r="A174" t="s">
        <v>443</v>
      </c>
      <c r="B174" t="s">
        <v>444</v>
      </c>
      <c r="C174" s="220">
        <v>0</v>
      </c>
      <c r="D174" s="220">
        <v>0</v>
      </c>
      <c r="E174" s="220">
        <v>0</v>
      </c>
      <c r="F174" s="220">
        <v>0</v>
      </c>
      <c r="G174" s="220">
        <v>0</v>
      </c>
      <c r="H174" s="220">
        <v>4550</v>
      </c>
      <c r="I174" s="220"/>
      <c r="J174" s="220"/>
      <c r="K174" s="220"/>
      <c r="L174" s="220"/>
      <c r="M174" s="220"/>
      <c r="N174" s="220"/>
      <c r="O174" s="220"/>
    </row>
    <row r="175">
      <c r="A175" t="s">
        <v>446</v>
      </c>
      <c r="B175" t="s">
        <v>447</v>
      </c>
      <c r="C175" s="220">
        <v>0</v>
      </c>
      <c r="D175" s="220">
        <v>0</v>
      </c>
      <c r="E175" s="220">
        <v>0</v>
      </c>
      <c r="F175" s="220">
        <v>0</v>
      </c>
      <c r="G175" s="220">
        <v>0</v>
      </c>
      <c r="H175" s="220">
        <v>0</v>
      </c>
      <c r="I175" s="220"/>
      <c r="J175" s="220"/>
      <c r="K175" s="220"/>
      <c r="L175" s="220"/>
      <c r="M175" s="220"/>
      <c r="N175" s="220"/>
      <c r="O175" s="220"/>
    </row>
    <row r="176">
      <c r="A176" t="s">
        <v>449</v>
      </c>
      <c r="B176" t="s">
        <v>450</v>
      </c>
      <c r="C176" s="220">
        <v>730</v>
      </c>
      <c r="D176" s="220">
        <v>2050</v>
      </c>
      <c r="E176" s="220">
        <v>470</v>
      </c>
      <c r="F176" s="220">
        <v>0</v>
      </c>
      <c r="G176" s="220">
        <v>1170</v>
      </c>
      <c r="H176" s="220">
        <v>2070</v>
      </c>
      <c r="I176" s="220"/>
      <c r="J176" s="220"/>
      <c r="K176" s="220"/>
      <c r="L176" s="220"/>
      <c r="M176" s="220"/>
      <c r="N176" s="220"/>
      <c r="O176" s="220"/>
    </row>
    <row r="177">
      <c r="A177" t="s">
        <v>452</v>
      </c>
      <c r="B177" t="s">
        <v>453</v>
      </c>
      <c r="C177" s="220">
        <v>2380</v>
      </c>
      <c r="D177" s="220">
        <v>0</v>
      </c>
      <c r="E177" s="220">
        <v>0</v>
      </c>
      <c r="F177" s="220">
        <v>0</v>
      </c>
      <c r="G177" s="220">
        <v>0</v>
      </c>
      <c r="H177" s="220">
        <v>0</v>
      </c>
      <c r="I177" s="220"/>
      <c r="J177" s="220"/>
      <c r="K177" s="220"/>
      <c r="L177" s="220"/>
      <c r="M177" s="220"/>
      <c r="N177" s="220"/>
      <c r="O177" s="220"/>
    </row>
    <row r="178">
      <c r="A178" t="s">
        <v>455</v>
      </c>
      <c r="B178" t="s">
        <v>456</v>
      </c>
      <c r="C178" s="220">
        <v>2380</v>
      </c>
      <c r="D178" s="220">
        <v>0</v>
      </c>
      <c r="E178" s="220">
        <v>0</v>
      </c>
      <c r="F178" s="220">
        <v>0</v>
      </c>
      <c r="G178" s="220">
        <v>0</v>
      </c>
      <c r="H178" s="220">
        <v>0</v>
      </c>
      <c r="I178" s="220"/>
      <c r="J178" s="220"/>
      <c r="K178" s="220"/>
      <c r="L178" s="220"/>
      <c r="M178" s="220"/>
      <c r="N178" s="220"/>
      <c r="O178" s="220"/>
    </row>
    <row r="179">
      <c r="A179" t="s">
        <v>458</v>
      </c>
      <c r="B179" t="s">
        <v>459</v>
      </c>
      <c r="C179" s="220">
        <v>14463.360000000001</v>
      </c>
      <c r="D179" s="220">
        <v>13063.68</v>
      </c>
      <c r="E179" s="220">
        <v>14463.360000000001</v>
      </c>
      <c r="F179" s="220">
        <v>13996.799999999999</v>
      </c>
      <c r="G179" s="220">
        <v>18527.099999999999</v>
      </c>
      <c r="H179" s="220">
        <v>18499.099999999999</v>
      </c>
      <c r="I179" s="220"/>
      <c r="J179" s="220"/>
      <c r="K179" s="220"/>
      <c r="L179" s="220"/>
      <c r="M179" s="220"/>
      <c r="N179" s="220"/>
      <c r="O179" s="220"/>
    </row>
    <row r="180">
      <c r="A180" t="s">
        <v>462</v>
      </c>
      <c r="B180" t="s">
        <v>463</v>
      </c>
      <c r="C180" s="220">
        <v>2.71</v>
      </c>
      <c r="D180" s="220">
        <v>6.1200000000000001</v>
      </c>
      <c r="E180" s="220">
        <v>14.5</v>
      </c>
      <c r="F180" s="220">
        <v>1.74</v>
      </c>
      <c r="G180" s="220">
        <v>1.76</v>
      </c>
      <c r="H180" s="220">
        <v>1.24</v>
      </c>
      <c r="I180" s="220"/>
      <c r="J180" s="220"/>
      <c r="K180" s="220"/>
      <c r="L180" s="220"/>
      <c r="M180" s="220"/>
      <c r="N180" s="220"/>
      <c r="O180" s="220"/>
    </row>
    <row r="181">
      <c r="A181" t="s">
        <v>466</v>
      </c>
      <c r="B181" t="s">
        <v>467</v>
      </c>
      <c r="C181" s="220">
        <v>0</v>
      </c>
      <c r="D181" s="220">
        <v>0</v>
      </c>
      <c r="E181" s="220">
        <v>0</v>
      </c>
      <c r="F181" s="220">
        <v>0</v>
      </c>
      <c r="G181" s="220">
        <v>0</v>
      </c>
      <c r="H181" s="220">
        <v>0</v>
      </c>
      <c r="I181" s="220"/>
      <c r="J181" s="220"/>
      <c r="K181" s="220"/>
      <c r="L181" s="220"/>
      <c r="M181" s="220"/>
      <c r="N181" s="220"/>
      <c r="O181" s="220"/>
    </row>
    <row r="182">
      <c r="A182" t="s">
        <v>469</v>
      </c>
      <c r="B182" t="s">
        <v>470</v>
      </c>
      <c r="C182" s="220">
        <v>0</v>
      </c>
      <c r="D182" s="220">
        <v>50</v>
      </c>
      <c r="E182" s="220">
        <v>100</v>
      </c>
      <c r="F182" s="220">
        <v>0</v>
      </c>
      <c r="G182" s="220">
        <v>100</v>
      </c>
      <c r="H182" s="220">
        <v>0</v>
      </c>
      <c r="I182" s="220"/>
      <c r="J182" s="220"/>
      <c r="K182" s="220"/>
      <c r="L182" s="220"/>
      <c r="M182" s="220"/>
      <c r="N182" s="220"/>
      <c r="O182" s="220"/>
    </row>
    <row r="183">
      <c r="A183" t="s">
        <v>473</v>
      </c>
      <c r="B183" t="s">
        <v>474</v>
      </c>
      <c r="C183" s="220">
        <v>74606.910000000003</v>
      </c>
      <c r="D183" s="220">
        <v>77684.899999999994</v>
      </c>
      <c r="E183" s="220">
        <v>71093.179999999993</v>
      </c>
      <c r="F183" s="220">
        <v>84620.320000000007</v>
      </c>
      <c r="G183" s="220">
        <v>81521.899999999994</v>
      </c>
      <c r="H183" s="220">
        <v>84207.160000000003</v>
      </c>
      <c r="I183" s="220"/>
      <c r="J183" s="220"/>
      <c r="K183" s="220"/>
      <c r="L183" s="220"/>
      <c r="M183" s="220"/>
      <c r="N183" s="220"/>
      <c r="O183" s="220"/>
    </row>
    <row r="184">
      <c r="A184" t="s">
        <v>476</v>
      </c>
      <c r="B184" t="s">
        <v>477</v>
      </c>
      <c r="C184" s="220">
        <v>51115.400000000001</v>
      </c>
      <c r="D184" s="220">
        <v>55222.800000000003</v>
      </c>
      <c r="E184" s="220">
        <v>51298.330000000002</v>
      </c>
      <c r="F184" s="220">
        <v>59813.120000000003</v>
      </c>
      <c r="G184" s="220">
        <v>57878.550000000003</v>
      </c>
      <c r="H184" s="220">
        <v>63944.209999999999</v>
      </c>
      <c r="I184" s="220"/>
      <c r="J184" s="220"/>
      <c r="K184" s="220"/>
      <c r="L184" s="220"/>
      <c r="M184" s="220"/>
      <c r="N184" s="220"/>
      <c r="O184" s="220"/>
    </row>
    <row r="185">
      <c r="A185" t="s">
        <v>479</v>
      </c>
      <c r="B185" t="s">
        <v>480</v>
      </c>
      <c r="C185" s="220">
        <v>12184.299999999999</v>
      </c>
      <c r="D185" s="220">
        <v>11240.9</v>
      </c>
      <c r="E185" s="220">
        <v>9968.0499999999993</v>
      </c>
      <c r="F185" s="220">
        <v>12825.25</v>
      </c>
      <c r="G185" s="220">
        <v>11935.950000000001</v>
      </c>
      <c r="H185" s="220">
        <v>13569.049999999999</v>
      </c>
      <c r="I185" s="220"/>
      <c r="J185" s="220"/>
      <c r="K185" s="220"/>
      <c r="L185" s="220"/>
      <c r="M185" s="220"/>
      <c r="N185" s="220"/>
      <c r="O185" s="220"/>
    </row>
    <row r="186">
      <c r="A186" t="s">
        <v>482</v>
      </c>
      <c r="B186" t="s">
        <v>483</v>
      </c>
      <c r="C186" s="220">
        <v>2957.6599999999999</v>
      </c>
      <c r="D186" s="220">
        <v>2950.8000000000002</v>
      </c>
      <c r="E186" s="220">
        <v>2944.5500000000002</v>
      </c>
      <c r="F186" s="220">
        <v>3062.4000000000001</v>
      </c>
      <c r="G186" s="220">
        <v>2943.1999999999998</v>
      </c>
      <c r="H186" s="220">
        <v>3872.6500000000001</v>
      </c>
      <c r="I186" s="220"/>
      <c r="J186" s="220"/>
      <c r="K186" s="220"/>
      <c r="L186" s="220"/>
      <c r="M186" s="220"/>
      <c r="N186" s="220"/>
      <c r="O186" s="220"/>
    </row>
    <row r="187">
      <c r="A187" t="s">
        <v>485</v>
      </c>
      <c r="B187" t="s">
        <v>486</v>
      </c>
      <c r="C187" s="220">
        <v>5967.6000000000004</v>
      </c>
      <c r="D187" s="220">
        <v>5967.6000000000004</v>
      </c>
      <c r="E187" s="220">
        <v>5967.6000000000004</v>
      </c>
      <c r="F187" s="220">
        <v>5967.6000000000004</v>
      </c>
      <c r="G187" s="220">
        <v>5967.6000000000004</v>
      </c>
      <c r="H187" s="220">
        <v>12</v>
      </c>
      <c r="I187" s="220"/>
      <c r="J187" s="220"/>
      <c r="K187" s="220"/>
      <c r="L187" s="220"/>
      <c r="M187" s="220"/>
      <c r="N187" s="220"/>
      <c r="O187" s="220"/>
    </row>
    <row r="188">
      <c r="A188" t="s">
        <v>489</v>
      </c>
      <c r="B188" t="s">
        <v>490</v>
      </c>
      <c r="C188" s="220">
        <v>2381.9499999999998</v>
      </c>
      <c r="D188" s="220">
        <v>2302.8000000000002</v>
      </c>
      <c r="E188" s="220">
        <v>914.64999999999998</v>
      </c>
      <c r="F188" s="220">
        <v>2951.9499999999998</v>
      </c>
      <c r="G188" s="220">
        <v>2796.5999999999999</v>
      </c>
      <c r="H188" s="220">
        <v>2809.25</v>
      </c>
      <c r="I188" s="220"/>
      <c r="J188" s="220"/>
      <c r="K188" s="220"/>
      <c r="L188" s="220"/>
      <c r="M188" s="220"/>
      <c r="N188" s="220"/>
      <c r="O188" s="220"/>
    </row>
    <row r="189">
      <c r="A189" t="s">
        <v>492</v>
      </c>
      <c r="B189" t="s">
        <v>493</v>
      </c>
      <c r="C189" s="220">
        <v>10</v>
      </c>
      <c r="D189" s="220">
        <v>0</v>
      </c>
      <c r="E189" s="220">
        <v>0</v>
      </c>
      <c r="F189" s="220">
        <v>0</v>
      </c>
      <c r="G189" s="220">
        <v>668.25</v>
      </c>
      <c r="H189" s="220">
        <v>3069.73</v>
      </c>
      <c r="I189" s="220"/>
      <c r="J189" s="220"/>
      <c r="K189" s="220"/>
      <c r="L189" s="220"/>
      <c r="M189" s="220"/>
      <c r="N189" s="220"/>
      <c r="O189" s="220"/>
    </row>
    <row r="190">
      <c r="A190" t="s">
        <v>495</v>
      </c>
      <c r="B190" t="s">
        <v>496</v>
      </c>
      <c r="C190" s="220">
        <v>0</v>
      </c>
      <c r="D190" s="220">
        <v>0</v>
      </c>
      <c r="E190" s="220">
        <v>0</v>
      </c>
      <c r="F190" s="220">
        <v>0</v>
      </c>
      <c r="G190" s="220">
        <v>0</v>
      </c>
      <c r="H190" s="220">
        <v>758</v>
      </c>
      <c r="I190" s="220"/>
      <c r="J190" s="220"/>
      <c r="K190" s="220"/>
      <c r="L190" s="220"/>
      <c r="M190" s="220"/>
      <c r="N190" s="220"/>
      <c r="O190" s="220"/>
    </row>
    <row r="191">
      <c r="A191" t="s">
        <v>498</v>
      </c>
      <c r="B191" t="s">
        <v>499</v>
      </c>
      <c r="C191" s="220">
        <v>0</v>
      </c>
      <c r="D191" s="220">
        <v>0</v>
      </c>
      <c r="E191" s="220">
        <v>0</v>
      </c>
      <c r="F191" s="220">
        <v>0</v>
      </c>
      <c r="G191" s="220">
        <v>0</v>
      </c>
      <c r="H191" s="220">
        <v>2311.73</v>
      </c>
      <c r="I191" s="220"/>
      <c r="J191" s="220"/>
      <c r="K191" s="220"/>
      <c r="L191" s="220"/>
      <c r="M191" s="220"/>
      <c r="N191" s="220"/>
      <c r="O191" s="220"/>
    </row>
    <row r="192">
      <c r="A192" t="s">
        <v>611</v>
      </c>
      <c r="B192" t="s">
        <v>535</v>
      </c>
      <c r="C192" s="220">
        <v>10</v>
      </c>
      <c r="D192" s="220">
        <v>0</v>
      </c>
      <c r="E192" s="220">
        <v>0</v>
      </c>
      <c r="F192" s="220">
        <v>0</v>
      </c>
      <c r="G192" s="220">
        <v>668.25</v>
      </c>
      <c r="H192" s="220">
        <v>0</v>
      </c>
      <c r="I192" s="220"/>
      <c r="J192" s="220"/>
      <c r="K192" s="220"/>
      <c r="L192" s="220"/>
      <c r="M192" s="220"/>
      <c r="N192" s="220"/>
      <c r="O192" s="220"/>
    </row>
    <row r="193">
      <c r="A193" t="s">
        <v>501</v>
      </c>
      <c r="B193" t="s">
        <v>502</v>
      </c>
      <c r="C193" s="220">
        <v>539</v>
      </c>
      <c r="D193" s="220">
        <v>500</v>
      </c>
      <c r="E193" s="220">
        <v>500</v>
      </c>
      <c r="F193" s="220">
        <v>677</v>
      </c>
      <c r="G193" s="220">
        <v>563.5</v>
      </c>
      <c r="H193" s="220">
        <v>500</v>
      </c>
      <c r="I193" s="220"/>
      <c r="J193" s="220"/>
      <c r="K193" s="220"/>
      <c r="L193" s="220"/>
      <c r="M193" s="220"/>
      <c r="N193" s="220"/>
      <c r="O193" s="220"/>
    </row>
    <row r="194">
      <c r="A194" t="s">
        <v>504</v>
      </c>
      <c r="B194" t="s">
        <v>505</v>
      </c>
      <c r="C194" s="220">
        <v>0</v>
      </c>
      <c r="D194" s="220">
        <v>0</v>
      </c>
      <c r="E194" s="220">
        <v>0</v>
      </c>
      <c r="F194" s="220">
        <v>0</v>
      </c>
      <c r="G194" s="220">
        <v>0</v>
      </c>
      <c r="H194" s="220">
        <v>0</v>
      </c>
      <c r="I194" s="220"/>
      <c r="J194" s="220"/>
      <c r="K194" s="220"/>
      <c r="L194" s="220"/>
      <c r="M194" s="220"/>
      <c r="N194" s="220"/>
      <c r="O194" s="220"/>
    </row>
    <row r="195">
      <c r="A195" t="s">
        <v>507</v>
      </c>
      <c r="B195" t="s">
        <v>508</v>
      </c>
      <c r="C195" s="220">
        <v>19120.75</v>
      </c>
      <c r="D195" s="220">
        <v>19120.75</v>
      </c>
      <c r="E195" s="220">
        <v>19120.75</v>
      </c>
      <c r="F195" s="220">
        <v>19120.75</v>
      </c>
      <c r="G195" s="220">
        <v>19120.75</v>
      </c>
      <c r="H195" s="220">
        <v>19120.75</v>
      </c>
      <c r="I195" s="220"/>
      <c r="J195" s="220"/>
      <c r="K195" s="220"/>
      <c r="L195" s="220"/>
      <c r="M195" s="220"/>
      <c r="N195" s="220"/>
      <c r="O195" s="220"/>
    </row>
    <row r="196">
      <c r="A196" t="s">
        <v>510</v>
      </c>
      <c r="B196" t="s">
        <v>511</v>
      </c>
      <c r="C196" s="220">
        <v>16522</v>
      </c>
      <c r="D196" s="220">
        <v>16522</v>
      </c>
      <c r="E196" s="220">
        <v>16522</v>
      </c>
      <c r="F196" s="220">
        <v>16522</v>
      </c>
      <c r="G196" s="220">
        <v>16522</v>
      </c>
      <c r="H196" s="220">
        <v>16522</v>
      </c>
      <c r="I196" s="220"/>
      <c r="J196" s="220"/>
      <c r="K196" s="220"/>
      <c r="L196" s="220"/>
      <c r="M196" s="220"/>
      <c r="N196" s="220"/>
      <c r="O196" s="220"/>
    </row>
    <row r="197">
      <c r="A197" t="s">
        <v>513</v>
      </c>
      <c r="B197" t="s">
        <v>514</v>
      </c>
      <c r="C197" s="220">
        <v>2598.75</v>
      </c>
      <c r="D197" s="220">
        <v>2598.75</v>
      </c>
      <c r="E197" s="220">
        <v>2598.75</v>
      </c>
      <c r="F197" s="220">
        <v>2598.75</v>
      </c>
      <c r="G197" s="220">
        <v>2598.75</v>
      </c>
      <c r="H197" s="220">
        <v>2598.75</v>
      </c>
      <c r="I197" s="220"/>
      <c r="J197" s="220"/>
      <c r="K197" s="220"/>
      <c r="L197" s="220"/>
      <c r="M197" s="220"/>
      <c r="N197" s="220"/>
      <c r="O197" s="220"/>
    </row>
    <row r="198">
      <c r="A198" t="s">
        <v>612</v>
      </c>
      <c r="B198" t="s">
        <v>546</v>
      </c>
      <c r="C198" s="220">
        <v>2888</v>
      </c>
      <c r="D198" s="220">
        <v>2925.0500000000002</v>
      </c>
      <c r="E198" s="220">
        <v>40.700000000000003</v>
      </c>
      <c r="F198" s="220">
        <v>0</v>
      </c>
      <c r="G198" s="220">
        <v>0</v>
      </c>
      <c r="H198" s="220">
        <v>0</v>
      </c>
      <c r="I198" s="220"/>
      <c r="J198" s="220"/>
      <c r="K198" s="220"/>
      <c r="L198" s="220"/>
      <c r="M198" s="220"/>
      <c r="N198" s="220"/>
      <c r="O198" s="220"/>
    </row>
    <row r="199">
      <c r="A199" t="s">
        <v>516</v>
      </c>
      <c r="B199" t="s">
        <v>517</v>
      </c>
      <c r="C199" s="220">
        <v>-1577.5</v>
      </c>
      <c r="D199" s="220">
        <v>440</v>
      </c>
      <c r="E199" s="220">
        <v>440</v>
      </c>
      <c r="F199" s="220">
        <v>440</v>
      </c>
      <c r="G199" s="220">
        <v>640</v>
      </c>
      <c r="H199" s="220">
        <v>440</v>
      </c>
      <c r="I199" s="220"/>
      <c r="J199" s="220"/>
      <c r="K199" s="220"/>
      <c r="L199" s="220"/>
      <c r="M199" s="220"/>
      <c r="N199" s="220"/>
      <c r="O199" s="220"/>
    </row>
    <row r="200">
      <c r="A200" t="s">
        <v>519</v>
      </c>
      <c r="B200" t="s">
        <v>520</v>
      </c>
      <c r="C200" s="220">
        <v>-1577.5</v>
      </c>
      <c r="D200" s="220">
        <v>440</v>
      </c>
      <c r="E200" s="220">
        <v>440</v>
      </c>
      <c r="F200" s="220">
        <v>440</v>
      </c>
      <c r="G200" s="220">
        <v>640</v>
      </c>
      <c r="H200" s="220">
        <v>440</v>
      </c>
      <c r="I200" s="220"/>
      <c r="J200" s="220"/>
      <c r="K200" s="220"/>
      <c r="L200" s="220"/>
      <c r="M200" s="220"/>
      <c r="N200" s="220"/>
      <c r="O200" s="220"/>
    </row>
    <row r="201">
      <c r="A201" t="s">
        <v>522</v>
      </c>
      <c r="B201" t="s">
        <v>523</v>
      </c>
      <c r="C201" s="220">
        <v>0</v>
      </c>
      <c r="D201" s="220">
        <v>0</v>
      </c>
      <c r="E201" s="220">
        <v>0</v>
      </c>
      <c r="F201" s="220">
        <v>0</v>
      </c>
      <c r="G201" s="220">
        <v>0</v>
      </c>
      <c r="H201" s="220">
        <v>0</v>
      </c>
      <c r="I201" s="220"/>
      <c r="J201" s="220"/>
      <c r="K201" s="220"/>
      <c r="L201" s="220"/>
      <c r="M201" s="220"/>
      <c r="N201" s="220"/>
      <c r="O201" s="220"/>
    </row>
    <row r="202">
      <c r="A202" t="s">
        <v>525</v>
      </c>
      <c r="B202" t="s">
        <v>526</v>
      </c>
      <c r="C202" s="220">
        <v>835.5</v>
      </c>
      <c r="D202" s="220">
        <v>1020.2</v>
      </c>
      <c r="E202" s="220">
        <v>1563.2</v>
      </c>
      <c r="F202" s="220">
        <v>961.04999999999995</v>
      </c>
      <c r="G202" s="220">
        <v>969</v>
      </c>
      <c r="H202" s="220">
        <v>859</v>
      </c>
      <c r="I202" s="220"/>
      <c r="J202" s="220"/>
      <c r="K202" s="220"/>
      <c r="L202" s="220"/>
      <c r="M202" s="220"/>
      <c r="N202" s="220"/>
      <c r="O202" s="220"/>
    </row>
    <row r="203">
      <c r="A203" s="185"/>
      <c r="B203"/>
      <c r="C203" s="221">
        <v>571740.27000000002</v>
      </c>
      <c r="D203" s="220">
        <v>538986.28000000003</v>
      </c>
      <c r="E203" s="220">
        <v>555160.20999999996</v>
      </c>
      <c r="F203" s="220">
        <v>492879.87</v>
      </c>
      <c r="G203" s="220">
        <v>503334.40000000002</v>
      </c>
      <c r="H203" s="220">
        <v>497185.71999999997</v>
      </c>
      <c r="I203" s="220"/>
      <c r="J203" s="220"/>
      <c r="K203" s="220"/>
      <c r="L203" s="220"/>
      <c r="M203" s="220"/>
      <c r="N203" s="220"/>
      <c r="O203" s="220"/>
    </row>
    <row r="204">
      <c r="A204" s="185" t="s">
        <v>552</v>
      </c>
      <c r="B204"/>
      <c r="C204" s="221">
        <v>-192045.32999999999</v>
      </c>
      <c r="D204" s="220">
        <v>-182643.76000000001</v>
      </c>
      <c r="E204" s="220">
        <v>-165774.48999999999</v>
      </c>
      <c r="F204" s="220">
        <v>-84308.100000000006</v>
      </c>
      <c r="G204" s="220">
        <v>-128107.24000000001</v>
      </c>
      <c r="H204" s="220">
        <v>-124230.7</v>
      </c>
      <c r="I204" s="220"/>
      <c r="J204" s="220"/>
      <c r="K204" s="220"/>
      <c r="L204" s="220"/>
      <c r="M204" s="220"/>
      <c r="N204" s="220"/>
      <c r="O204" s="220"/>
    </row>
    <row r="205">
      <c r="A205" s="185" t="s">
        <v>529</v>
      </c>
      <c r="B205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</row>
    <row r="206">
      <c r="A206" t="s">
        <v>531</v>
      </c>
      <c r="B206" t="s">
        <v>532</v>
      </c>
      <c r="C206" s="220">
        <v>0</v>
      </c>
      <c r="D206" s="220">
        <v>0</v>
      </c>
      <c r="E206" s="220">
        <v>0</v>
      </c>
      <c r="F206" s="220">
        <v>0</v>
      </c>
      <c r="G206" s="220">
        <v>0</v>
      </c>
      <c r="H206" s="220">
        <v>0</v>
      </c>
      <c r="I206" s="220"/>
      <c r="J206" s="220"/>
      <c r="K206" s="220"/>
      <c r="L206" s="220"/>
      <c r="M206" s="220"/>
      <c r="N206" s="220"/>
      <c r="O206" s="220"/>
    </row>
    <row r="207">
      <c r="A207" s="185"/>
      <c r="B207"/>
      <c r="C207" s="221">
        <v>0</v>
      </c>
      <c r="D207" s="220">
        <v>0</v>
      </c>
      <c r="E207" s="220">
        <v>0</v>
      </c>
      <c r="F207" s="220">
        <v>0</v>
      </c>
      <c r="G207" s="220">
        <v>0</v>
      </c>
      <c r="H207" s="220">
        <v>0</v>
      </c>
      <c r="I207" s="220"/>
      <c r="J207" s="220"/>
      <c r="K207" s="220"/>
      <c r="L207" s="220"/>
      <c r="M207" s="220"/>
      <c r="N207" s="220"/>
      <c r="O207" s="220"/>
    </row>
    <row r="208">
      <c r="A208" s="185" t="s">
        <v>536</v>
      </c>
      <c r="B208"/>
      <c r="C208" s="221">
        <v>-192045.32999999999</v>
      </c>
      <c r="D208" s="220">
        <v>-182643.76000000001</v>
      </c>
      <c r="E208" s="220">
        <v>-165774.48999999999</v>
      </c>
      <c r="F208" s="220">
        <v>-84308.100000000006</v>
      </c>
      <c r="G208" s="220">
        <v>-128107.24000000001</v>
      </c>
      <c r="H208" s="220">
        <v>-124230.7</v>
      </c>
      <c r="I208" s="220"/>
      <c r="J208" s="220"/>
      <c r="K208" s="220"/>
      <c r="L208" s="220"/>
      <c r="M208" s="220"/>
      <c r="N208" s="220"/>
      <c r="O208" s="220"/>
    </row>
    <row r="209">
      <c r="A209" s="185" t="s">
        <v>538</v>
      </c>
      <c r="B209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</row>
    <row r="210">
      <c r="A210" s="185"/>
      <c r="B210"/>
      <c r="C210" s="221">
        <v>0</v>
      </c>
      <c r="D210" s="220">
        <v>0</v>
      </c>
      <c r="E210" s="220">
        <v>0</v>
      </c>
      <c r="F210" s="220">
        <v>0</v>
      </c>
      <c r="G210" s="220">
        <v>0</v>
      </c>
      <c r="H210" s="220">
        <v>0</v>
      </c>
      <c r="I210" s="220"/>
      <c r="J210" s="220"/>
      <c r="K210" s="220"/>
      <c r="L210" s="220"/>
      <c r="M210" s="220"/>
      <c r="N210" s="220"/>
      <c r="O210" s="220"/>
    </row>
    <row r="211">
      <c r="A211" s="185" t="s">
        <v>541</v>
      </c>
      <c r="B211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</row>
    <row r="212">
      <c r="A212" s="185"/>
      <c r="B212"/>
      <c r="C212" s="221">
        <v>0</v>
      </c>
      <c r="D212" s="220">
        <v>0</v>
      </c>
      <c r="E212" s="220">
        <v>0</v>
      </c>
      <c r="F212" s="220">
        <v>0</v>
      </c>
      <c r="G212" s="220">
        <v>0</v>
      </c>
      <c r="H212" s="220">
        <v>0</v>
      </c>
      <c r="I212" s="220"/>
      <c r="J212" s="220"/>
      <c r="K212" s="220"/>
      <c r="L212" s="220"/>
      <c r="M212" s="220"/>
      <c r="N212" s="220"/>
      <c r="O212" s="220"/>
    </row>
    <row r="213">
      <c r="A213" s="185" t="s">
        <v>544</v>
      </c>
      <c r="B213"/>
      <c r="C213" s="221">
        <v>-192045.32999999999</v>
      </c>
      <c r="D213" s="220">
        <v>-182643.76000000001</v>
      </c>
      <c r="E213" s="220">
        <v>-165774.48999999999</v>
      </c>
      <c r="F213" s="220">
        <v>-84308.100000000006</v>
      </c>
      <c r="G213" s="220">
        <v>-128107.24000000001</v>
      </c>
      <c r="H213" s="220">
        <v>-124230.7</v>
      </c>
      <c r="I213" s="220"/>
      <c r="J213" s="220"/>
      <c r="K213" s="220"/>
      <c r="L213" s="220"/>
      <c r="M213" s="220"/>
      <c r="N213" s="220"/>
      <c r="O213" s="220"/>
    </row>
  </sheetData>
  <mergeCells count="2">
    <mergeCell ref="A1:A2"/>
    <mergeCell ref="B1:B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zoomScale="55" workbookViewId="0">
      <selection activeCell="E19" activeCellId="0" sqref="E19"/>
    </sheetView>
  </sheetViews>
  <sheetFormatPr defaultColWidth="9.1796875" defaultRowHeight="14.5"/>
  <cols>
    <col customWidth="1" min="1" max="1" style="213" width="42.81640625"/>
    <col customWidth="1" min="2" max="2" style="214" width="15"/>
    <col customWidth="1" min="3" max="3" style="214" width="11.7265625"/>
    <col customWidth="1" min="4" max="13" style="213" width="11.7265625"/>
    <col customWidth="1" min="14" max="14" style="213" width="13.36328125"/>
    <col customWidth="1" min="15" max="15" style="213" width="14"/>
    <col customWidth="1" min="16" max="16" style="213" width="13.26953125"/>
    <col customWidth="1" min="17" max="25" style="213" width="9.81640625"/>
    <col min="26" max="16384" style="213" width="9.1796875"/>
  </cols>
  <sheetData>
    <row r="1" s="215" customFormat="1">
      <c r="A1" s="216" t="s">
        <v>553</v>
      </c>
      <c r="B1" s="216" t="s">
        <v>554</v>
      </c>
      <c r="C1" s="217">
        <v>45658</v>
      </c>
      <c r="D1" s="217">
        <v>45689</v>
      </c>
      <c r="E1" s="217">
        <v>45717</v>
      </c>
      <c r="F1" s="217">
        <v>45748</v>
      </c>
      <c r="G1" s="217">
        <v>45778</v>
      </c>
      <c r="H1" s="217">
        <v>45809</v>
      </c>
      <c r="I1" s="217">
        <v>45839</v>
      </c>
      <c r="J1" s="217">
        <v>45870</v>
      </c>
      <c r="K1" s="217">
        <v>45901</v>
      </c>
      <c r="L1" s="217">
        <v>45931</v>
      </c>
      <c r="M1" s="217">
        <v>45962</v>
      </c>
      <c r="N1" s="217">
        <v>45992</v>
      </c>
    </row>
    <row r="2" s="215" customFormat="1">
      <c r="A2" s="216"/>
      <c r="B2" s="216"/>
      <c r="C2" s="218" t="s">
        <v>555</v>
      </c>
      <c r="D2" s="218" t="s">
        <v>555</v>
      </c>
      <c r="E2" s="218" t="s">
        <v>555</v>
      </c>
      <c r="F2" s="218" t="s">
        <v>555</v>
      </c>
      <c r="G2" s="218" t="s">
        <v>555</v>
      </c>
      <c r="H2" s="218" t="s">
        <v>555</v>
      </c>
      <c r="I2" s="218" t="s">
        <v>555</v>
      </c>
      <c r="J2" s="218" t="s">
        <v>555</v>
      </c>
      <c r="K2" s="218" t="s">
        <v>555</v>
      </c>
      <c r="L2" s="218" t="s">
        <v>555</v>
      </c>
      <c r="M2" s="218" t="s">
        <v>555</v>
      </c>
      <c r="N2" s="218" t="s">
        <v>555</v>
      </c>
    </row>
    <row r="3">
      <c r="A3" s="185" t="s">
        <v>556</v>
      </c>
      <c r="B3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</row>
    <row r="4">
      <c r="A4" t="s">
        <v>557</v>
      </c>
      <c r="B4" t="s">
        <v>558</v>
      </c>
      <c r="C4" s="220">
        <v>0</v>
      </c>
      <c r="D4" s="220">
        <v>0</v>
      </c>
      <c r="E4" s="220">
        <v>0</v>
      </c>
      <c r="F4" s="220">
        <v>0</v>
      </c>
      <c r="G4" s="220">
        <v>0</v>
      </c>
      <c r="H4" s="220">
        <v>0</v>
      </c>
      <c r="I4" s="220">
        <v>0</v>
      </c>
      <c r="J4" s="220">
        <v>0</v>
      </c>
      <c r="K4" s="220">
        <v>0</v>
      </c>
      <c r="L4" s="220">
        <v>0</v>
      </c>
      <c r="M4" s="220">
        <v>0</v>
      </c>
      <c r="N4" s="220">
        <v>0</v>
      </c>
      <c r="O4" s="225">
        <f t="shared" ref="O4:O67" si="383">SUM(C4:N4)</f>
        <v>0</v>
      </c>
    </row>
    <row r="5">
      <c r="A5" t="s">
        <v>36</v>
      </c>
      <c r="B5" t="s">
        <v>37</v>
      </c>
      <c r="C5" s="220">
        <v>387262.16999999998</v>
      </c>
      <c r="D5" s="220">
        <v>370307.95000000001</v>
      </c>
      <c r="E5" s="220">
        <v>257215.41</v>
      </c>
      <c r="F5" s="220">
        <v>325707.83000000002</v>
      </c>
      <c r="G5" s="220">
        <v>352409.25</v>
      </c>
      <c r="H5" s="220">
        <v>336619.46000000002</v>
      </c>
      <c r="I5" s="220">
        <v>329009.53999999998</v>
      </c>
      <c r="J5" s="220">
        <v>369440.70000000001</v>
      </c>
      <c r="K5" s="220">
        <v>352696.31</v>
      </c>
      <c r="L5" s="220">
        <v>249048.85999999999</v>
      </c>
      <c r="M5" s="220">
        <v>279273.64000000001</v>
      </c>
      <c r="N5" s="220">
        <v>474032.84000000003</v>
      </c>
      <c r="O5" s="225">
        <f t="shared" si="383"/>
        <v>4083023.96</v>
      </c>
    </row>
    <row r="6">
      <c r="A6" t="s">
        <v>39</v>
      </c>
      <c r="B6" t="s">
        <v>40</v>
      </c>
      <c r="C6" s="220">
        <v>36556.07</v>
      </c>
      <c r="D6" s="220">
        <v>37009.269999999997</v>
      </c>
      <c r="E6" s="220">
        <v>48692.769999999997</v>
      </c>
      <c r="F6" s="220">
        <v>52694.699999999997</v>
      </c>
      <c r="G6" s="220">
        <v>43708.690000000002</v>
      </c>
      <c r="H6" s="220">
        <v>56019.32</v>
      </c>
      <c r="I6" s="220">
        <v>55221.529999999999</v>
      </c>
      <c r="J6" s="220">
        <v>42610.839999999997</v>
      </c>
      <c r="K6" s="220">
        <v>43375.410000000003</v>
      </c>
      <c r="L6" s="220">
        <v>36229.529999999999</v>
      </c>
      <c r="M6" s="220">
        <v>33449.879999999997</v>
      </c>
      <c r="N6" s="220">
        <v>48222.760000000002</v>
      </c>
      <c r="O6" s="225">
        <f t="shared" si="383"/>
        <v>533790.77000000002</v>
      </c>
    </row>
    <row r="7">
      <c r="A7" t="s">
        <v>42</v>
      </c>
      <c r="B7" t="s">
        <v>43</v>
      </c>
      <c r="C7" s="220">
        <v>339450.79999999999</v>
      </c>
      <c r="D7" s="220">
        <v>324160.5</v>
      </c>
      <c r="E7" s="220">
        <v>201673.37</v>
      </c>
      <c r="F7" s="220">
        <v>260267.53</v>
      </c>
      <c r="G7" s="220">
        <v>290889.39000000001</v>
      </c>
      <c r="H7" s="220">
        <v>266352.17999999999</v>
      </c>
      <c r="I7" s="220">
        <v>257531.70000000001</v>
      </c>
      <c r="J7" s="220">
        <v>310536.85999999999</v>
      </c>
      <c r="K7" s="220">
        <v>290099.95000000001</v>
      </c>
      <c r="L7" s="220">
        <v>202756.70999999999</v>
      </c>
      <c r="M7" s="220">
        <v>228517.85999999999</v>
      </c>
      <c r="N7" s="220">
        <v>412604.83000000002</v>
      </c>
      <c r="O7" s="225">
        <f t="shared" si="383"/>
        <v>3384841.6799999997</v>
      </c>
    </row>
    <row r="8">
      <c r="A8" t="s">
        <v>559</v>
      </c>
      <c r="B8" t="s">
        <v>46</v>
      </c>
      <c r="C8" s="220">
        <v>0</v>
      </c>
      <c r="D8" s="220">
        <v>0</v>
      </c>
      <c r="E8" s="220">
        <v>0</v>
      </c>
      <c r="F8" s="220">
        <v>0</v>
      </c>
      <c r="G8" s="220">
        <v>0</v>
      </c>
      <c r="H8" s="220">
        <v>0</v>
      </c>
      <c r="I8" s="220">
        <v>779.66999999999996</v>
      </c>
      <c r="J8" s="220">
        <v>1432.22</v>
      </c>
      <c r="K8" s="220">
        <v>1000.03</v>
      </c>
      <c r="L8" s="220">
        <v>453.41000000000003</v>
      </c>
      <c r="M8" s="220">
        <v>995.76999999999998</v>
      </c>
      <c r="N8" s="220">
        <v>1258.54</v>
      </c>
      <c r="O8" s="225">
        <f t="shared" si="383"/>
        <v>5919.6400000000003</v>
      </c>
    </row>
    <row r="9">
      <c r="A9" t="s">
        <v>560</v>
      </c>
      <c r="B9" t="s">
        <v>561</v>
      </c>
      <c r="C9" s="220">
        <v>8.6500000000000004</v>
      </c>
      <c r="D9" s="220">
        <v>50.840000000000003</v>
      </c>
      <c r="E9" s="220">
        <v>0</v>
      </c>
      <c r="F9" s="220">
        <v>72.040000000000006</v>
      </c>
      <c r="G9" s="220">
        <v>378.22000000000003</v>
      </c>
      <c r="H9" s="220">
        <v>275.07999999999998</v>
      </c>
      <c r="I9" s="220">
        <v>163.90000000000001</v>
      </c>
      <c r="J9" s="220">
        <v>353.94999999999999</v>
      </c>
      <c r="K9" s="220">
        <v>302.45999999999998</v>
      </c>
      <c r="L9" s="220">
        <v>16.949999999999999</v>
      </c>
      <c r="M9" s="220">
        <v>46.530000000000001</v>
      </c>
      <c r="N9" s="220">
        <v>9.1799999999999997</v>
      </c>
      <c r="O9" s="225">
        <f t="shared" si="383"/>
        <v>1677.8</v>
      </c>
    </row>
    <row r="10">
      <c r="A10" t="s">
        <v>48</v>
      </c>
      <c r="B10" t="s">
        <v>49</v>
      </c>
      <c r="C10" s="220">
        <v>0</v>
      </c>
      <c r="D10" s="220">
        <v>0</v>
      </c>
      <c r="E10" s="220">
        <v>0</v>
      </c>
      <c r="F10" s="220">
        <v>72.040000000000006</v>
      </c>
      <c r="G10" s="220">
        <v>36.530000000000001</v>
      </c>
      <c r="H10" s="220">
        <v>0</v>
      </c>
      <c r="I10" s="220">
        <v>0</v>
      </c>
      <c r="J10" s="220">
        <v>142.08000000000001</v>
      </c>
      <c r="K10" s="220">
        <v>124.48999999999999</v>
      </c>
      <c r="L10" s="220">
        <v>0</v>
      </c>
      <c r="M10" s="220">
        <v>46.530000000000001</v>
      </c>
      <c r="N10" s="220">
        <v>0</v>
      </c>
      <c r="O10" s="225">
        <f t="shared" si="383"/>
        <v>421.67000000000007</v>
      </c>
    </row>
    <row r="11">
      <c r="A11" t="s">
        <v>51</v>
      </c>
      <c r="B11" t="s">
        <v>52</v>
      </c>
      <c r="C11" s="220">
        <v>0</v>
      </c>
      <c r="D11" s="220">
        <v>0</v>
      </c>
      <c r="E11" s="220">
        <v>0</v>
      </c>
      <c r="F11" s="220">
        <v>0</v>
      </c>
      <c r="G11" s="220">
        <v>0</v>
      </c>
      <c r="H11" s="220">
        <v>0</v>
      </c>
      <c r="I11" s="220">
        <v>0</v>
      </c>
      <c r="J11" s="220">
        <v>0</v>
      </c>
      <c r="K11" s="220">
        <v>0</v>
      </c>
      <c r="L11" s="220">
        <v>0</v>
      </c>
      <c r="M11" s="220">
        <v>0</v>
      </c>
      <c r="N11" s="220">
        <v>0</v>
      </c>
      <c r="O11" s="225">
        <f t="shared" si="383"/>
        <v>0</v>
      </c>
    </row>
    <row r="12">
      <c r="A12" t="s">
        <v>54</v>
      </c>
      <c r="B12" t="s">
        <v>55</v>
      </c>
      <c r="C12" s="220">
        <v>0</v>
      </c>
      <c r="D12" s="220">
        <v>0</v>
      </c>
      <c r="E12" s="220">
        <v>0</v>
      </c>
      <c r="F12" s="220">
        <v>0</v>
      </c>
      <c r="G12" s="220">
        <v>0</v>
      </c>
      <c r="H12" s="220">
        <v>0</v>
      </c>
      <c r="I12" s="220">
        <v>42.369999999999997</v>
      </c>
      <c r="J12" s="220">
        <v>42.369999999999997</v>
      </c>
      <c r="K12" s="220">
        <v>177.97</v>
      </c>
      <c r="L12" s="220">
        <v>16.949999999999999</v>
      </c>
      <c r="M12" s="220">
        <v>0</v>
      </c>
      <c r="N12" s="220">
        <v>0</v>
      </c>
      <c r="O12" s="225">
        <f t="shared" si="383"/>
        <v>279.65999999999997</v>
      </c>
    </row>
    <row r="13">
      <c r="A13" t="s">
        <v>57</v>
      </c>
      <c r="B13" t="s">
        <v>58</v>
      </c>
      <c r="C13" s="220">
        <v>0</v>
      </c>
      <c r="D13" s="220">
        <v>0</v>
      </c>
      <c r="E13" s="220">
        <v>0</v>
      </c>
      <c r="F13" s="220">
        <v>0</v>
      </c>
      <c r="G13" s="220">
        <v>0</v>
      </c>
      <c r="H13" s="220">
        <v>0</v>
      </c>
      <c r="I13" s="220">
        <v>0</v>
      </c>
      <c r="J13" s="220">
        <v>0</v>
      </c>
      <c r="K13" s="220">
        <v>0</v>
      </c>
      <c r="L13" s="220">
        <v>0</v>
      </c>
      <c r="M13" s="220">
        <v>0</v>
      </c>
      <c r="N13" s="220">
        <v>0</v>
      </c>
      <c r="O13" s="225">
        <f t="shared" si="383"/>
        <v>0</v>
      </c>
    </row>
    <row r="14">
      <c r="A14" t="s">
        <v>60</v>
      </c>
      <c r="B14" t="s">
        <v>61</v>
      </c>
      <c r="C14" s="220">
        <v>8.6500000000000004</v>
      </c>
      <c r="D14" s="220">
        <v>50.840000000000003</v>
      </c>
      <c r="E14" s="220">
        <v>0</v>
      </c>
      <c r="F14" s="220">
        <v>0</v>
      </c>
      <c r="G14" s="220">
        <v>341.69</v>
      </c>
      <c r="H14" s="220">
        <v>275.07999999999998</v>
      </c>
      <c r="I14" s="220">
        <v>121.53</v>
      </c>
      <c r="J14" s="220">
        <v>169.5</v>
      </c>
      <c r="K14" s="220">
        <v>0</v>
      </c>
      <c r="L14" s="220">
        <v>0</v>
      </c>
      <c r="M14" s="220">
        <v>0</v>
      </c>
      <c r="N14" s="220">
        <v>0</v>
      </c>
      <c r="O14" s="225">
        <f t="shared" si="383"/>
        <v>967.28999999999996</v>
      </c>
    </row>
    <row r="15">
      <c r="A15" t="s">
        <v>63</v>
      </c>
      <c r="B15" t="s">
        <v>64</v>
      </c>
      <c r="C15" s="220">
        <v>0</v>
      </c>
      <c r="D15" s="220">
        <v>0</v>
      </c>
      <c r="E15" s="220">
        <v>0</v>
      </c>
      <c r="F15" s="220">
        <v>0</v>
      </c>
      <c r="G15" s="220">
        <v>0</v>
      </c>
      <c r="H15" s="220">
        <v>0</v>
      </c>
      <c r="I15" s="220">
        <v>0</v>
      </c>
      <c r="J15" s="220">
        <v>0</v>
      </c>
      <c r="K15" s="220">
        <v>0</v>
      </c>
      <c r="L15" s="220">
        <v>0</v>
      </c>
      <c r="M15" s="220">
        <v>0</v>
      </c>
      <c r="N15" s="220">
        <v>9.1799999999999997</v>
      </c>
      <c r="O15" s="225">
        <f t="shared" si="383"/>
        <v>9.1799999999999997</v>
      </c>
    </row>
    <row r="16">
      <c r="A16" t="s">
        <v>66</v>
      </c>
      <c r="B16" t="s">
        <v>67</v>
      </c>
      <c r="C16" s="220">
        <v>11246.65</v>
      </c>
      <c r="D16" s="220">
        <v>9087.3400000000001</v>
      </c>
      <c r="E16" s="220">
        <v>6849.2700000000004</v>
      </c>
      <c r="F16" s="220">
        <v>12673.559999999999</v>
      </c>
      <c r="G16" s="220">
        <v>17432.950000000001</v>
      </c>
      <c r="H16" s="220">
        <v>13972.879999999999</v>
      </c>
      <c r="I16" s="220">
        <v>15312.74</v>
      </c>
      <c r="J16" s="220">
        <v>14506.83</v>
      </c>
      <c r="K16" s="220">
        <v>17918.459999999999</v>
      </c>
      <c r="L16" s="220">
        <v>9592.2600000000002</v>
      </c>
      <c r="M16" s="220">
        <v>16263.6</v>
      </c>
      <c r="N16" s="220">
        <v>11937.530000000001</v>
      </c>
      <c r="O16" s="225">
        <f t="shared" si="383"/>
        <v>156794.07000000001</v>
      </c>
    </row>
    <row r="17">
      <c r="A17" t="s">
        <v>69</v>
      </c>
      <c r="B17" t="s">
        <v>70</v>
      </c>
      <c r="C17" s="220">
        <v>11237.620000000001</v>
      </c>
      <c r="D17" s="220">
        <v>11051.17</v>
      </c>
      <c r="E17" s="220">
        <v>173283.01999999999</v>
      </c>
      <c r="F17" s="220">
        <v>22433.860000000001</v>
      </c>
      <c r="G17" s="220">
        <v>15215.129999999999</v>
      </c>
      <c r="H17" s="220">
        <v>12236.469999999999</v>
      </c>
      <c r="I17" s="220">
        <v>13176.76</v>
      </c>
      <c r="J17" s="220">
        <v>12812.24</v>
      </c>
      <c r="K17" s="220">
        <v>13000.860000000001</v>
      </c>
      <c r="L17" s="220">
        <v>10737.98</v>
      </c>
      <c r="M17" s="220">
        <v>11562.110000000001</v>
      </c>
      <c r="N17" s="220">
        <v>15761.74</v>
      </c>
      <c r="O17" s="225">
        <f t="shared" si="383"/>
        <v>322508.95999999996</v>
      </c>
    </row>
    <row r="18">
      <c r="A18" t="s">
        <v>562</v>
      </c>
      <c r="B18" t="s">
        <v>563</v>
      </c>
      <c r="C18" s="220">
        <v>11237.620000000001</v>
      </c>
      <c r="D18" s="220">
        <v>9051.1700000000001</v>
      </c>
      <c r="E18" s="220">
        <v>12983.639999999999</v>
      </c>
      <c r="F18" s="220">
        <v>14924.200000000001</v>
      </c>
      <c r="G18" s="220">
        <v>12208.059999999999</v>
      </c>
      <c r="H18" s="220">
        <v>10241.5</v>
      </c>
      <c r="I18" s="220">
        <v>10898.860000000001</v>
      </c>
      <c r="J18" s="220">
        <v>8072.3900000000003</v>
      </c>
      <c r="K18" s="220">
        <v>4767.1400000000003</v>
      </c>
      <c r="L18" s="220">
        <v>7229.1800000000003</v>
      </c>
      <c r="M18" s="220">
        <v>7657.1599999999999</v>
      </c>
      <c r="N18" s="220">
        <v>7502.8400000000001</v>
      </c>
      <c r="O18" s="225">
        <f t="shared" si="383"/>
        <v>116773.76000000001</v>
      </c>
    </row>
    <row r="19">
      <c r="A19" t="s">
        <v>72</v>
      </c>
      <c r="B19" t="s">
        <v>73</v>
      </c>
      <c r="C19" s="220">
        <v>11237.620000000001</v>
      </c>
      <c r="D19" s="220">
        <v>9051.1700000000001</v>
      </c>
      <c r="E19" s="220">
        <v>12983.639999999999</v>
      </c>
      <c r="F19" s="220">
        <v>14924.200000000001</v>
      </c>
      <c r="G19" s="220">
        <v>12208.059999999999</v>
      </c>
      <c r="H19" s="220">
        <v>10241.5</v>
      </c>
      <c r="I19" s="220">
        <v>10898.860000000001</v>
      </c>
      <c r="J19" s="220">
        <v>8072.3900000000003</v>
      </c>
      <c r="K19" s="220">
        <v>4767.1400000000003</v>
      </c>
      <c r="L19" s="220">
        <v>7229.1800000000003</v>
      </c>
      <c r="M19" s="220">
        <v>7657.1599999999999</v>
      </c>
      <c r="N19" s="220">
        <v>7502.8400000000001</v>
      </c>
      <c r="O19" s="225">
        <f t="shared" si="383"/>
        <v>116773.76000000001</v>
      </c>
    </row>
    <row r="20">
      <c r="A20" t="s">
        <v>75</v>
      </c>
      <c r="B20" t="s">
        <v>76</v>
      </c>
      <c r="C20" s="220">
        <v>0</v>
      </c>
      <c r="D20" s="220">
        <v>0</v>
      </c>
      <c r="E20" s="220">
        <v>0</v>
      </c>
      <c r="F20" s="220">
        <v>0</v>
      </c>
      <c r="G20" s="220">
        <v>0</v>
      </c>
      <c r="H20" s="220">
        <v>0</v>
      </c>
      <c r="I20" s="220">
        <v>0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5">
        <f t="shared" si="383"/>
        <v>0</v>
      </c>
    </row>
    <row r="21">
      <c r="A21" t="s">
        <v>564</v>
      </c>
      <c r="B21" t="s">
        <v>565</v>
      </c>
      <c r="C21" s="220">
        <v>0</v>
      </c>
      <c r="D21" s="220">
        <v>0</v>
      </c>
      <c r="E21" s="220">
        <v>0</v>
      </c>
      <c r="F21" s="220">
        <v>0</v>
      </c>
      <c r="G21" s="220">
        <v>0</v>
      </c>
      <c r="H21" s="220">
        <v>0</v>
      </c>
      <c r="I21" s="220">
        <v>0</v>
      </c>
      <c r="J21" s="220">
        <v>0</v>
      </c>
      <c r="K21" s="220">
        <v>0</v>
      </c>
      <c r="L21" s="220">
        <v>0</v>
      </c>
      <c r="M21" s="220">
        <v>0</v>
      </c>
      <c r="N21" s="220">
        <v>0</v>
      </c>
      <c r="O21" s="225">
        <f t="shared" si="383"/>
        <v>0</v>
      </c>
    </row>
    <row r="22">
      <c r="A22" t="s">
        <v>78</v>
      </c>
      <c r="B22" t="s">
        <v>79</v>
      </c>
      <c r="C22" s="220">
        <v>0</v>
      </c>
      <c r="D22" s="220">
        <v>0</v>
      </c>
      <c r="E22" s="220">
        <v>0</v>
      </c>
      <c r="F22" s="220">
        <v>0</v>
      </c>
      <c r="G22" s="220">
        <v>0</v>
      </c>
      <c r="H22" s="220">
        <v>0</v>
      </c>
      <c r="I22" s="220">
        <v>0</v>
      </c>
      <c r="J22" s="220">
        <v>0</v>
      </c>
      <c r="K22" s="220">
        <v>0</v>
      </c>
      <c r="L22" s="220">
        <v>0</v>
      </c>
      <c r="M22" s="220">
        <v>0</v>
      </c>
      <c r="N22" s="220">
        <v>0</v>
      </c>
      <c r="O22" s="225">
        <f t="shared" si="383"/>
        <v>0</v>
      </c>
    </row>
    <row r="23">
      <c r="A23" t="s">
        <v>81</v>
      </c>
      <c r="B23" t="s">
        <v>82</v>
      </c>
      <c r="C23" s="220">
        <v>0</v>
      </c>
      <c r="D23" s="220">
        <v>0</v>
      </c>
      <c r="E23" s="220">
        <v>0</v>
      </c>
      <c r="F23" s="220">
        <v>0</v>
      </c>
      <c r="G23" s="220">
        <v>0</v>
      </c>
      <c r="H23" s="220">
        <v>0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5">
        <f t="shared" si="383"/>
        <v>0</v>
      </c>
    </row>
    <row r="24">
      <c r="A24" t="s">
        <v>566</v>
      </c>
      <c r="B24" t="s">
        <v>567</v>
      </c>
      <c r="C24" s="220">
        <v>0</v>
      </c>
      <c r="D24" s="220">
        <v>2000</v>
      </c>
      <c r="E24" s="220">
        <v>160299.38</v>
      </c>
      <c r="F24" s="220">
        <v>7509.6599999999999</v>
      </c>
      <c r="G24" s="220">
        <v>3007.0700000000002</v>
      </c>
      <c r="H24" s="220">
        <v>1994.97</v>
      </c>
      <c r="I24" s="220">
        <v>2277.9000000000001</v>
      </c>
      <c r="J24" s="220">
        <v>4739.8500000000004</v>
      </c>
      <c r="K24" s="220">
        <v>8233.7199999999993</v>
      </c>
      <c r="L24" s="220">
        <v>3508.8000000000002</v>
      </c>
      <c r="M24" s="220">
        <v>3904.9499999999998</v>
      </c>
      <c r="N24" s="220">
        <v>8258.8999999999996</v>
      </c>
      <c r="O24" s="225">
        <f t="shared" si="383"/>
        <v>205735.20000000001</v>
      </c>
    </row>
    <row r="25">
      <c r="A25" t="s">
        <v>84</v>
      </c>
      <c r="B25" t="s">
        <v>85</v>
      </c>
      <c r="C25" s="220">
        <v>0</v>
      </c>
      <c r="D25" s="220">
        <v>2000</v>
      </c>
      <c r="E25" s="220">
        <v>160299.38</v>
      </c>
      <c r="F25" s="220">
        <v>7509.6599999999999</v>
      </c>
      <c r="G25" s="220">
        <v>3007.0700000000002</v>
      </c>
      <c r="H25" s="220">
        <v>1994.97</v>
      </c>
      <c r="I25" s="220">
        <v>2277.9000000000001</v>
      </c>
      <c r="J25" s="220">
        <v>4739.8500000000004</v>
      </c>
      <c r="K25" s="220">
        <v>8233.7199999999993</v>
      </c>
      <c r="L25" s="220">
        <v>3508.8000000000002</v>
      </c>
      <c r="M25" s="220">
        <v>3904.9499999999998</v>
      </c>
      <c r="N25" s="220">
        <v>8258.8999999999996</v>
      </c>
      <c r="O25" s="225">
        <f t="shared" si="383"/>
        <v>205735.20000000001</v>
      </c>
    </row>
    <row r="26">
      <c r="A26" t="s">
        <v>87</v>
      </c>
      <c r="B26" t="s">
        <v>88</v>
      </c>
      <c r="C26" s="220">
        <v>0</v>
      </c>
      <c r="D26" s="221">
        <v>0</v>
      </c>
      <c r="E26" s="221">
        <v>0</v>
      </c>
      <c r="F26" s="221">
        <v>0</v>
      </c>
      <c r="G26" s="221">
        <v>0</v>
      </c>
      <c r="H26" s="221">
        <v>0</v>
      </c>
      <c r="I26" s="221">
        <v>0</v>
      </c>
      <c r="J26" s="221">
        <v>0</v>
      </c>
      <c r="K26" s="221">
        <v>0</v>
      </c>
      <c r="L26" s="221">
        <v>0</v>
      </c>
      <c r="M26" s="221">
        <v>0</v>
      </c>
      <c r="N26" s="220">
        <v>0</v>
      </c>
      <c r="O26" s="225">
        <f t="shared" si="383"/>
        <v>0</v>
      </c>
    </row>
    <row r="27">
      <c r="A27" t="s">
        <v>90</v>
      </c>
      <c r="B27" t="s">
        <v>91</v>
      </c>
      <c r="C27" s="220">
        <v>64669.559999999998</v>
      </c>
      <c r="D27" s="221">
        <v>44771.239999999998</v>
      </c>
      <c r="E27" s="221">
        <v>6822.04</v>
      </c>
      <c r="F27" s="221">
        <v>51250.080000000002</v>
      </c>
      <c r="G27" s="221">
        <v>118050.13</v>
      </c>
      <c r="H27" s="221">
        <v>73202.380000000005</v>
      </c>
      <c r="I27" s="221">
        <v>86079.940000000002</v>
      </c>
      <c r="J27" s="221">
        <v>92604.25</v>
      </c>
      <c r="K27" s="221">
        <v>126330.64999999999</v>
      </c>
      <c r="L27" s="221">
        <v>52014.419999999998</v>
      </c>
      <c r="M27" s="221">
        <v>120492.47</v>
      </c>
      <c r="N27" s="220">
        <v>67672.139999999999</v>
      </c>
      <c r="O27" s="225">
        <f t="shared" si="383"/>
        <v>903959.30000000005</v>
      </c>
    </row>
    <row r="28">
      <c r="A28" t="s">
        <v>93</v>
      </c>
      <c r="B28" t="s">
        <v>94</v>
      </c>
      <c r="C28" s="220">
        <v>64669.559999999998</v>
      </c>
      <c r="D28" s="220">
        <v>44771.239999999998</v>
      </c>
      <c r="E28" s="220">
        <v>6822.04</v>
      </c>
      <c r="F28" s="220">
        <v>51250.080000000002</v>
      </c>
      <c r="G28" s="220">
        <v>118050.13</v>
      </c>
      <c r="H28" s="220">
        <v>73202.380000000005</v>
      </c>
      <c r="I28" s="220">
        <v>86079.940000000002</v>
      </c>
      <c r="J28" s="220">
        <v>92604.25</v>
      </c>
      <c r="K28" s="220">
        <v>126330.64999999999</v>
      </c>
      <c r="L28" s="220">
        <v>52014.419999999998</v>
      </c>
      <c r="M28" s="220">
        <v>120492.47</v>
      </c>
      <c r="N28" s="220">
        <v>67672.139999999999</v>
      </c>
      <c r="O28" s="225">
        <f t="shared" si="383"/>
        <v>903959.30000000005</v>
      </c>
    </row>
    <row r="29">
      <c r="A29" t="s">
        <v>568</v>
      </c>
      <c r="B29" t="s">
        <v>98</v>
      </c>
      <c r="C29" s="220">
        <v>0</v>
      </c>
      <c r="D29" s="220">
        <v>0</v>
      </c>
      <c r="E29" s="220">
        <v>0</v>
      </c>
      <c r="F29" s="220">
        <v>0</v>
      </c>
      <c r="G29" s="220">
        <v>0</v>
      </c>
      <c r="H29" s="220">
        <v>0</v>
      </c>
      <c r="I29" s="220">
        <v>0</v>
      </c>
      <c r="J29" s="220">
        <v>0</v>
      </c>
      <c r="K29" s="220">
        <v>0</v>
      </c>
      <c r="L29" s="220">
        <v>0</v>
      </c>
      <c r="M29" s="220">
        <v>0</v>
      </c>
      <c r="N29" s="220">
        <v>0</v>
      </c>
      <c r="O29" s="225">
        <f t="shared" si="383"/>
        <v>0</v>
      </c>
    </row>
    <row r="30">
      <c r="A30" t="s">
        <v>569</v>
      </c>
      <c r="B30" t="s">
        <v>100</v>
      </c>
      <c r="C30" s="220">
        <v>0</v>
      </c>
      <c r="D30" s="220">
        <v>0</v>
      </c>
      <c r="E30" s="220">
        <v>0</v>
      </c>
      <c r="F30" s="220">
        <v>0</v>
      </c>
      <c r="G30" s="220">
        <v>0</v>
      </c>
      <c r="H30" s="220">
        <v>0</v>
      </c>
      <c r="I30" s="220">
        <v>0</v>
      </c>
      <c r="J30" s="220">
        <v>0</v>
      </c>
      <c r="K30" s="220">
        <v>0</v>
      </c>
      <c r="L30" s="220">
        <v>0</v>
      </c>
      <c r="M30" s="220">
        <v>0</v>
      </c>
      <c r="N30" s="220">
        <v>0</v>
      </c>
      <c r="O30" s="225">
        <f t="shared" si="383"/>
        <v>0</v>
      </c>
    </row>
    <row r="31">
      <c r="A31" t="s">
        <v>570</v>
      </c>
      <c r="B31" t="s">
        <v>102</v>
      </c>
      <c r="C31" s="220">
        <v>0</v>
      </c>
      <c r="D31" s="220">
        <v>0</v>
      </c>
      <c r="E31" s="220">
        <v>0</v>
      </c>
      <c r="F31" s="220">
        <v>0</v>
      </c>
      <c r="G31" s="220">
        <v>0</v>
      </c>
      <c r="H31" s="220">
        <v>0</v>
      </c>
      <c r="I31" s="220">
        <v>0</v>
      </c>
      <c r="J31" s="220">
        <v>0</v>
      </c>
      <c r="K31" s="220">
        <v>0</v>
      </c>
      <c r="L31" s="220">
        <v>0</v>
      </c>
      <c r="M31" s="220">
        <v>0</v>
      </c>
      <c r="N31" s="220">
        <v>0</v>
      </c>
      <c r="O31" s="225">
        <f t="shared" si="383"/>
        <v>0</v>
      </c>
    </row>
    <row r="32">
      <c r="A32" t="s">
        <v>571</v>
      </c>
      <c r="B32" t="s">
        <v>104</v>
      </c>
      <c r="C32" s="220">
        <v>0</v>
      </c>
      <c r="D32" s="220">
        <v>0</v>
      </c>
      <c r="E32" s="220">
        <v>0</v>
      </c>
      <c r="F32" s="220">
        <v>0</v>
      </c>
      <c r="G32" s="220">
        <v>0</v>
      </c>
      <c r="H32" s="220">
        <v>0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5">
        <f t="shared" si="383"/>
        <v>0</v>
      </c>
    </row>
    <row r="33">
      <c r="A33" t="s">
        <v>95</v>
      </c>
      <c r="B33" t="s">
        <v>96</v>
      </c>
      <c r="C33" s="220">
        <v>0</v>
      </c>
      <c r="D33" s="220">
        <v>0</v>
      </c>
      <c r="E33" s="220">
        <v>0</v>
      </c>
      <c r="F33" s="220">
        <v>0</v>
      </c>
      <c r="G33" s="220">
        <v>0</v>
      </c>
      <c r="H33" s="220">
        <v>0</v>
      </c>
      <c r="I33" s="220">
        <v>0</v>
      </c>
      <c r="J33" s="220">
        <v>0</v>
      </c>
      <c r="K33" s="220">
        <v>0</v>
      </c>
      <c r="L33" s="220">
        <v>0</v>
      </c>
      <c r="M33" s="220">
        <v>0</v>
      </c>
      <c r="N33" s="220">
        <v>0</v>
      </c>
      <c r="O33" s="225">
        <f t="shared" si="383"/>
        <v>0</v>
      </c>
    </row>
    <row r="34">
      <c r="A34" t="s">
        <v>106</v>
      </c>
      <c r="B34" t="s">
        <v>107</v>
      </c>
      <c r="C34" s="220">
        <v>7011.3299999999999</v>
      </c>
      <c r="D34" s="220">
        <v>6865.1000000000004</v>
      </c>
      <c r="E34" s="220">
        <v>4241.5100000000002</v>
      </c>
      <c r="F34" s="220">
        <v>6443</v>
      </c>
      <c r="G34" s="220">
        <v>9686.8099999999995</v>
      </c>
      <c r="H34" s="220">
        <v>5330.1999999999998</v>
      </c>
      <c r="I34" s="220">
        <v>4754.6700000000001</v>
      </c>
      <c r="J34" s="220">
        <v>4735.2299999999996</v>
      </c>
      <c r="K34" s="220">
        <v>4395.4200000000001</v>
      </c>
      <c r="L34" s="220">
        <v>6295.2700000000004</v>
      </c>
      <c r="M34" s="220">
        <v>4213.1999999999998</v>
      </c>
      <c r="N34" s="220">
        <v>4830.1800000000003</v>
      </c>
      <c r="O34" s="225">
        <f t="shared" si="383"/>
        <v>68801.919999999984</v>
      </c>
    </row>
    <row r="35">
      <c r="A35" t="s">
        <v>113</v>
      </c>
      <c r="B35" t="s">
        <v>110</v>
      </c>
      <c r="C35" s="220">
        <v>7011.3299999999999</v>
      </c>
      <c r="D35" s="220">
        <v>6865.1000000000004</v>
      </c>
      <c r="E35" s="220">
        <v>4241.5100000000002</v>
      </c>
      <c r="F35" s="220">
        <v>6443</v>
      </c>
      <c r="G35" s="220">
        <v>9686.8099999999995</v>
      </c>
      <c r="H35" s="220">
        <v>5330.1999999999998</v>
      </c>
      <c r="I35" s="220">
        <v>4754.6700000000001</v>
      </c>
      <c r="J35" s="220">
        <v>4735.2299999999996</v>
      </c>
      <c r="K35" s="220">
        <v>4395.4200000000001</v>
      </c>
      <c r="L35" s="220">
        <v>6295.2700000000004</v>
      </c>
      <c r="M35" s="220">
        <v>4213.1999999999998</v>
      </c>
      <c r="N35" s="220">
        <v>4830.1800000000003</v>
      </c>
      <c r="O35" s="225">
        <f t="shared" si="383"/>
        <v>68801.919999999984</v>
      </c>
    </row>
    <row r="36">
      <c r="A36" t="s">
        <v>572</v>
      </c>
      <c r="B36" t="s">
        <v>112</v>
      </c>
      <c r="C36" s="220">
        <v>0</v>
      </c>
      <c r="D36" s="220">
        <v>0</v>
      </c>
      <c r="E36" s="220">
        <v>0</v>
      </c>
      <c r="F36" s="220">
        <v>0</v>
      </c>
      <c r="G36" s="220">
        <v>0</v>
      </c>
      <c r="H36" s="220">
        <v>0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5">
        <f t="shared" si="383"/>
        <v>0</v>
      </c>
    </row>
    <row r="37">
      <c r="A37" t="s">
        <v>118</v>
      </c>
      <c r="B37" t="s">
        <v>115</v>
      </c>
      <c r="C37" s="220">
        <v>259.25999999999999</v>
      </c>
      <c r="D37" s="220">
        <v>0</v>
      </c>
      <c r="E37" s="220">
        <v>0</v>
      </c>
      <c r="F37" s="220">
        <v>0</v>
      </c>
      <c r="G37" s="220">
        <v>0</v>
      </c>
      <c r="H37" s="220">
        <v>0</v>
      </c>
      <c r="I37" s="220">
        <v>259.25999999999999</v>
      </c>
      <c r="J37" s="220">
        <v>0</v>
      </c>
      <c r="K37" s="220">
        <v>0</v>
      </c>
      <c r="L37" s="220">
        <v>0</v>
      </c>
      <c r="M37" s="220">
        <v>0</v>
      </c>
      <c r="N37" s="220">
        <v>45270</v>
      </c>
      <c r="O37" s="225">
        <f t="shared" si="383"/>
        <v>45788.519999999997</v>
      </c>
    </row>
    <row r="38">
      <c r="A38" t="s">
        <v>116</v>
      </c>
      <c r="B38" t="s">
        <v>117</v>
      </c>
      <c r="C38" s="220">
        <v>259.25999999999999</v>
      </c>
      <c r="D38" s="220">
        <v>0</v>
      </c>
      <c r="E38" s="220">
        <v>0</v>
      </c>
      <c r="F38" s="220">
        <v>0</v>
      </c>
      <c r="G38" s="220">
        <v>0</v>
      </c>
      <c r="H38" s="220">
        <v>0</v>
      </c>
      <c r="I38" s="220">
        <v>259.25999999999999</v>
      </c>
      <c r="J38" s="220">
        <v>0</v>
      </c>
      <c r="K38" s="220">
        <v>0</v>
      </c>
      <c r="L38" s="220">
        <v>0</v>
      </c>
      <c r="M38" s="220">
        <v>0</v>
      </c>
      <c r="N38" s="220">
        <v>45270</v>
      </c>
      <c r="O38" s="225">
        <f t="shared" si="383"/>
        <v>45788.519999999997</v>
      </c>
    </row>
    <row r="39">
      <c r="A39" t="s">
        <v>573</v>
      </c>
      <c r="B39" t="s">
        <v>120</v>
      </c>
      <c r="C39" s="220">
        <v>0</v>
      </c>
      <c r="D39" s="220">
        <v>0</v>
      </c>
      <c r="E39" s="220">
        <v>0</v>
      </c>
      <c r="F39" s="220">
        <v>120</v>
      </c>
      <c r="G39" s="220">
        <v>30</v>
      </c>
      <c r="H39" s="220">
        <v>0</v>
      </c>
      <c r="I39" s="220">
        <v>30</v>
      </c>
      <c r="J39" s="220">
        <v>0</v>
      </c>
      <c r="K39" s="220">
        <v>0</v>
      </c>
      <c r="L39" s="220">
        <v>0</v>
      </c>
      <c r="M39" s="220">
        <v>30</v>
      </c>
      <c r="N39" s="220">
        <v>0</v>
      </c>
      <c r="O39" s="225">
        <f t="shared" si="383"/>
        <v>210</v>
      </c>
    </row>
    <row r="40">
      <c r="A40" s="185" t="s">
        <v>121</v>
      </c>
      <c r="B40" t="s">
        <v>122</v>
      </c>
      <c r="C40" s="221">
        <v>0</v>
      </c>
      <c r="D40" s="220">
        <v>0</v>
      </c>
      <c r="E40" s="220">
        <v>0</v>
      </c>
      <c r="F40" s="220">
        <v>0</v>
      </c>
      <c r="G40" s="220">
        <v>0</v>
      </c>
      <c r="H40" s="220">
        <v>0</v>
      </c>
      <c r="I40" s="220">
        <v>0</v>
      </c>
      <c r="J40" s="220">
        <v>0</v>
      </c>
      <c r="K40" s="220">
        <v>0</v>
      </c>
      <c r="L40" s="220">
        <v>0</v>
      </c>
      <c r="M40" s="220">
        <v>0</v>
      </c>
      <c r="N40" s="220">
        <v>0</v>
      </c>
      <c r="O40" s="225">
        <f t="shared" si="383"/>
        <v>0</v>
      </c>
    </row>
    <row r="41">
      <c r="A41" s="185" t="s">
        <v>124</v>
      </c>
      <c r="B41" t="s">
        <v>125</v>
      </c>
      <c r="C41" s="220">
        <v>0</v>
      </c>
      <c r="D41" s="220">
        <v>0</v>
      </c>
      <c r="E41" s="220">
        <v>0</v>
      </c>
      <c r="F41" s="220">
        <v>120</v>
      </c>
      <c r="G41" s="220">
        <v>30</v>
      </c>
      <c r="H41" s="220">
        <v>0</v>
      </c>
      <c r="I41" s="220">
        <v>30</v>
      </c>
      <c r="J41" s="220">
        <v>0</v>
      </c>
      <c r="K41" s="220">
        <v>0</v>
      </c>
      <c r="L41" s="220">
        <v>0</v>
      </c>
      <c r="M41" s="220">
        <v>30</v>
      </c>
      <c r="N41" s="220">
        <v>0</v>
      </c>
      <c r="O41" s="225">
        <f t="shared" si="383"/>
        <v>210</v>
      </c>
    </row>
    <row r="42">
      <c r="A42" t="s">
        <v>574</v>
      </c>
      <c r="B42" t="s">
        <v>128</v>
      </c>
      <c r="C42" s="220">
        <v>0</v>
      </c>
      <c r="D42" s="220">
        <v>0</v>
      </c>
      <c r="E42" s="220">
        <v>0</v>
      </c>
      <c r="F42" s="220">
        <v>0</v>
      </c>
      <c r="G42" s="220">
        <v>0</v>
      </c>
      <c r="H42" s="220">
        <v>0</v>
      </c>
      <c r="I42" s="220">
        <v>0</v>
      </c>
      <c r="J42" s="220">
        <v>0</v>
      </c>
      <c r="K42" s="220">
        <v>0</v>
      </c>
      <c r="L42" s="220">
        <v>0</v>
      </c>
      <c r="M42" s="220">
        <v>0</v>
      </c>
      <c r="N42" s="220">
        <v>22500</v>
      </c>
      <c r="O42" s="225">
        <f t="shared" si="383"/>
        <v>22500</v>
      </c>
    </row>
    <row r="43">
      <c r="A43" t="s">
        <v>140</v>
      </c>
      <c r="B43" t="s">
        <v>130</v>
      </c>
      <c r="C43" s="220">
        <v>0</v>
      </c>
      <c r="D43" s="220">
        <v>0</v>
      </c>
      <c r="E43" s="220">
        <v>0</v>
      </c>
      <c r="F43" s="220">
        <v>0</v>
      </c>
      <c r="G43" s="220">
        <v>0</v>
      </c>
      <c r="H43" s="220">
        <v>0</v>
      </c>
      <c r="I43" s="220">
        <v>0</v>
      </c>
      <c r="J43" s="220">
        <v>0</v>
      </c>
      <c r="K43" s="220">
        <v>0</v>
      </c>
      <c r="L43" s="220">
        <v>0</v>
      </c>
      <c r="M43" s="220">
        <v>0</v>
      </c>
      <c r="N43" s="220">
        <v>22500</v>
      </c>
      <c r="O43" s="225">
        <f t="shared" si="383"/>
        <v>22500</v>
      </c>
    </row>
    <row r="44">
      <c r="A44"/>
      <c r="B44"/>
      <c r="C44" s="220">
        <v>470439.94</v>
      </c>
      <c r="D44" s="220">
        <v>432995.46000000002</v>
      </c>
      <c r="E44" s="220">
        <v>441561.97999999998</v>
      </c>
      <c r="F44" s="220">
        <v>405954.77000000002</v>
      </c>
      <c r="G44" s="220">
        <v>495391.32000000001</v>
      </c>
      <c r="H44" s="220">
        <v>427388.51000000001</v>
      </c>
      <c r="I44" s="220">
        <v>433310.16999999998</v>
      </c>
      <c r="J44" s="220">
        <v>479592.41999999998</v>
      </c>
      <c r="K44" s="220">
        <v>496423.23999999999</v>
      </c>
      <c r="L44" s="220">
        <v>318096.53000000003</v>
      </c>
      <c r="M44" s="220">
        <v>415571.41999999998</v>
      </c>
      <c r="N44" s="220">
        <v>630066.90000000002</v>
      </c>
      <c r="O44" s="225">
        <f t="shared" si="383"/>
        <v>5446792.6600000001</v>
      </c>
    </row>
    <row r="45">
      <c r="A45" t="s">
        <v>131</v>
      </c>
      <c r="B45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5">
        <f t="shared" si="383"/>
        <v>0</v>
      </c>
    </row>
    <row r="46">
      <c r="A46" s="185" t="s">
        <v>575</v>
      </c>
      <c r="B46" t="s">
        <v>133</v>
      </c>
      <c r="C46" s="221">
        <v>0</v>
      </c>
      <c r="D46" s="220">
        <v>0</v>
      </c>
      <c r="E46" s="220">
        <v>0</v>
      </c>
      <c r="F46" s="220">
        <v>0</v>
      </c>
      <c r="G46" s="220">
        <v>0</v>
      </c>
      <c r="H46" s="220">
        <v>0</v>
      </c>
      <c r="I46" s="220">
        <v>0</v>
      </c>
      <c r="J46" s="220">
        <v>0</v>
      </c>
      <c r="K46" s="220">
        <v>0</v>
      </c>
      <c r="L46" s="220">
        <v>0</v>
      </c>
      <c r="M46" s="220">
        <v>0</v>
      </c>
      <c r="N46" s="220">
        <v>0</v>
      </c>
      <c r="O46" s="225">
        <f t="shared" si="383"/>
        <v>0</v>
      </c>
    </row>
    <row r="47">
      <c r="A47" s="185" t="s">
        <v>576</v>
      </c>
      <c r="B47" t="s">
        <v>135</v>
      </c>
      <c r="C47" s="221">
        <v>0</v>
      </c>
      <c r="D47" s="220">
        <v>0</v>
      </c>
      <c r="E47" s="220">
        <v>0</v>
      </c>
      <c r="F47" s="220">
        <v>0</v>
      </c>
      <c r="G47" s="220">
        <v>0</v>
      </c>
      <c r="H47" s="220">
        <v>0</v>
      </c>
      <c r="I47" s="220">
        <v>0</v>
      </c>
      <c r="J47" s="220">
        <v>0</v>
      </c>
      <c r="K47" s="220">
        <v>0</v>
      </c>
      <c r="L47" s="220">
        <v>0</v>
      </c>
      <c r="M47" s="220">
        <v>0</v>
      </c>
      <c r="N47" s="220">
        <v>0</v>
      </c>
      <c r="O47" s="225">
        <f t="shared" si="383"/>
        <v>0</v>
      </c>
    </row>
    <row r="48">
      <c r="A48" s="185" t="s">
        <v>577</v>
      </c>
      <c r="B48" t="s">
        <v>137</v>
      </c>
      <c r="C48" s="220">
        <v>0</v>
      </c>
      <c r="D48" s="220">
        <v>0</v>
      </c>
      <c r="E48" s="220">
        <v>0</v>
      </c>
      <c r="F48" s="220">
        <v>0</v>
      </c>
      <c r="G48" s="220">
        <v>0</v>
      </c>
      <c r="H48" s="220">
        <v>0</v>
      </c>
      <c r="I48" s="220">
        <v>0</v>
      </c>
      <c r="J48" s="220">
        <v>0</v>
      </c>
      <c r="K48" s="220">
        <v>0</v>
      </c>
      <c r="L48" s="220">
        <v>0</v>
      </c>
      <c r="M48" s="220">
        <v>0</v>
      </c>
      <c r="N48" s="220">
        <v>0</v>
      </c>
      <c r="O48" s="225">
        <f t="shared" si="383"/>
        <v>0</v>
      </c>
    </row>
    <row r="49">
      <c r="A49" t="s">
        <v>578</v>
      </c>
      <c r="B49" t="s">
        <v>139</v>
      </c>
      <c r="C49" s="220">
        <v>0</v>
      </c>
      <c r="D49" s="220">
        <v>0</v>
      </c>
      <c r="E49" s="220">
        <v>0</v>
      </c>
      <c r="F49" s="220">
        <v>0</v>
      </c>
      <c r="G49" s="220">
        <v>0</v>
      </c>
      <c r="H49" s="220">
        <v>0</v>
      </c>
      <c r="I49" s="220">
        <v>0</v>
      </c>
      <c r="J49" s="220">
        <v>0</v>
      </c>
      <c r="K49" s="220">
        <v>0</v>
      </c>
      <c r="L49" s="220">
        <v>0</v>
      </c>
      <c r="M49" s="220">
        <v>0</v>
      </c>
      <c r="N49" s="220">
        <v>0</v>
      </c>
      <c r="O49" s="225">
        <f t="shared" si="383"/>
        <v>0</v>
      </c>
    </row>
    <row r="50">
      <c r="A50"/>
      <c r="B50"/>
      <c r="C50" s="220">
        <v>0</v>
      </c>
      <c r="D50" s="220">
        <v>0</v>
      </c>
      <c r="E50" s="220">
        <v>0</v>
      </c>
      <c r="F50" s="220">
        <v>0</v>
      </c>
      <c r="G50" s="220">
        <v>0</v>
      </c>
      <c r="H50" s="220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0</v>
      </c>
      <c r="N50" s="220">
        <v>0</v>
      </c>
      <c r="O50" s="225">
        <f t="shared" si="383"/>
        <v>0</v>
      </c>
    </row>
    <row r="51">
      <c r="A51" t="s">
        <v>579</v>
      </c>
      <c r="B51"/>
      <c r="C51" s="220">
        <v>470439.94</v>
      </c>
      <c r="D51" s="221">
        <v>432995.46000000002</v>
      </c>
      <c r="E51" s="221">
        <v>441561.97999999998</v>
      </c>
      <c r="F51" s="221">
        <v>405954.77000000002</v>
      </c>
      <c r="G51" s="221">
        <v>495391.32000000001</v>
      </c>
      <c r="H51" s="221">
        <v>427388.51000000001</v>
      </c>
      <c r="I51" s="221">
        <v>433310.16999999998</v>
      </c>
      <c r="J51" s="221">
        <v>479592.41999999998</v>
      </c>
      <c r="K51" s="221">
        <v>496423.23999999999</v>
      </c>
      <c r="L51" s="221">
        <v>318096.53000000003</v>
      </c>
      <c r="M51" s="221">
        <v>415571.41999999998</v>
      </c>
      <c r="N51" s="220">
        <v>630066.90000000002</v>
      </c>
      <c r="O51" s="225">
        <f t="shared" si="383"/>
        <v>5446792.6600000001</v>
      </c>
    </row>
    <row r="52">
      <c r="A52" t="s">
        <v>142</v>
      </c>
      <c r="B52"/>
      <c r="C52" s="220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0"/>
      <c r="O52" s="225">
        <f t="shared" si="383"/>
        <v>0</v>
      </c>
    </row>
    <row r="53">
      <c r="A53" t="s">
        <v>144</v>
      </c>
      <c r="B53" t="s">
        <v>145</v>
      </c>
      <c r="C53" s="220">
        <v>30020.349999999999</v>
      </c>
      <c r="D53" s="220">
        <v>0</v>
      </c>
      <c r="E53" s="220">
        <v>0</v>
      </c>
      <c r="F53" s="220">
        <v>0</v>
      </c>
      <c r="G53" s="220">
        <v>0</v>
      </c>
      <c r="H53" s="220">
        <v>0</v>
      </c>
      <c r="I53" s="220">
        <v>0</v>
      </c>
      <c r="J53" s="220">
        <v>0</v>
      </c>
      <c r="K53" s="220">
        <v>0</v>
      </c>
      <c r="L53" s="220">
        <v>0</v>
      </c>
      <c r="M53" s="220">
        <v>0</v>
      </c>
      <c r="N53" s="220">
        <v>0</v>
      </c>
      <c r="O53" s="225">
        <f t="shared" si="383"/>
        <v>30020.349999999999</v>
      </c>
    </row>
    <row r="54">
      <c r="A54" t="s">
        <v>580</v>
      </c>
      <c r="B54" t="s">
        <v>581</v>
      </c>
      <c r="C54" s="220">
        <v>0</v>
      </c>
      <c r="D54" s="220">
        <v>0</v>
      </c>
      <c r="E54" s="220">
        <v>0</v>
      </c>
      <c r="F54" s="220">
        <v>0</v>
      </c>
      <c r="G54" s="220">
        <v>0</v>
      </c>
      <c r="H54" s="220">
        <v>0</v>
      </c>
      <c r="I54" s="220">
        <v>0</v>
      </c>
      <c r="J54" s="220">
        <v>0</v>
      </c>
      <c r="K54" s="220">
        <v>0</v>
      </c>
      <c r="L54" s="220">
        <v>0</v>
      </c>
      <c r="M54" s="220">
        <v>0</v>
      </c>
      <c r="N54" s="220">
        <v>0</v>
      </c>
      <c r="O54" s="225">
        <f t="shared" si="383"/>
        <v>0</v>
      </c>
    </row>
    <row r="55">
      <c r="A55" t="s">
        <v>147</v>
      </c>
      <c r="B55" t="s">
        <v>148</v>
      </c>
      <c r="C55" s="220">
        <v>46246.849999999999</v>
      </c>
      <c r="D55" s="220">
        <v>45368.599999999999</v>
      </c>
      <c r="E55" s="220">
        <v>21607.91</v>
      </c>
      <c r="F55" s="220">
        <v>33942.410000000003</v>
      </c>
      <c r="G55" s="220">
        <v>37913.169999999998</v>
      </c>
      <c r="H55" s="220">
        <v>35070.410000000003</v>
      </c>
      <c r="I55" s="220">
        <v>9277.6200000000008</v>
      </c>
      <c r="J55" s="220">
        <v>48246.309999999998</v>
      </c>
      <c r="K55" s="220">
        <v>36973.730000000003</v>
      </c>
      <c r="L55" s="220">
        <v>55599.980000000003</v>
      </c>
      <c r="M55" s="220">
        <v>29202.48</v>
      </c>
      <c r="N55" s="220">
        <v>63364.550000000003</v>
      </c>
      <c r="O55" s="225">
        <f t="shared" si="383"/>
        <v>462814.01999999996</v>
      </c>
    </row>
    <row r="56">
      <c r="A56" t="s">
        <v>150</v>
      </c>
      <c r="B56" t="s">
        <v>151</v>
      </c>
      <c r="C56" s="220">
        <v>16906.860000000001</v>
      </c>
      <c r="D56" s="221">
        <v>15678.049999999999</v>
      </c>
      <c r="E56" s="221">
        <v>2620</v>
      </c>
      <c r="F56" s="221">
        <v>9013</v>
      </c>
      <c r="G56" s="221">
        <v>14241</v>
      </c>
      <c r="H56" s="221">
        <v>8080</v>
      </c>
      <c r="I56" s="221">
        <v>9677.6200000000008</v>
      </c>
      <c r="J56" s="221">
        <v>23300.98</v>
      </c>
      <c r="K56" s="221">
        <v>11848</v>
      </c>
      <c r="L56" s="221">
        <v>29928</v>
      </c>
      <c r="M56" s="221">
        <v>6695</v>
      </c>
      <c r="N56" s="220">
        <v>11569</v>
      </c>
      <c r="O56" s="225">
        <f t="shared" si="383"/>
        <v>159557.51000000001</v>
      </c>
    </row>
    <row r="57">
      <c r="A57" t="s">
        <v>582</v>
      </c>
      <c r="B57" t="s">
        <v>583</v>
      </c>
      <c r="C57" s="220">
        <v>9.3000000000000007</v>
      </c>
      <c r="D57" s="220">
        <v>0</v>
      </c>
      <c r="E57" s="220">
        <v>0</v>
      </c>
      <c r="F57" s="220">
        <v>0</v>
      </c>
      <c r="G57" s="220">
        <v>0</v>
      </c>
      <c r="H57" s="220">
        <v>0</v>
      </c>
      <c r="I57" s="220">
        <v>0</v>
      </c>
      <c r="J57" s="220">
        <v>0</v>
      </c>
      <c r="K57" s="220">
        <v>0</v>
      </c>
      <c r="L57" s="220">
        <v>0</v>
      </c>
      <c r="M57" s="220">
        <v>0</v>
      </c>
      <c r="N57" s="220">
        <v>0</v>
      </c>
      <c r="O57" s="225">
        <f t="shared" si="383"/>
        <v>9.3000000000000007</v>
      </c>
    </row>
    <row r="58">
      <c r="A58" t="s">
        <v>153</v>
      </c>
      <c r="B58" t="s">
        <v>154</v>
      </c>
      <c r="C58" s="220">
        <v>0</v>
      </c>
      <c r="D58" s="220">
        <v>0</v>
      </c>
      <c r="E58" s="220">
        <v>0</v>
      </c>
      <c r="F58" s="220">
        <v>0</v>
      </c>
      <c r="G58" s="220">
        <v>0</v>
      </c>
      <c r="H58" s="220">
        <v>0</v>
      </c>
      <c r="I58" s="220">
        <v>0</v>
      </c>
      <c r="J58" s="220">
        <v>0</v>
      </c>
      <c r="K58" s="220">
        <v>0</v>
      </c>
      <c r="L58" s="220">
        <v>0</v>
      </c>
      <c r="M58" s="220">
        <v>0</v>
      </c>
      <c r="N58" s="220">
        <v>0</v>
      </c>
      <c r="O58" s="225">
        <f t="shared" si="383"/>
        <v>0</v>
      </c>
    </row>
    <row r="59">
      <c r="A59" t="s">
        <v>156</v>
      </c>
      <c r="B59" t="s">
        <v>157</v>
      </c>
      <c r="C59" s="220">
        <v>0</v>
      </c>
      <c r="D59" s="220">
        <v>0</v>
      </c>
      <c r="E59" s="220">
        <v>0</v>
      </c>
      <c r="F59" s="220">
        <v>0</v>
      </c>
      <c r="G59" s="220">
        <v>0</v>
      </c>
      <c r="H59" s="220">
        <v>0</v>
      </c>
      <c r="I59" s="220">
        <v>0</v>
      </c>
      <c r="J59" s="220">
        <v>0</v>
      </c>
      <c r="K59" s="220">
        <v>0</v>
      </c>
      <c r="L59" s="220">
        <v>0</v>
      </c>
      <c r="M59" s="220">
        <v>0</v>
      </c>
      <c r="N59" s="220">
        <v>0</v>
      </c>
      <c r="O59" s="225">
        <f t="shared" si="383"/>
        <v>0</v>
      </c>
      <c r="P59" s="214"/>
      <c r="Q59" s="214"/>
      <c r="R59" s="214"/>
      <c r="S59" s="214"/>
      <c r="T59" s="214"/>
      <c r="U59" s="214"/>
      <c r="V59" s="214"/>
      <c r="W59" s="214"/>
      <c r="X59" s="214"/>
      <c r="Y59" s="214"/>
    </row>
    <row r="60">
      <c r="A60" t="s">
        <v>159</v>
      </c>
      <c r="B60" t="s">
        <v>160</v>
      </c>
      <c r="C60" s="220">
        <v>9.3000000000000007</v>
      </c>
      <c r="D60" s="220">
        <v>0</v>
      </c>
      <c r="E60" s="220">
        <v>0</v>
      </c>
      <c r="F60" s="220">
        <v>0</v>
      </c>
      <c r="G60" s="220">
        <v>0</v>
      </c>
      <c r="H60" s="220">
        <v>0</v>
      </c>
      <c r="I60" s="220">
        <v>0</v>
      </c>
      <c r="J60" s="220">
        <v>0</v>
      </c>
      <c r="K60" s="220">
        <v>0</v>
      </c>
      <c r="L60" s="220">
        <v>0</v>
      </c>
      <c r="M60" s="220">
        <v>0</v>
      </c>
      <c r="N60" s="220">
        <v>0</v>
      </c>
      <c r="O60" s="225">
        <f t="shared" si="383"/>
        <v>9.3000000000000007</v>
      </c>
    </row>
    <row r="61">
      <c r="A61" t="s">
        <v>162</v>
      </c>
      <c r="B61" t="s">
        <v>163</v>
      </c>
      <c r="C61" s="220">
        <v>0</v>
      </c>
      <c r="D61" s="220">
        <v>0</v>
      </c>
      <c r="E61" s="220">
        <v>0</v>
      </c>
      <c r="F61" s="220">
        <v>0</v>
      </c>
      <c r="G61" s="220">
        <v>0</v>
      </c>
      <c r="H61" s="220">
        <v>0</v>
      </c>
      <c r="I61" s="220">
        <v>0</v>
      </c>
      <c r="J61" s="220">
        <v>0</v>
      </c>
      <c r="K61" s="220">
        <v>0</v>
      </c>
      <c r="L61" s="220">
        <v>0</v>
      </c>
      <c r="M61" s="220">
        <v>0</v>
      </c>
      <c r="N61" s="220">
        <v>0</v>
      </c>
      <c r="O61" s="225">
        <f t="shared" si="383"/>
        <v>0</v>
      </c>
    </row>
    <row r="62">
      <c r="A62" t="s">
        <v>165</v>
      </c>
      <c r="B62" t="s">
        <v>166</v>
      </c>
      <c r="C62" s="220">
        <v>29330.689999999999</v>
      </c>
      <c r="D62" s="220">
        <v>29690.549999999999</v>
      </c>
      <c r="E62" s="220">
        <v>18987.91</v>
      </c>
      <c r="F62" s="220">
        <v>24929.41</v>
      </c>
      <c r="G62" s="220">
        <v>23672.169999999998</v>
      </c>
      <c r="H62" s="220">
        <v>26990.41</v>
      </c>
      <c r="I62" s="220">
        <v>-400</v>
      </c>
      <c r="J62" s="220">
        <v>24945.330000000002</v>
      </c>
      <c r="K62" s="220">
        <v>25125.73</v>
      </c>
      <c r="L62" s="220">
        <v>25671.98</v>
      </c>
      <c r="M62" s="220">
        <v>22507.48</v>
      </c>
      <c r="N62" s="220">
        <v>51795.550000000003</v>
      </c>
      <c r="O62" s="225">
        <f t="shared" si="383"/>
        <v>303247.21000000002</v>
      </c>
    </row>
    <row r="63">
      <c r="A63" t="s">
        <v>168</v>
      </c>
      <c r="B63" t="s">
        <v>169</v>
      </c>
      <c r="C63" s="220">
        <v>53144.940000000002</v>
      </c>
      <c r="D63" s="220">
        <v>32417.580000000002</v>
      </c>
      <c r="E63" s="220">
        <v>84998.970000000001</v>
      </c>
      <c r="F63" s="220">
        <v>32431.830000000002</v>
      </c>
      <c r="G63" s="220">
        <v>51290.209999999999</v>
      </c>
      <c r="H63" s="220">
        <v>26834.040000000001</v>
      </c>
      <c r="I63" s="220">
        <v>32072.540000000001</v>
      </c>
      <c r="J63" s="220">
        <v>33955.25</v>
      </c>
      <c r="K63" s="220">
        <v>41797.169999999998</v>
      </c>
      <c r="L63" s="220">
        <v>24190.240000000002</v>
      </c>
      <c r="M63" s="220">
        <v>43787.940000000002</v>
      </c>
      <c r="N63" s="220">
        <v>45608.650000000001</v>
      </c>
      <c r="O63" s="225">
        <f t="shared" si="383"/>
        <v>502529.35999999999</v>
      </c>
    </row>
    <row r="64">
      <c r="A64" s="224" t="s">
        <v>584</v>
      </c>
      <c r="B64" t="s">
        <v>585</v>
      </c>
      <c r="C64" s="220">
        <v>4472.1000000000004</v>
      </c>
      <c r="D64" s="220">
        <v>171.69999999999999</v>
      </c>
      <c r="E64" s="220">
        <v>585.85000000000002</v>
      </c>
      <c r="F64" s="220">
        <v>434</v>
      </c>
      <c r="G64" s="220">
        <v>2080</v>
      </c>
      <c r="H64" s="220">
        <v>1305.5999999999999</v>
      </c>
      <c r="I64" s="220">
        <v>0</v>
      </c>
      <c r="J64" s="220">
        <v>708</v>
      </c>
      <c r="K64" s="220">
        <v>1458</v>
      </c>
      <c r="L64" s="220">
        <v>705.60000000000002</v>
      </c>
      <c r="M64" s="220">
        <v>1303.9000000000001</v>
      </c>
      <c r="N64" s="220">
        <v>771.60000000000002</v>
      </c>
      <c r="O64" s="225">
        <f t="shared" si="383"/>
        <v>13996.35</v>
      </c>
    </row>
    <row r="65">
      <c r="A65" t="s">
        <v>613</v>
      </c>
      <c r="B65" t="s">
        <v>172</v>
      </c>
      <c r="C65" s="220">
        <v>1625</v>
      </c>
      <c r="D65" s="220">
        <v>0</v>
      </c>
      <c r="E65" s="220">
        <v>83.849999999999994</v>
      </c>
      <c r="F65" s="220">
        <v>0</v>
      </c>
      <c r="G65" s="220">
        <v>130</v>
      </c>
      <c r="H65" s="220">
        <v>0</v>
      </c>
      <c r="I65" s="220">
        <v>0</v>
      </c>
      <c r="J65" s="220">
        <v>0</v>
      </c>
      <c r="K65" s="220">
        <v>0</v>
      </c>
      <c r="L65" s="220">
        <v>0</v>
      </c>
      <c r="M65" s="220">
        <v>423.89999999999998</v>
      </c>
      <c r="N65" s="220">
        <v>66</v>
      </c>
      <c r="O65" s="225">
        <f t="shared" si="383"/>
        <v>2328.75</v>
      </c>
    </row>
    <row r="66">
      <c r="A66" t="s">
        <v>614</v>
      </c>
      <c r="B66" t="s">
        <v>175</v>
      </c>
      <c r="C66" s="220">
        <v>2141.5</v>
      </c>
      <c r="D66" s="220">
        <v>0</v>
      </c>
      <c r="E66" s="220">
        <v>502</v>
      </c>
      <c r="F66" s="220">
        <v>434</v>
      </c>
      <c r="G66" s="220">
        <v>1950</v>
      </c>
      <c r="H66" s="220">
        <v>600</v>
      </c>
      <c r="I66" s="220">
        <v>0</v>
      </c>
      <c r="J66" s="220">
        <v>708</v>
      </c>
      <c r="K66" s="220">
        <v>1458</v>
      </c>
      <c r="L66" s="220">
        <v>0</v>
      </c>
      <c r="M66" s="220">
        <v>880</v>
      </c>
      <c r="N66" s="220">
        <v>0</v>
      </c>
      <c r="O66" s="225">
        <f t="shared" si="383"/>
        <v>8673.5</v>
      </c>
    </row>
    <row r="67">
      <c r="A67" t="s">
        <v>177</v>
      </c>
      <c r="B67" t="s">
        <v>178</v>
      </c>
      <c r="C67" s="220">
        <v>705.60000000000002</v>
      </c>
      <c r="D67" s="220">
        <v>171.69999999999999</v>
      </c>
      <c r="E67" s="220">
        <v>0</v>
      </c>
      <c r="F67" s="220">
        <v>0</v>
      </c>
      <c r="G67" s="220">
        <v>0</v>
      </c>
      <c r="H67" s="220">
        <v>705.60000000000002</v>
      </c>
      <c r="I67" s="220">
        <v>0</v>
      </c>
      <c r="J67" s="220">
        <v>0</v>
      </c>
      <c r="K67" s="220">
        <v>0</v>
      </c>
      <c r="L67" s="220">
        <v>705.60000000000002</v>
      </c>
      <c r="M67" s="220">
        <v>0</v>
      </c>
      <c r="N67" s="220">
        <v>705.60000000000002</v>
      </c>
      <c r="O67" s="225">
        <f t="shared" si="383"/>
        <v>2994.0999999999999</v>
      </c>
    </row>
    <row r="68">
      <c r="A68" t="s">
        <v>180</v>
      </c>
      <c r="B68" t="s">
        <v>181</v>
      </c>
      <c r="C68" s="220">
        <v>0</v>
      </c>
      <c r="D68" s="220">
        <v>0</v>
      </c>
      <c r="E68" s="220">
        <v>0</v>
      </c>
      <c r="F68" s="220">
        <v>0</v>
      </c>
      <c r="G68" s="220">
        <v>0</v>
      </c>
      <c r="H68" s="220">
        <v>0</v>
      </c>
      <c r="I68" s="220">
        <v>0</v>
      </c>
      <c r="J68" s="220">
        <v>0</v>
      </c>
      <c r="K68" s="220">
        <v>0</v>
      </c>
      <c r="L68" s="220">
        <v>0</v>
      </c>
      <c r="M68" s="220">
        <v>0</v>
      </c>
      <c r="N68" s="220">
        <v>0</v>
      </c>
      <c r="O68" s="225">
        <f t="shared" ref="O68:O131" si="384">SUM(C68:N68)</f>
        <v>0</v>
      </c>
    </row>
    <row r="69">
      <c r="A69" t="s">
        <v>183</v>
      </c>
      <c r="B69" t="s">
        <v>184</v>
      </c>
      <c r="C69" s="220">
        <v>0</v>
      </c>
      <c r="D69" s="220">
        <v>0</v>
      </c>
      <c r="E69" s="220">
        <v>0</v>
      </c>
      <c r="F69" s="220">
        <v>0</v>
      </c>
      <c r="G69" s="220">
        <v>0</v>
      </c>
      <c r="H69" s="220">
        <v>0</v>
      </c>
      <c r="I69" s="220">
        <v>0</v>
      </c>
      <c r="J69" s="220">
        <v>0</v>
      </c>
      <c r="K69" s="220">
        <v>0</v>
      </c>
      <c r="L69" s="220">
        <v>0</v>
      </c>
      <c r="M69" s="220">
        <v>0</v>
      </c>
      <c r="N69" s="220">
        <v>0</v>
      </c>
      <c r="O69" s="225">
        <f t="shared" si="384"/>
        <v>0</v>
      </c>
    </row>
    <row r="70">
      <c r="A70" t="s">
        <v>589</v>
      </c>
      <c r="B70" t="s">
        <v>187</v>
      </c>
      <c r="C70" s="220">
        <v>47566.769999999997</v>
      </c>
      <c r="D70" s="220">
        <v>31316.32</v>
      </c>
      <c r="E70" s="220">
        <v>82766.25</v>
      </c>
      <c r="F70" s="220">
        <v>31736.32</v>
      </c>
      <c r="G70" s="220">
        <v>48102.669999999998</v>
      </c>
      <c r="H70" s="220">
        <v>25438.849999999999</v>
      </c>
      <c r="I70" s="220">
        <v>31307.540000000001</v>
      </c>
      <c r="J70" s="220">
        <v>33134.879999999997</v>
      </c>
      <c r="K70" s="220">
        <v>39689.970000000001</v>
      </c>
      <c r="L70" s="220">
        <v>23447.380000000001</v>
      </c>
      <c r="M70" s="220">
        <v>41675.879999999997</v>
      </c>
      <c r="N70" s="220">
        <v>43879.580000000002</v>
      </c>
      <c r="O70" s="225">
        <f t="shared" si="384"/>
        <v>480062.40999999997</v>
      </c>
    </row>
    <row r="71">
      <c r="A71" t="s">
        <v>189</v>
      </c>
      <c r="B71" t="s">
        <v>190</v>
      </c>
      <c r="C71" s="220">
        <v>0</v>
      </c>
      <c r="D71" s="220">
        <v>0</v>
      </c>
      <c r="E71" s="220">
        <v>0</v>
      </c>
      <c r="F71" s="220">
        <v>0</v>
      </c>
      <c r="G71" s="220">
        <v>0</v>
      </c>
      <c r="H71" s="220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5">
        <f t="shared" si="384"/>
        <v>0</v>
      </c>
    </row>
    <row r="72">
      <c r="A72" t="s">
        <v>192</v>
      </c>
      <c r="B72" t="s">
        <v>193</v>
      </c>
      <c r="C72" s="220">
        <v>1106.0699999999999</v>
      </c>
      <c r="D72" s="220">
        <v>929.55999999999995</v>
      </c>
      <c r="E72" s="220">
        <v>1646.8699999999999</v>
      </c>
      <c r="F72" s="220">
        <v>261.50999999999999</v>
      </c>
      <c r="G72" s="220">
        <v>1107.54</v>
      </c>
      <c r="H72" s="220">
        <v>89.590000000000003</v>
      </c>
      <c r="I72" s="220">
        <v>765</v>
      </c>
      <c r="J72" s="220">
        <v>112.37</v>
      </c>
      <c r="K72" s="220">
        <v>649.20000000000005</v>
      </c>
      <c r="L72" s="220">
        <v>37.259999999999998</v>
      </c>
      <c r="M72" s="220">
        <v>808.15999999999997</v>
      </c>
      <c r="N72" s="220">
        <v>957.47000000000003</v>
      </c>
      <c r="O72" s="225">
        <f t="shared" si="384"/>
        <v>8470.6000000000004</v>
      </c>
    </row>
    <row r="73">
      <c r="A73" t="s">
        <v>195</v>
      </c>
      <c r="B73" t="s">
        <v>196</v>
      </c>
      <c r="C73" s="220">
        <v>0</v>
      </c>
      <c r="D73" s="220">
        <v>0</v>
      </c>
      <c r="E73" s="220">
        <v>0</v>
      </c>
      <c r="F73" s="220">
        <v>0</v>
      </c>
      <c r="G73" s="220">
        <v>0</v>
      </c>
      <c r="H73" s="220">
        <v>0</v>
      </c>
      <c r="I73" s="220">
        <v>0</v>
      </c>
      <c r="J73" s="220">
        <v>0</v>
      </c>
      <c r="K73" s="220">
        <v>0</v>
      </c>
      <c r="L73" s="220">
        <v>0</v>
      </c>
      <c r="M73" s="220">
        <v>0</v>
      </c>
      <c r="N73" s="220">
        <v>0</v>
      </c>
      <c r="O73" s="225">
        <f t="shared" si="384"/>
        <v>0</v>
      </c>
    </row>
    <row r="74">
      <c r="A74" t="s">
        <v>198</v>
      </c>
      <c r="B74" t="s">
        <v>199</v>
      </c>
      <c r="C74" s="220">
        <v>3740</v>
      </c>
      <c r="D74" s="220">
        <v>1900</v>
      </c>
      <c r="E74" s="220">
        <v>1940</v>
      </c>
      <c r="F74" s="220">
        <v>1860</v>
      </c>
      <c r="G74" s="220">
        <v>1612</v>
      </c>
      <c r="H74" s="220">
        <v>-180</v>
      </c>
      <c r="I74" s="220">
        <v>1710</v>
      </c>
      <c r="J74" s="220">
        <v>1720</v>
      </c>
      <c r="K74" s="220">
        <v>1760</v>
      </c>
      <c r="L74" s="220">
        <v>1690</v>
      </c>
      <c r="M74" s="220">
        <v>1800</v>
      </c>
      <c r="N74" s="220">
        <v>196</v>
      </c>
      <c r="O74" s="225">
        <f t="shared" si="384"/>
        <v>19748</v>
      </c>
    </row>
    <row r="75">
      <c r="A75" t="s">
        <v>201</v>
      </c>
      <c r="B75" t="s">
        <v>202</v>
      </c>
      <c r="C75" s="220">
        <v>3740</v>
      </c>
      <c r="D75" s="220">
        <v>1900</v>
      </c>
      <c r="E75" s="220">
        <v>1940</v>
      </c>
      <c r="F75" s="220">
        <v>1860</v>
      </c>
      <c r="G75" s="220">
        <v>1612</v>
      </c>
      <c r="H75" s="220">
        <v>-180</v>
      </c>
      <c r="I75" s="220">
        <v>1710</v>
      </c>
      <c r="J75" s="220">
        <v>1720</v>
      </c>
      <c r="K75" s="220">
        <v>1760</v>
      </c>
      <c r="L75" s="220">
        <v>1690</v>
      </c>
      <c r="M75" s="220">
        <v>1800</v>
      </c>
      <c r="N75" s="220">
        <v>196</v>
      </c>
      <c r="O75" s="225">
        <f t="shared" si="384"/>
        <v>19748</v>
      </c>
    </row>
    <row r="76">
      <c r="A76" t="s">
        <v>203</v>
      </c>
      <c r="B76" t="s">
        <v>204</v>
      </c>
      <c r="C76" s="220">
        <v>0</v>
      </c>
      <c r="D76" s="220">
        <v>0</v>
      </c>
      <c r="E76" s="220">
        <v>0</v>
      </c>
      <c r="F76" s="220">
        <v>0</v>
      </c>
      <c r="G76" s="220">
        <v>0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5">
        <f t="shared" si="384"/>
        <v>0</v>
      </c>
    </row>
    <row r="77">
      <c r="A77" t="s">
        <v>206</v>
      </c>
      <c r="B77" t="s">
        <v>207</v>
      </c>
      <c r="C77" s="220">
        <v>0</v>
      </c>
      <c r="D77" s="220">
        <v>0</v>
      </c>
      <c r="E77" s="220">
        <v>0</v>
      </c>
      <c r="F77" s="220">
        <v>0</v>
      </c>
      <c r="G77" s="220">
        <v>0</v>
      </c>
      <c r="H77" s="220">
        <v>0</v>
      </c>
      <c r="I77" s="220">
        <v>0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5">
        <f t="shared" si="384"/>
        <v>0</v>
      </c>
    </row>
    <row r="78">
      <c r="A78" t="s">
        <v>209</v>
      </c>
      <c r="B78" t="s">
        <v>210</v>
      </c>
      <c r="C78" s="220">
        <v>0</v>
      </c>
      <c r="D78" s="220">
        <v>0</v>
      </c>
      <c r="E78" s="220">
        <v>0</v>
      </c>
      <c r="F78" s="220">
        <v>0</v>
      </c>
      <c r="G78" s="220">
        <v>0</v>
      </c>
      <c r="H78" s="220">
        <v>0</v>
      </c>
      <c r="I78" s="220">
        <v>0</v>
      </c>
      <c r="J78" s="220">
        <v>0</v>
      </c>
      <c r="K78" s="220">
        <v>0</v>
      </c>
      <c r="L78" s="220">
        <v>0</v>
      </c>
      <c r="M78" s="220">
        <v>0</v>
      </c>
      <c r="N78" s="220">
        <v>-41167.699999999997</v>
      </c>
      <c r="O78" s="225">
        <f t="shared" si="384"/>
        <v>-41167.699999999997</v>
      </c>
    </row>
    <row r="79">
      <c r="A79" t="s">
        <v>212</v>
      </c>
      <c r="B79" t="s">
        <v>213</v>
      </c>
      <c r="C79" s="220">
        <v>4225.9499999999998</v>
      </c>
      <c r="D79" s="220">
        <v>4395.8599999999997</v>
      </c>
      <c r="E79" s="220">
        <v>2672.7600000000002</v>
      </c>
      <c r="F79" s="220">
        <v>3932.6700000000001</v>
      </c>
      <c r="G79" s="220">
        <v>3287.3099999999999</v>
      </c>
      <c r="H79" s="220">
        <v>4244.1300000000001</v>
      </c>
      <c r="I79" s="220">
        <v>3947.27</v>
      </c>
      <c r="J79" s="220">
        <v>3718.8099999999999</v>
      </c>
      <c r="K79" s="220">
        <v>4408.5500000000002</v>
      </c>
      <c r="L79" s="220">
        <v>2704.0999999999999</v>
      </c>
      <c r="M79" s="220">
        <v>3001.02</v>
      </c>
      <c r="N79" s="220">
        <v>5871.2600000000002</v>
      </c>
      <c r="O79" s="225">
        <f t="shared" si="384"/>
        <v>46409.690000000002</v>
      </c>
    </row>
    <row r="80">
      <c r="A80" t="s">
        <v>215</v>
      </c>
      <c r="B80" t="s">
        <v>216</v>
      </c>
      <c r="C80" s="220">
        <v>3995.1300000000001</v>
      </c>
      <c r="D80" s="220">
        <v>4316.3400000000001</v>
      </c>
      <c r="E80" s="220">
        <v>2529.73</v>
      </c>
      <c r="F80" s="220">
        <v>3889.4699999999998</v>
      </c>
      <c r="G80" s="220">
        <v>3227.5999999999999</v>
      </c>
      <c r="H80" s="220">
        <v>3927.23</v>
      </c>
      <c r="I80" s="220">
        <v>3428.73</v>
      </c>
      <c r="J80" s="220">
        <v>3693.71</v>
      </c>
      <c r="K80" s="220">
        <v>4229.1999999999998</v>
      </c>
      <c r="L80" s="220">
        <v>2687.9200000000001</v>
      </c>
      <c r="M80" s="220">
        <v>2451.5300000000002</v>
      </c>
      <c r="N80" s="220">
        <v>5722.1899999999996</v>
      </c>
      <c r="O80" s="225">
        <f t="shared" si="384"/>
        <v>44098.779999999999</v>
      </c>
    </row>
    <row r="81">
      <c r="A81" t="s">
        <v>218</v>
      </c>
      <c r="B81" t="s">
        <v>219</v>
      </c>
      <c r="C81" s="220">
        <v>203.66999999999999</v>
      </c>
      <c r="D81" s="220">
        <v>60.25</v>
      </c>
      <c r="E81" s="220">
        <v>0</v>
      </c>
      <c r="F81" s="220">
        <v>26.870000000000001</v>
      </c>
      <c r="G81" s="220">
        <v>43.399999999999999</v>
      </c>
      <c r="H81" s="220">
        <v>46.079999999999998</v>
      </c>
      <c r="I81" s="220">
        <v>0</v>
      </c>
      <c r="J81" s="220">
        <v>7.5199999999999996</v>
      </c>
      <c r="K81" s="220">
        <v>22.620000000000001</v>
      </c>
      <c r="L81" s="220">
        <v>6.7699999999999996</v>
      </c>
      <c r="M81" s="220">
        <v>67.549999999999997</v>
      </c>
      <c r="N81" s="220">
        <v>128.55000000000001</v>
      </c>
      <c r="O81" s="225">
        <f t="shared" si="384"/>
        <v>613.27999999999997</v>
      </c>
    </row>
    <row r="82">
      <c r="A82" t="s">
        <v>221</v>
      </c>
      <c r="B82" t="s">
        <v>222</v>
      </c>
      <c r="C82" s="220">
        <v>27.149999999999999</v>
      </c>
      <c r="D82" s="220">
        <v>19.27</v>
      </c>
      <c r="E82" s="220">
        <v>23.030000000000001</v>
      </c>
      <c r="F82" s="220">
        <v>16.329999999999998</v>
      </c>
      <c r="G82" s="220">
        <v>16.309999999999999</v>
      </c>
      <c r="H82" s="220">
        <v>15.75</v>
      </c>
      <c r="I82" s="220">
        <v>14.460000000000001</v>
      </c>
      <c r="J82" s="220">
        <v>17.579999999999998</v>
      </c>
      <c r="K82" s="220">
        <v>15.93</v>
      </c>
      <c r="L82" s="220">
        <v>9.4100000000000001</v>
      </c>
      <c r="M82" s="220">
        <v>19.120000000000001</v>
      </c>
      <c r="N82" s="220">
        <v>20.52</v>
      </c>
      <c r="O82" s="225">
        <f t="shared" si="384"/>
        <v>214.86000000000001</v>
      </c>
    </row>
    <row r="83">
      <c r="A83" t="s">
        <v>224</v>
      </c>
      <c r="B83" t="s">
        <v>225</v>
      </c>
      <c r="C83" s="220">
        <v>0</v>
      </c>
      <c r="D83" s="220">
        <v>0</v>
      </c>
      <c r="E83" s="220">
        <v>0</v>
      </c>
      <c r="F83" s="220">
        <v>0</v>
      </c>
      <c r="G83" s="220">
        <v>0</v>
      </c>
      <c r="H83" s="220">
        <v>0</v>
      </c>
      <c r="I83" s="220">
        <v>0</v>
      </c>
      <c r="J83" s="220">
        <v>0</v>
      </c>
      <c r="K83" s="220">
        <v>0</v>
      </c>
      <c r="L83" s="220">
        <v>0</v>
      </c>
      <c r="M83" s="220">
        <v>0</v>
      </c>
      <c r="N83" s="220">
        <v>0</v>
      </c>
      <c r="O83" s="225">
        <f t="shared" si="384"/>
        <v>0</v>
      </c>
    </row>
    <row r="84">
      <c r="A84" t="s">
        <v>227</v>
      </c>
      <c r="B84" t="s">
        <v>228</v>
      </c>
      <c r="C84" s="220">
        <v>0</v>
      </c>
      <c r="D84" s="220">
        <v>0</v>
      </c>
      <c r="E84" s="220">
        <v>120</v>
      </c>
      <c r="F84" s="220">
        <v>0</v>
      </c>
      <c r="G84" s="220">
        <v>0</v>
      </c>
      <c r="H84" s="220">
        <v>255.06999999999999</v>
      </c>
      <c r="I84" s="220">
        <v>504.07999999999998</v>
      </c>
      <c r="J84" s="220">
        <v>0</v>
      </c>
      <c r="K84" s="220">
        <v>140.80000000000001</v>
      </c>
      <c r="L84" s="220">
        <v>0</v>
      </c>
      <c r="M84" s="220">
        <v>462.81999999999999</v>
      </c>
      <c r="N84" s="220">
        <v>0</v>
      </c>
      <c r="O84" s="225">
        <f t="shared" si="384"/>
        <v>1482.77</v>
      </c>
    </row>
    <row r="85">
      <c r="A85" s="185" t="s">
        <v>230</v>
      </c>
      <c r="B85" t="s">
        <v>231</v>
      </c>
      <c r="C85" s="221">
        <v>30006.709999999999</v>
      </c>
      <c r="D85" s="220">
        <v>21454.970000000001</v>
      </c>
      <c r="E85" s="220">
        <v>18016.5</v>
      </c>
      <c r="F85" s="220">
        <v>8424.1000000000004</v>
      </c>
      <c r="G85" s="220">
        <v>14173.23</v>
      </c>
      <c r="H85" s="220">
        <v>15477.59</v>
      </c>
      <c r="I85" s="220">
        <v>16081.68</v>
      </c>
      <c r="J85" s="220">
        <v>12885.85</v>
      </c>
      <c r="K85" s="220">
        <v>15236.43</v>
      </c>
      <c r="L85" s="220">
        <v>15674.41</v>
      </c>
      <c r="M85" s="220">
        <v>13765.67</v>
      </c>
      <c r="N85" s="220">
        <v>9352</v>
      </c>
      <c r="O85" s="225">
        <f t="shared" si="384"/>
        <v>190549.14000000001</v>
      </c>
    </row>
    <row r="86">
      <c r="A86" s="185" t="s">
        <v>233</v>
      </c>
      <c r="B86" t="s">
        <v>234</v>
      </c>
      <c r="C86" s="221">
        <v>29497.09</v>
      </c>
      <c r="D86" s="220">
        <v>21219.73</v>
      </c>
      <c r="E86" s="220">
        <v>16826.099999999999</v>
      </c>
      <c r="F86" s="220">
        <v>8396.7199999999993</v>
      </c>
      <c r="G86" s="220">
        <v>13983.190000000001</v>
      </c>
      <c r="H86" s="220">
        <v>15345.549999999999</v>
      </c>
      <c r="I86" s="220">
        <v>14624.91</v>
      </c>
      <c r="J86" s="220">
        <v>12716.870000000001</v>
      </c>
      <c r="K86" s="220">
        <v>15236.43</v>
      </c>
      <c r="L86" s="220">
        <v>15674.41</v>
      </c>
      <c r="M86" s="220">
        <v>12424.49</v>
      </c>
      <c r="N86" s="220">
        <v>9352</v>
      </c>
      <c r="O86" s="225">
        <f t="shared" si="384"/>
        <v>185297.48999999999</v>
      </c>
    </row>
    <row r="87">
      <c r="A87" s="185" t="s">
        <v>236</v>
      </c>
      <c r="B87" t="s">
        <v>237</v>
      </c>
      <c r="C87" s="220">
        <v>509.62</v>
      </c>
      <c r="D87" s="220">
        <v>235.24000000000001</v>
      </c>
      <c r="E87" s="220">
        <v>0</v>
      </c>
      <c r="F87" s="220">
        <v>27.379999999999999</v>
      </c>
      <c r="G87" s="220">
        <v>190.03999999999999</v>
      </c>
      <c r="H87" s="220">
        <v>132.03999999999999</v>
      </c>
      <c r="I87" s="220">
        <v>0</v>
      </c>
      <c r="J87" s="220">
        <v>168.97999999999999</v>
      </c>
      <c r="K87" s="220">
        <v>0</v>
      </c>
      <c r="L87" s="220">
        <v>0</v>
      </c>
      <c r="M87" s="220">
        <v>0</v>
      </c>
      <c r="N87" s="220">
        <v>0</v>
      </c>
      <c r="O87" s="225">
        <f t="shared" si="384"/>
        <v>1263.3</v>
      </c>
    </row>
    <row r="88">
      <c r="A88" t="s">
        <v>239</v>
      </c>
      <c r="B88" t="s">
        <v>240</v>
      </c>
      <c r="C88" s="220">
        <v>0</v>
      </c>
      <c r="D88" s="220">
        <v>0</v>
      </c>
      <c r="E88" s="220">
        <v>1190.4000000000001</v>
      </c>
      <c r="F88" s="220">
        <v>0</v>
      </c>
      <c r="G88" s="220">
        <v>0</v>
      </c>
      <c r="H88" s="220">
        <v>0</v>
      </c>
      <c r="I88" s="220">
        <v>1456.77</v>
      </c>
      <c r="J88" s="220">
        <v>0</v>
      </c>
      <c r="K88" s="220">
        <v>0</v>
      </c>
      <c r="L88" s="220">
        <v>0</v>
      </c>
      <c r="M88" s="220">
        <v>1341.1800000000001</v>
      </c>
      <c r="N88" s="220">
        <v>0</v>
      </c>
      <c r="O88" s="225">
        <f t="shared" si="384"/>
        <v>3988.3500000000004</v>
      </c>
    </row>
    <row r="89">
      <c r="A89"/>
      <c r="B89"/>
      <c r="C89" s="220">
        <v>167384.79999999999</v>
      </c>
      <c r="D89" s="220">
        <v>105537.00999999999</v>
      </c>
      <c r="E89" s="220">
        <v>129236.14</v>
      </c>
      <c r="F89" s="220">
        <v>80591.009999999995</v>
      </c>
      <c r="G89" s="220">
        <v>108275.92</v>
      </c>
      <c r="H89" s="220">
        <v>81446.169999999998</v>
      </c>
      <c r="I89" s="220">
        <v>63089.110000000001</v>
      </c>
      <c r="J89" s="220">
        <v>100526.22</v>
      </c>
      <c r="K89" s="220">
        <v>100175.88</v>
      </c>
      <c r="L89" s="220">
        <v>99858.729999999996</v>
      </c>
      <c r="M89" s="220">
        <v>91557.110000000001</v>
      </c>
      <c r="N89" s="220">
        <v>83224.759999999995</v>
      </c>
      <c r="O89" s="225">
        <f t="shared" si="384"/>
        <v>1210902.8600000001</v>
      </c>
    </row>
    <row r="90">
      <c r="A90" t="s">
        <v>243</v>
      </c>
      <c r="B90"/>
      <c r="C90" s="220">
        <v>303055.14000000001</v>
      </c>
      <c r="D90" s="220">
        <v>327458.45000000001</v>
      </c>
      <c r="E90" s="220">
        <v>312325.84000000003</v>
      </c>
      <c r="F90" s="220">
        <v>325363.76000000001</v>
      </c>
      <c r="G90" s="220">
        <v>387115.40000000002</v>
      </c>
      <c r="H90" s="220">
        <v>345942.34000000003</v>
      </c>
      <c r="I90" s="220">
        <v>370221.06</v>
      </c>
      <c r="J90" s="220">
        <v>379066.20000000001</v>
      </c>
      <c r="K90" s="220">
        <v>396247.35999999999</v>
      </c>
      <c r="L90" s="220">
        <v>218237.79999999999</v>
      </c>
      <c r="M90" s="220">
        <v>324014.31</v>
      </c>
      <c r="N90" s="220">
        <v>546842.14000000001</v>
      </c>
      <c r="O90" s="225">
        <f t="shared" si="384"/>
        <v>4235889.7999999998</v>
      </c>
    </row>
    <row r="91">
      <c r="A91" t="s">
        <v>245</v>
      </c>
      <c r="B91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5">
        <f t="shared" si="384"/>
        <v>0</v>
      </c>
    </row>
    <row r="92">
      <c r="A92" t="s">
        <v>246</v>
      </c>
      <c r="B92" t="s">
        <v>247</v>
      </c>
      <c r="C92" s="220">
        <v>0</v>
      </c>
      <c r="D92" s="220">
        <v>0</v>
      </c>
      <c r="E92" s="220">
        <v>0</v>
      </c>
      <c r="F92" s="220">
        <v>0</v>
      </c>
      <c r="G92" s="220">
        <v>0</v>
      </c>
      <c r="H92" s="220">
        <v>0</v>
      </c>
      <c r="I92" s="220">
        <v>0</v>
      </c>
      <c r="J92" s="220">
        <v>0</v>
      </c>
      <c r="K92" s="220">
        <v>0</v>
      </c>
      <c r="L92" s="220">
        <v>0</v>
      </c>
      <c r="M92" s="220">
        <v>0</v>
      </c>
      <c r="N92" s="220">
        <v>0</v>
      </c>
      <c r="O92" s="225">
        <f t="shared" si="384"/>
        <v>0</v>
      </c>
    </row>
    <row r="93">
      <c r="A93" t="s">
        <v>249</v>
      </c>
      <c r="B93" t="s">
        <v>250</v>
      </c>
      <c r="C93" s="220">
        <v>800</v>
      </c>
      <c r="D93" s="220">
        <v>300</v>
      </c>
      <c r="E93" s="220">
        <v>170</v>
      </c>
      <c r="F93" s="220">
        <v>635</v>
      </c>
      <c r="G93" s="220">
        <v>425</v>
      </c>
      <c r="H93" s="220">
        <v>938.88999999999999</v>
      </c>
      <c r="I93" s="220">
        <v>111.12</v>
      </c>
      <c r="J93" s="220">
        <v>378.72000000000003</v>
      </c>
      <c r="K93" s="220">
        <v>263.88</v>
      </c>
      <c r="L93" s="220">
        <v>50</v>
      </c>
      <c r="M93" s="220">
        <v>125</v>
      </c>
      <c r="N93" s="220">
        <v>248</v>
      </c>
      <c r="O93" s="225">
        <f t="shared" si="384"/>
        <v>4445.6099999999997</v>
      </c>
    </row>
    <row r="94">
      <c r="A94" s="185" t="s">
        <v>252</v>
      </c>
      <c r="B94" t="s">
        <v>253</v>
      </c>
      <c r="C94" s="221">
        <v>800</v>
      </c>
      <c r="D94" s="220">
        <v>300</v>
      </c>
      <c r="E94" s="220">
        <v>170</v>
      </c>
      <c r="F94" s="220">
        <v>635</v>
      </c>
      <c r="G94" s="220">
        <v>425</v>
      </c>
      <c r="H94" s="220">
        <v>938.88999999999999</v>
      </c>
      <c r="I94" s="220">
        <v>111.12</v>
      </c>
      <c r="J94" s="220">
        <v>378.72000000000003</v>
      </c>
      <c r="K94" s="220">
        <v>263.88</v>
      </c>
      <c r="L94" s="220">
        <v>50</v>
      </c>
      <c r="M94" s="220">
        <v>125</v>
      </c>
      <c r="N94" s="220">
        <v>248</v>
      </c>
      <c r="O94" s="225">
        <f t="shared" si="384"/>
        <v>4445.6099999999997</v>
      </c>
    </row>
    <row r="95">
      <c r="A95" s="185" t="s">
        <v>255</v>
      </c>
      <c r="B95" t="s">
        <v>256</v>
      </c>
      <c r="C95" s="220">
        <v>0</v>
      </c>
      <c r="D95" s="220">
        <v>0</v>
      </c>
      <c r="E95" s="220">
        <v>0</v>
      </c>
      <c r="F95" s="220">
        <v>0</v>
      </c>
      <c r="G95" s="220">
        <v>0</v>
      </c>
      <c r="H95" s="220">
        <v>0</v>
      </c>
      <c r="I95" s="220">
        <v>0</v>
      </c>
      <c r="J95" s="220">
        <v>0</v>
      </c>
      <c r="K95" s="220">
        <v>0</v>
      </c>
      <c r="L95" s="220">
        <v>0</v>
      </c>
      <c r="M95" s="220">
        <v>0</v>
      </c>
      <c r="N95" s="220">
        <v>0</v>
      </c>
      <c r="O95" s="225">
        <f t="shared" si="384"/>
        <v>0</v>
      </c>
    </row>
    <row r="96">
      <c r="A96" t="s">
        <v>258</v>
      </c>
      <c r="B96" t="s">
        <v>259</v>
      </c>
      <c r="C96" s="220">
        <v>0</v>
      </c>
      <c r="D96" s="220">
        <v>0</v>
      </c>
      <c r="E96" s="220">
        <v>0</v>
      </c>
      <c r="F96" s="220">
        <v>0</v>
      </c>
      <c r="G96" s="220">
        <v>0</v>
      </c>
      <c r="H96" s="220">
        <v>0</v>
      </c>
      <c r="I96" s="220">
        <v>0</v>
      </c>
      <c r="J96" s="220">
        <v>0</v>
      </c>
      <c r="K96" s="220">
        <v>0</v>
      </c>
      <c r="L96" s="220">
        <v>0</v>
      </c>
      <c r="M96" s="220">
        <v>0</v>
      </c>
      <c r="N96" s="220">
        <v>0</v>
      </c>
      <c r="O96" s="225">
        <f t="shared" si="384"/>
        <v>0</v>
      </c>
    </row>
    <row r="97">
      <c r="A97" t="s">
        <v>261</v>
      </c>
      <c r="B97" t="s">
        <v>262</v>
      </c>
      <c r="C97" s="220">
        <v>0</v>
      </c>
      <c r="D97" s="220">
        <v>0</v>
      </c>
      <c r="E97" s="220">
        <v>0</v>
      </c>
      <c r="F97" s="220">
        <v>0</v>
      </c>
      <c r="G97" s="220">
        <v>0</v>
      </c>
      <c r="H97" s="220">
        <v>0</v>
      </c>
      <c r="I97" s="220">
        <v>0</v>
      </c>
      <c r="J97" s="220">
        <v>0</v>
      </c>
      <c r="K97" s="220">
        <v>0</v>
      </c>
      <c r="L97" s="220">
        <v>0</v>
      </c>
      <c r="M97" s="220">
        <v>0</v>
      </c>
      <c r="N97" s="220">
        <v>0</v>
      </c>
      <c r="O97" s="225">
        <f t="shared" si="384"/>
        <v>0</v>
      </c>
    </row>
    <row r="98">
      <c r="A98"/>
      <c r="B98"/>
      <c r="C98" s="220">
        <v>800</v>
      </c>
      <c r="D98" s="220">
        <v>300</v>
      </c>
      <c r="E98" s="220">
        <v>170</v>
      </c>
      <c r="F98" s="220">
        <v>635</v>
      </c>
      <c r="G98" s="220">
        <v>425</v>
      </c>
      <c r="H98" s="220">
        <v>938.88999999999999</v>
      </c>
      <c r="I98" s="220">
        <v>111.12</v>
      </c>
      <c r="J98" s="220">
        <v>378.72000000000003</v>
      </c>
      <c r="K98" s="220">
        <v>263.88</v>
      </c>
      <c r="L98" s="220">
        <v>50</v>
      </c>
      <c r="M98" s="220">
        <v>125</v>
      </c>
      <c r="N98" s="220">
        <v>248</v>
      </c>
      <c r="O98" s="225">
        <f t="shared" si="384"/>
        <v>4445.6099999999997</v>
      </c>
    </row>
    <row r="99">
      <c r="A99" t="s">
        <v>265</v>
      </c>
      <c r="B99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5">
        <f t="shared" si="384"/>
        <v>0</v>
      </c>
    </row>
    <row r="100">
      <c r="A100" t="s">
        <v>266</v>
      </c>
      <c r="B100" t="s">
        <v>267</v>
      </c>
      <c r="C100" s="220">
        <v>360984.01000000001</v>
      </c>
      <c r="D100" s="220">
        <v>245694.92000000001</v>
      </c>
      <c r="E100" s="220">
        <v>225352.98000000001</v>
      </c>
      <c r="F100" s="220">
        <v>222529.31</v>
      </c>
      <c r="G100" s="220">
        <v>229442.06</v>
      </c>
      <c r="H100" s="220">
        <v>223287.92000000001</v>
      </c>
      <c r="I100" s="220">
        <v>213672.66</v>
      </c>
      <c r="J100" s="220">
        <v>309065.53999999998</v>
      </c>
      <c r="K100" s="220">
        <v>211538.41</v>
      </c>
      <c r="L100" s="220">
        <v>220924.78</v>
      </c>
      <c r="M100" s="220">
        <v>224464.39999999999</v>
      </c>
      <c r="N100" s="220">
        <v>238751.31</v>
      </c>
      <c r="O100" s="225">
        <f t="shared" si="384"/>
        <v>2925708.2999999998</v>
      </c>
    </row>
    <row r="101">
      <c r="A101" t="s">
        <v>269</v>
      </c>
      <c r="B101" t="s">
        <v>270</v>
      </c>
      <c r="C101" s="220">
        <v>238891.20000000001</v>
      </c>
      <c r="D101" s="220">
        <v>140944.38</v>
      </c>
      <c r="E101" s="220">
        <v>135657.45000000001</v>
      </c>
      <c r="F101" s="220">
        <v>142917.64000000001</v>
      </c>
      <c r="G101" s="220">
        <v>134297.23000000001</v>
      </c>
      <c r="H101" s="220">
        <v>137742.88</v>
      </c>
      <c r="I101" s="220">
        <v>138233.14000000001</v>
      </c>
      <c r="J101" s="220">
        <v>130417.34</v>
      </c>
      <c r="K101" s="220">
        <v>133322.48999999999</v>
      </c>
      <c r="L101" s="220">
        <v>138155.76999999999</v>
      </c>
      <c r="M101" s="220">
        <v>135955.79999999999</v>
      </c>
      <c r="N101" s="220">
        <v>143482.76999999999</v>
      </c>
      <c r="O101" s="225">
        <f t="shared" si="384"/>
        <v>1750018.0900000001</v>
      </c>
    </row>
    <row r="102">
      <c r="A102" t="s">
        <v>272</v>
      </c>
      <c r="B102" t="s">
        <v>273</v>
      </c>
      <c r="C102" s="220">
        <v>59158</v>
      </c>
      <c r="D102" s="220">
        <v>33245</v>
      </c>
      <c r="E102" s="220">
        <v>31415</v>
      </c>
      <c r="F102" s="220">
        <v>31782</v>
      </c>
      <c r="G102" s="220">
        <v>32069</v>
      </c>
      <c r="H102" s="220">
        <v>31792</v>
      </c>
      <c r="I102" s="220">
        <v>32565</v>
      </c>
      <c r="J102" s="220">
        <v>31565</v>
      </c>
      <c r="K102" s="220">
        <v>31558</v>
      </c>
      <c r="L102" s="220">
        <v>31720</v>
      </c>
      <c r="M102" s="220">
        <v>33620</v>
      </c>
      <c r="N102" s="220">
        <v>35437</v>
      </c>
      <c r="O102" s="225">
        <f t="shared" si="384"/>
        <v>415926</v>
      </c>
    </row>
    <row r="103">
      <c r="A103" t="s">
        <v>276</v>
      </c>
      <c r="B103" t="s">
        <v>277</v>
      </c>
      <c r="C103" s="220">
        <v>3336.8000000000002</v>
      </c>
      <c r="D103" s="220">
        <v>3398.5999999999999</v>
      </c>
      <c r="E103" s="220">
        <v>3251.5999999999999</v>
      </c>
      <c r="F103" s="220">
        <v>3371.3000000000002</v>
      </c>
      <c r="G103" s="220">
        <v>3226</v>
      </c>
      <c r="H103" s="220">
        <v>3311.4000000000001</v>
      </c>
      <c r="I103" s="220">
        <v>3330.9000000000001</v>
      </c>
      <c r="J103" s="220">
        <v>3131.5</v>
      </c>
      <c r="K103" s="220">
        <v>3199.9000000000001</v>
      </c>
      <c r="L103" s="220">
        <v>3332.1999999999998</v>
      </c>
      <c r="M103" s="220">
        <v>3218</v>
      </c>
      <c r="N103" s="220">
        <v>3294.8000000000002</v>
      </c>
      <c r="O103" s="225">
        <f t="shared" si="384"/>
        <v>39403.000000000007</v>
      </c>
    </row>
    <row r="104">
      <c r="A104" t="s">
        <v>279</v>
      </c>
      <c r="B104" t="s">
        <v>280</v>
      </c>
      <c r="C104" s="220">
        <v>570.79999999999995</v>
      </c>
      <c r="D104" s="220">
        <v>579.79999999999995</v>
      </c>
      <c r="E104" s="220">
        <v>553</v>
      </c>
      <c r="F104" s="220">
        <v>571.60000000000002</v>
      </c>
      <c r="G104" s="220">
        <v>549.60000000000002</v>
      </c>
      <c r="H104" s="220">
        <v>565.39999999999998</v>
      </c>
      <c r="I104" s="220">
        <v>568</v>
      </c>
      <c r="J104" s="220">
        <v>532.79999999999995</v>
      </c>
      <c r="K104" s="220">
        <v>543.20000000000005</v>
      </c>
      <c r="L104" s="220">
        <v>566.29999999999995</v>
      </c>
      <c r="M104" s="220">
        <v>548.39999999999998</v>
      </c>
      <c r="N104" s="220">
        <v>561.60000000000002</v>
      </c>
      <c r="O104" s="225">
        <f t="shared" si="384"/>
        <v>6710.5</v>
      </c>
    </row>
    <row r="105">
      <c r="A105" t="s">
        <v>282</v>
      </c>
      <c r="B105" t="s">
        <v>283</v>
      </c>
      <c r="C105" s="220">
        <v>7237.1899999999996</v>
      </c>
      <c r="D105" s="220">
        <v>1258.4000000000001</v>
      </c>
      <c r="E105" s="220">
        <v>1102.5999999999999</v>
      </c>
      <c r="F105" s="220">
        <v>1509.7</v>
      </c>
      <c r="G105" s="220">
        <v>997.04999999999995</v>
      </c>
      <c r="H105" s="220">
        <v>1241</v>
      </c>
      <c r="I105" s="220">
        <v>1104.25</v>
      </c>
      <c r="J105" s="220">
        <v>1011.7</v>
      </c>
      <c r="K105" s="220">
        <v>1058.25</v>
      </c>
      <c r="L105" s="220">
        <v>1134.3</v>
      </c>
      <c r="M105" s="220">
        <v>2164.1500000000001</v>
      </c>
      <c r="N105" s="220">
        <v>2659.5500000000002</v>
      </c>
      <c r="O105" s="225">
        <f t="shared" si="384"/>
        <v>22478.139999999999</v>
      </c>
    </row>
    <row r="106">
      <c r="A106" t="s">
        <v>285</v>
      </c>
      <c r="B106" t="s">
        <v>286</v>
      </c>
      <c r="C106" s="220">
        <v>1432.4300000000001</v>
      </c>
      <c r="D106" s="220">
        <v>1450.6199999999999</v>
      </c>
      <c r="E106" s="220">
        <v>1381.24</v>
      </c>
      <c r="F106" s="220">
        <v>1396.9300000000001</v>
      </c>
      <c r="G106" s="220">
        <v>1408.77</v>
      </c>
      <c r="H106" s="220">
        <v>1383.8399999999999</v>
      </c>
      <c r="I106" s="220">
        <v>1423.3800000000001</v>
      </c>
      <c r="J106" s="220">
        <v>1387.78</v>
      </c>
      <c r="K106" s="220">
        <v>1394.51</v>
      </c>
      <c r="L106" s="220">
        <v>1393.8399999999999</v>
      </c>
      <c r="M106" s="220">
        <v>1409.5999999999999</v>
      </c>
      <c r="N106" s="220">
        <v>1393.5699999999999</v>
      </c>
      <c r="O106" s="225">
        <f t="shared" si="384"/>
        <v>16856.510000000002</v>
      </c>
    </row>
    <row r="107">
      <c r="A107" t="s">
        <v>288</v>
      </c>
      <c r="B107" t="s">
        <v>289</v>
      </c>
      <c r="C107" s="220">
        <v>0</v>
      </c>
      <c r="D107" s="220">
        <v>0</v>
      </c>
      <c r="E107" s="220">
        <v>0</v>
      </c>
      <c r="F107" s="220">
        <v>0</v>
      </c>
      <c r="G107" s="220">
        <v>0</v>
      </c>
      <c r="H107" s="220">
        <v>0</v>
      </c>
      <c r="I107" s="220">
        <v>0</v>
      </c>
      <c r="J107" s="220">
        <v>0</v>
      </c>
      <c r="K107" s="220">
        <v>0</v>
      </c>
      <c r="L107" s="220">
        <v>0</v>
      </c>
      <c r="M107" s="220">
        <v>0</v>
      </c>
      <c r="N107" s="220">
        <v>0</v>
      </c>
      <c r="O107" s="225">
        <f t="shared" si="384"/>
        <v>0</v>
      </c>
    </row>
    <row r="108">
      <c r="A108" t="s">
        <v>291</v>
      </c>
      <c r="B108" t="s">
        <v>292</v>
      </c>
      <c r="C108" s="220">
        <v>320</v>
      </c>
      <c r="D108" s="220">
        <v>320</v>
      </c>
      <c r="E108" s="220">
        <v>320</v>
      </c>
      <c r="F108" s="220">
        <v>320</v>
      </c>
      <c r="G108" s="220">
        <v>320</v>
      </c>
      <c r="H108" s="220">
        <v>320</v>
      </c>
      <c r="I108" s="220">
        <v>320</v>
      </c>
      <c r="J108" s="220">
        <v>320</v>
      </c>
      <c r="K108" s="220">
        <v>320</v>
      </c>
      <c r="L108" s="220">
        <v>320</v>
      </c>
      <c r="M108" s="220">
        <v>320</v>
      </c>
      <c r="N108" s="220">
        <v>320</v>
      </c>
      <c r="O108" s="225">
        <f t="shared" si="384"/>
        <v>3840</v>
      </c>
    </row>
    <row r="109">
      <c r="A109" t="s">
        <v>294</v>
      </c>
      <c r="B109" t="s">
        <v>295</v>
      </c>
      <c r="C109" s="220">
        <v>0</v>
      </c>
      <c r="D109" s="220">
        <v>16238.120000000001</v>
      </c>
      <c r="E109" s="220">
        <v>0</v>
      </c>
      <c r="F109" s="220">
        <v>0</v>
      </c>
      <c r="G109" s="220">
        <v>9481.7700000000004</v>
      </c>
      <c r="H109" s="220">
        <v>0</v>
      </c>
      <c r="I109" s="220">
        <v>0</v>
      </c>
      <c r="J109" s="220">
        <v>18279.299999999999</v>
      </c>
      <c r="K109" s="220">
        <v>0</v>
      </c>
      <c r="L109" s="220">
        <v>0</v>
      </c>
      <c r="M109" s="220">
        <v>0</v>
      </c>
      <c r="N109" s="220">
        <v>0</v>
      </c>
      <c r="O109" s="225">
        <f t="shared" si="384"/>
        <v>43999.190000000002</v>
      </c>
    </row>
    <row r="110">
      <c r="A110" t="s">
        <v>297</v>
      </c>
      <c r="B110" t="s">
        <v>298</v>
      </c>
      <c r="C110" s="220">
        <v>1352</v>
      </c>
      <c r="D110" s="220">
        <v>360</v>
      </c>
      <c r="E110" s="220">
        <v>2594</v>
      </c>
      <c r="F110" s="220">
        <v>0</v>
      </c>
      <c r="G110" s="220">
        <v>6702</v>
      </c>
      <c r="H110" s="220">
        <v>1004</v>
      </c>
      <c r="I110" s="220">
        <v>892</v>
      </c>
      <c r="J110" s="220">
        <v>262</v>
      </c>
      <c r="K110" s="220">
        <v>1558</v>
      </c>
      <c r="L110" s="220">
        <v>210</v>
      </c>
      <c r="M110" s="220">
        <v>1620</v>
      </c>
      <c r="N110" s="220">
        <v>3820</v>
      </c>
      <c r="O110" s="225">
        <f t="shared" si="384"/>
        <v>20374</v>
      </c>
    </row>
    <row r="111">
      <c r="A111" t="s">
        <v>300</v>
      </c>
      <c r="B111" t="s">
        <v>301</v>
      </c>
      <c r="C111" s="220">
        <v>37126.949999999997</v>
      </c>
      <c r="D111" s="220">
        <v>36503.860000000001</v>
      </c>
      <c r="E111" s="220">
        <v>30796.169999999998</v>
      </c>
      <c r="F111" s="220">
        <v>34376.949999999997</v>
      </c>
      <c r="G111" s="220">
        <v>32873.059999999998</v>
      </c>
      <c r="H111" s="220">
        <v>32303.869999999999</v>
      </c>
      <c r="I111" s="220">
        <v>32362.490000000002</v>
      </c>
      <c r="J111" s="220">
        <v>33392.32</v>
      </c>
      <c r="K111" s="220">
        <v>28830.799999999999</v>
      </c>
      <c r="L111" s="220">
        <v>35049.980000000003</v>
      </c>
      <c r="M111" s="220">
        <v>34223.099999999999</v>
      </c>
      <c r="N111" s="220">
        <v>33296.150000000001</v>
      </c>
      <c r="O111" s="225">
        <f t="shared" si="384"/>
        <v>401135.69999999995</v>
      </c>
    </row>
    <row r="112">
      <c r="A112" t="s">
        <v>303</v>
      </c>
      <c r="B112" t="s">
        <v>304</v>
      </c>
      <c r="C112" s="220">
        <v>354.89999999999998</v>
      </c>
      <c r="D112" s="220">
        <v>0</v>
      </c>
      <c r="E112" s="220">
        <v>0</v>
      </c>
      <c r="F112" s="220">
        <v>0</v>
      </c>
      <c r="G112" s="220">
        <v>0</v>
      </c>
      <c r="H112" s="220">
        <v>0</v>
      </c>
      <c r="I112" s="220">
        <v>0</v>
      </c>
      <c r="J112" s="220">
        <v>0</v>
      </c>
      <c r="K112" s="220">
        <v>0</v>
      </c>
      <c r="L112" s="220">
        <v>383.39999999999998</v>
      </c>
      <c r="M112" s="220">
        <v>500</v>
      </c>
      <c r="N112" s="220">
        <v>613</v>
      </c>
      <c r="O112" s="225">
        <f t="shared" si="384"/>
        <v>1851.3</v>
      </c>
    </row>
    <row r="113">
      <c r="A113" t="s">
        <v>306</v>
      </c>
      <c r="B113" t="s">
        <v>307</v>
      </c>
      <c r="C113" s="220">
        <v>0</v>
      </c>
      <c r="D113" s="220">
        <v>0</v>
      </c>
      <c r="E113" s="220">
        <v>0</v>
      </c>
      <c r="F113" s="220">
        <v>0</v>
      </c>
      <c r="G113" s="220">
        <v>0</v>
      </c>
      <c r="H113" s="220">
        <v>0</v>
      </c>
      <c r="I113" s="220">
        <v>0</v>
      </c>
      <c r="J113" s="220">
        <v>0</v>
      </c>
      <c r="K113" s="220">
        <v>0</v>
      </c>
      <c r="L113" s="220">
        <v>0</v>
      </c>
      <c r="M113" s="220">
        <v>4000</v>
      </c>
      <c r="N113" s="220">
        <v>0</v>
      </c>
      <c r="O113" s="225">
        <f t="shared" si="384"/>
        <v>4000</v>
      </c>
    </row>
    <row r="114">
      <c r="A114" t="s">
        <v>309</v>
      </c>
      <c r="B114" t="s">
        <v>310</v>
      </c>
      <c r="C114" s="220">
        <v>7218</v>
      </c>
      <c r="D114" s="220">
        <v>7203.6000000000004</v>
      </c>
      <c r="E114" s="220">
        <v>2077.3000000000002</v>
      </c>
      <c r="F114" s="220">
        <v>1180</v>
      </c>
      <c r="G114" s="220">
        <v>1893.1199999999999</v>
      </c>
      <c r="H114" s="220">
        <v>1508</v>
      </c>
      <c r="I114" s="220">
        <v>459.5</v>
      </c>
      <c r="J114" s="220">
        <v>2506.1999999999998</v>
      </c>
      <c r="K114" s="220">
        <v>913</v>
      </c>
      <c r="L114" s="220">
        <v>913</v>
      </c>
      <c r="M114" s="220">
        <v>1095.0999999999999</v>
      </c>
      <c r="N114" s="220">
        <v>1594.4000000000001</v>
      </c>
      <c r="O114" s="225">
        <f t="shared" si="384"/>
        <v>28561.220000000001</v>
      </c>
    </row>
    <row r="115">
      <c r="A115" t="s">
        <v>312</v>
      </c>
      <c r="B115" t="s">
        <v>313</v>
      </c>
      <c r="C115" s="220">
        <v>-544</v>
      </c>
      <c r="D115" s="220">
        <v>-268</v>
      </c>
      <c r="E115" s="220">
        <v>-100</v>
      </c>
      <c r="F115" s="220">
        <v>0</v>
      </c>
      <c r="G115" s="220">
        <v>0</v>
      </c>
      <c r="H115" s="220">
        <v>0</v>
      </c>
      <c r="I115" s="220">
        <v>0</v>
      </c>
      <c r="J115" s="220">
        <v>0</v>
      </c>
      <c r="K115" s="220">
        <v>0</v>
      </c>
      <c r="L115" s="220">
        <v>0</v>
      </c>
      <c r="M115" s="220">
        <v>0</v>
      </c>
      <c r="N115" s="220">
        <v>912</v>
      </c>
      <c r="O115" s="225">
        <f t="shared" si="384"/>
        <v>0</v>
      </c>
    </row>
    <row r="116">
      <c r="A116" t="s">
        <v>315</v>
      </c>
      <c r="B116" t="s">
        <v>316</v>
      </c>
      <c r="C116" s="220">
        <v>0</v>
      </c>
      <c r="D116" s="220">
        <v>0</v>
      </c>
      <c r="E116" s="220">
        <v>0</v>
      </c>
      <c r="F116" s="220">
        <v>0</v>
      </c>
      <c r="G116" s="220">
        <v>0</v>
      </c>
      <c r="H116" s="220">
        <v>0</v>
      </c>
      <c r="I116" s="220">
        <v>0</v>
      </c>
      <c r="J116" s="220">
        <v>647.10000000000002</v>
      </c>
      <c r="K116" s="220">
        <v>0</v>
      </c>
      <c r="L116" s="220">
        <v>0</v>
      </c>
      <c r="M116" s="220">
        <v>129.80000000000001</v>
      </c>
      <c r="N116" s="220">
        <v>565.39999999999998</v>
      </c>
      <c r="O116" s="225">
        <f t="shared" si="384"/>
        <v>1342.3000000000002</v>
      </c>
    </row>
    <row r="117">
      <c r="A117" t="s">
        <v>318</v>
      </c>
      <c r="B117" t="s">
        <v>319</v>
      </c>
      <c r="C117" s="220">
        <v>0</v>
      </c>
      <c r="D117" s="220">
        <v>0</v>
      </c>
      <c r="E117" s="220">
        <v>0</v>
      </c>
      <c r="F117" s="220">
        <v>0</v>
      </c>
      <c r="G117" s="220">
        <v>0</v>
      </c>
      <c r="H117" s="220">
        <v>0</v>
      </c>
      <c r="I117" s="220">
        <v>0</v>
      </c>
      <c r="J117" s="220">
        <v>0</v>
      </c>
      <c r="K117" s="220">
        <v>0</v>
      </c>
      <c r="L117" s="220">
        <v>0</v>
      </c>
      <c r="M117" s="220">
        <v>0</v>
      </c>
      <c r="N117" s="220">
        <v>0</v>
      </c>
      <c r="O117" s="225">
        <f t="shared" si="384"/>
        <v>0</v>
      </c>
    </row>
    <row r="118">
      <c r="A118" t="s">
        <v>321</v>
      </c>
      <c r="B118" t="s">
        <v>322</v>
      </c>
      <c r="C118" s="220">
        <v>0</v>
      </c>
      <c r="D118" s="221">
        <v>-534.25</v>
      </c>
      <c r="E118" s="221">
        <v>-679.01999999999998</v>
      </c>
      <c r="F118" s="221">
        <v>0</v>
      </c>
      <c r="G118" s="221">
        <v>0</v>
      </c>
      <c r="H118" s="221">
        <v>0</v>
      </c>
      <c r="I118" s="221">
        <v>0</v>
      </c>
      <c r="J118" s="220">
        <v>78859.100000000006</v>
      </c>
      <c r="K118" s="220">
        <v>169.75999999999999</v>
      </c>
      <c r="L118" s="220">
        <v>-50.439999999999998</v>
      </c>
      <c r="M118" s="220">
        <v>0</v>
      </c>
      <c r="N118" s="220">
        <v>1437.5799999999999</v>
      </c>
      <c r="O118" s="225">
        <f t="shared" si="384"/>
        <v>79202.729999999996</v>
      </c>
    </row>
    <row r="119">
      <c r="A119" t="s">
        <v>324</v>
      </c>
      <c r="B119" t="s">
        <v>325</v>
      </c>
      <c r="C119" s="220">
        <v>600</v>
      </c>
      <c r="D119" s="221">
        <v>600</v>
      </c>
      <c r="E119" s="221">
        <v>540</v>
      </c>
      <c r="F119" s="221">
        <v>450</v>
      </c>
      <c r="G119" s="221">
        <v>720</v>
      </c>
      <c r="H119" s="221">
        <v>350</v>
      </c>
      <c r="I119" s="221">
        <v>670</v>
      </c>
      <c r="J119" s="220">
        <v>510</v>
      </c>
      <c r="K119" s="220">
        <v>442.39999999999998</v>
      </c>
      <c r="L119" s="220">
        <v>760</v>
      </c>
      <c r="M119" s="220">
        <v>510</v>
      </c>
      <c r="N119" s="220">
        <v>460</v>
      </c>
      <c r="O119" s="225">
        <f t="shared" si="384"/>
        <v>6612.3999999999996</v>
      </c>
    </row>
    <row r="120">
      <c r="A120" t="s">
        <v>327</v>
      </c>
      <c r="B120" t="s">
        <v>328</v>
      </c>
      <c r="C120" s="220">
        <v>-1350</v>
      </c>
      <c r="D120" s="220">
        <v>-300</v>
      </c>
      <c r="E120" s="220">
        <v>-750</v>
      </c>
      <c r="F120" s="220">
        <v>0</v>
      </c>
      <c r="G120" s="220">
        <v>0</v>
      </c>
      <c r="H120" s="220">
        <v>0</v>
      </c>
      <c r="I120" s="220">
        <v>0</v>
      </c>
      <c r="J120" s="220">
        <v>0</v>
      </c>
      <c r="K120" s="220">
        <v>0</v>
      </c>
      <c r="L120" s="220">
        <v>0</v>
      </c>
      <c r="M120" s="220">
        <v>0</v>
      </c>
      <c r="N120" s="220">
        <v>2400</v>
      </c>
      <c r="O120" s="225">
        <f t="shared" si="384"/>
        <v>0</v>
      </c>
    </row>
    <row r="121">
      <c r="A121" t="s">
        <v>330</v>
      </c>
      <c r="B121" t="s">
        <v>331</v>
      </c>
      <c r="C121" s="220">
        <v>0</v>
      </c>
      <c r="D121" s="220">
        <v>0</v>
      </c>
      <c r="E121" s="220">
        <v>128</v>
      </c>
      <c r="F121" s="220">
        <v>0</v>
      </c>
      <c r="G121" s="220">
        <v>0</v>
      </c>
      <c r="H121" s="220">
        <v>0</v>
      </c>
      <c r="I121" s="220">
        <v>0</v>
      </c>
      <c r="J121" s="220">
        <v>0</v>
      </c>
      <c r="K121" s="220">
        <v>0</v>
      </c>
      <c r="L121" s="220">
        <v>0</v>
      </c>
      <c r="M121" s="220">
        <v>0</v>
      </c>
      <c r="N121" s="220">
        <v>0</v>
      </c>
      <c r="O121" s="225">
        <f t="shared" si="384"/>
        <v>128</v>
      </c>
    </row>
    <row r="122">
      <c r="A122" t="s">
        <v>333</v>
      </c>
      <c r="B122" t="s">
        <v>334</v>
      </c>
      <c r="C122" s="220">
        <v>0</v>
      </c>
      <c r="D122" s="221">
        <v>0</v>
      </c>
      <c r="E122" s="221">
        <v>0</v>
      </c>
      <c r="F122" s="221">
        <v>0</v>
      </c>
      <c r="G122" s="221">
        <v>0</v>
      </c>
      <c r="H122" s="221">
        <v>0</v>
      </c>
      <c r="I122" s="221">
        <v>0</v>
      </c>
      <c r="J122" s="220">
        <v>915</v>
      </c>
      <c r="K122" s="220">
        <v>0</v>
      </c>
      <c r="L122" s="220">
        <v>0</v>
      </c>
      <c r="M122" s="220">
        <v>0</v>
      </c>
      <c r="N122" s="220">
        <v>3148</v>
      </c>
      <c r="O122" s="225">
        <f t="shared" si="384"/>
        <v>4063</v>
      </c>
    </row>
    <row r="123">
      <c r="A123" t="s">
        <v>336</v>
      </c>
      <c r="B123" t="s">
        <v>337</v>
      </c>
      <c r="C123" s="220">
        <v>0</v>
      </c>
      <c r="D123" s="220">
        <v>0</v>
      </c>
      <c r="E123" s="220">
        <v>9613.7000000000007</v>
      </c>
      <c r="F123" s="220">
        <v>0</v>
      </c>
      <c r="G123" s="220">
        <v>0</v>
      </c>
      <c r="H123" s="220">
        <v>0</v>
      </c>
      <c r="I123" s="220">
        <v>22</v>
      </c>
      <c r="J123" s="220">
        <v>0</v>
      </c>
      <c r="K123" s="220">
        <v>3032.6999999999998</v>
      </c>
      <c r="L123" s="220">
        <v>0</v>
      </c>
      <c r="M123" s="220">
        <v>20.199999999999999</v>
      </c>
      <c r="N123" s="220">
        <v>-5400</v>
      </c>
      <c r="O123" s="225">
        <f t="shared" si="384"/>
        <v>7288.6000000000022</v>
      </c>
    </row>
    <row r="124">
      <c r="A124" t="s">
        <v>339</v>
      </c>
      <c r="B124" t="s">
        <v>340</v>
      </c>
      <c r="C124" s="220">
        <v>0</v>
      </c>
      <c r="D124" s="220">
        <v>0</v>
      </c>
      <c r="E124" s="220">
        <v>0</v>
      </c>
      <c r="F124" s="220">
        <v>0</v>
      </c>
      <c r="G124" s="220">
        <v>0</v>
      </c>
      <c r="H124" s="220">
        <v>0</v>
      </c>
      <c r="I124" s="220">
        <v>0</v>
      </c>
      <c r="J124" s="220">
        <v>0</v>
      </c>
      <c r="K124" s="220">
        <v>0</v>
      </c>
      <c r="L124" s="220">
        <v>0</v>
      </c>
      <c r="M124" s="220">
        <v>0</v>
      </c>
      <c r="N124" s="220">
        <v>0</v>
      </c>
      <c r="O124" s="225">
        <f t="shared" si="384"/>
        <v>0</v>
      </c>
    </row>
    <row r="125">
      <c r="A125" t="s">
        <v>342</v>
      </c>
      <c r="B125" t="s">
        <v>343</v>
      </c>
      <c r="C125" s="220">
        <v>0</v>
      </c>
      <c r="D125" s="220">
        <v>0</v>
      </c>
      <c r="E125" s="220">
        <v>0</v>
      </c>
      <c r="F125" s="220">
        <v>0</v>
      </c>
      <c r="G125" s="220">
        <v>0</v>
      </c>
      <c r="H125" s="220">
        <v>0</v>
      </c>
      <c r="I125" s="220">
        <v>0</v>
      </c>
      <c r="J125" s="220">
        <v>230</v>
      </c>
      <c r="K125" s="220">
        <v>144.63</v>
      </c>
      <c r="L125" s="220">
        <v>0</v>
      </c>
      <c r="M125" s="220">
        <v>0</v>
      </c>
      <c r="N125" s="220">
        <v>0</v>
      </c>
      <c r="O125" s="225">
        <f t="shared" si="384"/>
        <v>374.63</v>
      </c>
    </row>
    <row r="126">
      <c r="A126" t="s">
        <v>345</v>
      </c>
      <c r="B126" t="s">
        <v>346</v>
      </c>
      <c r="C126" s="220">
        <v>0</v>
      </c>
      <c r="D126" s="220">
        <v>0</v>
      </c>
      <c r="E126" s="220">
        <v>0</v>
      </c>
      <c r="F126" s="220">
        <v>0</v>
      </c>
      <c r="G126" s="220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1976.3699999999999</v>
      </c>
      <c r="M126" s="220">
        <v>0</v>
      </c>
      <c r="N126" s="220">
        <v>0</v>
      </c>
      <c r="O126" s="225">
        <f t="shared" si="384"/>
        <v>1976.3699999999999</v>
      </c>
    </row>
    <row r="127">
      <c r="A127" t="s">
        <v>348</v>
      </c>
      <c r="B127" t="s">
        <v>349</v>
      </c>
      <c r="C127" s="220">
        <v>3225.7399999999998</v>
      </c>
      <c r="D127" s="220">
        <v>2624.79</v>
      </c>
      <c r="E127" s="220">
        <v>3409.9400000000001</v>
      </c>
      <c r="F127" s="220">
        <v>2753.1900000000001</v>
      </c>
      <c r="G127" s="220">
        <v>3004.46</v>
      </c>
      <c r="H127" s="220">
        <v>2785.5300000000002</v>
      </c>
      <c r="I127" s="220">
        <v>0</v>
      </c>
      <c r="J127" s="220">
        <v>3014.4000000000001</v>
      </c>
      <c r="K127" s="220">
        <v>2979.77</v>
      </c>
      <c r="L127" s="220">
        <v>2877.0599999999999</v>
      </c>
      <c r="M127" s="220">
        <v>3017.25</v>
      </c>
      <c r="N127" s="220">
        <v>6486.4899999999998</v>
      </c>
      <c r="O127" s="225">
        <f t="shared" si="384"/>
        <v>36178.620000000003</v>
      </c>
    </row>
    <row r="128">
      <c r="A128" t="s">
        <v>351</v>
      </c>
      <c r="B128" t="s">
        <v>352</v>
      </c>
      <c r="C128" s="220">
        <v>154</v>
      </c>
      <c r="D128" s="220">
        <v>170</v>
      </c>
      <c r="E128" s="220">
        <v>2142</v>
      </c>
      <c r="F128" s="220">
        <v>0</v>
      </c>
      <c r="G128" s="220">
        <v>0</v>
      </c>
      <c r="H128" s="220">
        <v>7080</v>
      </c>
      <c r="I128" s="220">
        <v>-178</v>
      </c>
      <c r="J128" s="220">
        <v>184</v>
      </c>
      <c r="K128" s="220">
        <v>171</v>
      </c>
      <c r="L128" s="220">
        <v>283</v>
      </c>
      <c r="M128" s="220">
        <v>213</v>
      </c>
      <c r="N128" s="220">
        <v>369</v>
      </c>
      <c r="O128" s="225">
        <f t="shared" si="384"/>
        <v>10588</v>
      </c>
    </row>
    <row r="129">
      <c r="A129" t="s">
        <v>354</v>
      </c>
      <c r="B129" t="s">
        <v>355</v>
      </c>
      <c r="C129" s="220">
        <v>1900</v>
      </c>
      <c r="D129" s="220">
        <v>1900</v>
      </c>
      <c r="E129" s="220">
        <v>1900</v>
      </c>
      <c r="F129" s="220">
        <v>1900</v>
      </c>
      <c r="G129" s="220">
        <v>1900</v>
      </c>
      <c r="H129" s="220">
        <v>1900</v>
      </c>
      <c r="I129" s="220">
        <v>1900</v>
      </c>
      <c r="J129" s="220">
        <v>1900</v>
      </c>
      <c r="K129" s="220">
        <v>1900</v>
      </c>
      <c r="L129" s="220">
        <v>1900</v>
      </c>
      <c r="M129" s="220">
        <v>1900</v>
      </c>
      <c r="N129" s="220">
        <v>1900</v>
      </c>
      <c r="O129" s="225">
        <f t="shared" si="384"/>
        <v>22800</v>
      </c>
    </row>
    <row r="130">
      <c r="A130" t="s">
        <v>590</v>
      </c>
      <c r="B130" t="s">
        <v>360</v>
      </c>
      <c r="C130" s="220">
        <v>4.5</v>
      </c>
      <c r="D130" s="220">
        <v>1.5</v>
      </c>
      <c r="E130" s="220">
        <v>0</v>
      </c>
      <c r="F130" s="220">
        <v>7</v>
      </c>
      <c r="G130" s="220">
        <v>100</v>
      </c>
      <c r="H130" s="220">
        <v>3.7000000000000002</v>
      </c>
      <c r="I130" s="220">
        <v>4394.6999999999998</v>
      </c>
      <c r="J130" s="220">
        <v>7.2000000000000002</v>
      </c>
      <c r="K130" s="220">
        <v>3.5</v>
      </c>
      <c r="L130" s="220">
        <v>16.460000000000001</v>
      </c>
      <c r="M130" s="220">
        <v>7</v>
      </c>
      <c r="N130" s="220">
        <v>7</v>
      </c>
      <c r="O130" s="225">
        <f t="shared" si="384"/>
        <v>4552.5599999999995</v>
      </c>
    </row>
    <row r="131">
      <c r="A131" t="s">
        <v>591</v>
      </c>
      <c r="B131" t="s">
        <v>364</v>
      </c>
      <c r="C131" s="220">
        <v>4.5</v>
      </c>
      <c r="D131" s="220">
        <v>1.5</v>
      </c>
      <c r="E131" s="220">
        <v>0</v>
      </c>
      <c r="F131" s="220">
        <v>7</v>
      </c>
      <c r="G131" s="220">
        <v>100</v>
      </c>
      <c r="H131" s="220">
        <v>3.7000000000000002</v>
      </c>
      <c r="I131" s="220">
        <v>20.699999999999999</v>
      </c>
      <c r="J131" s="220">
        <v>7.2000000000000002</v>
      </c>
      <c r="K131" s="220">
        <v>3.5</v>
      </c>
      <c r="L131" s="220">
        <v>16.460000000000001</v>
      </c>
      <c r="M131" s="220">
        <v>7</v>
      </c>
      <c r="N131" s="220">
        <v>7</v>
      </c>
      <c r="O131" s="225">
        <f t="shared" si="384"/>
        <v>178.56</v>
      </c>
    </row>
    <row r="132">
      <c r="A132" t="s">
        <v>592</v>
      </c>
      <c r="B132" t="s">
        <v>368</v>
      </c>
      <c r="C132" s="220">
        <v>0</v>
      </c>
      <c r="D132" s="221">
        <v>0</v>
      </c>
      <c r="E132" s="221">
        <v>0</v>
      </c>
      <c r="F132" s="221">
        <v>0</v>
      </c>
      <c r="G132" s="221">
        <v>0</v>
      </c>
      <c r="H132" s="221">
        <v>0</v>
      </c>
      <c r="I132" s="221">
        <v>4374</v>
      </c>
      <c r="J132" s="220">
        <v>0</v>
      </c>
      <c r="K132" s="220">
        <v>0</v>
      </c>
      <c r="L132" s="220">
        <v>0</v>
      </c>
      <c r="M132" s="220">
        <v>0</v>
      </c>
      <c r="N132" s="220">
        <v>0</v>
      </c>
      <c r="O132" s="225">
        <f t="shared" ref="O132" si="385">SUM(C132:N132)</f>
        <v>4374</v>
      </c>
    </row>
    <row r="133">
      <c r="A133" t="s">
        <v>593</v>
      </c>
      <c r="B133" t="s">
        <v>372</v>
      </c>
      <c r="C133" s="220">
        <v>0</v>
      </c>
      <c r="D133" s="220">
        <v>0</v>
      </c>
      <c r="E133" s="220">
        <v>0</v>
      </c>
      <c r="F133" s="220">
        <v>0</v>
      </c>
      <c r="G133" s="220">
        <v>0</v>
      </c>
      <c r="H133" s="220">
        <v>0</v>
      </c>
      <c r="I133" s="220">
        <v>0</v>
      </c>
      <c r="J133" s="220">
        <v>0</v>
      </c>
      <c r="K133" s="220">
        <v>0</v>
      </c>
      <c r="L133" s="220">
        <v>0</v>
      </c>
      <c r="M133" s="220">
        <v>0</v>
      </c>
      <c r="N133" s="220">
        <v>1128392.95</v>
      </c>
      <c r="O133" s="225">
        <f t="shared" ref="O133:O196" si="386">SUM(C133:N133)</f>
        <v>1128392.95</v>
      </c>
    </row>
    <row r="134">
      <c r="A134" t="s">
        <v>594</v>
      </c>
      <c r="B134" t="s">
        <v>375</v>
      </c>
      <c r="C134" s="220">
        <v>147799.57999999999</v>
      </c>
      <c r="D134" s="220">
        <v>159557.76999999999</v>
      </c>
      <c r="E134" s="220">
        <v>146591.38</v>
      </c>
      <c r="F134" s="220">
        <v>153932</v>
      </c>
      <c r="G134" s="220">
        <v>174357.29999999999</v>
      </c>
      <c r="H134" s="220">
        <v>150910.54000000001</v>
      </c>
      <c r="I134" s="220">
        <v>186400.29999999999</v>
      </c>
      <c r="J134" s="220">
        <v>144814.39000000001</v>
      </c>
      <c r="K134" s="220">
        <v>186733.63</v>
      </c>
      <c r="L134" s="220">
        <v>174755.81</v>
      </c>
      <c r="M134" s="220">
        <v>143011.95000000001</v>
      </c>
      <c r="N134" s="220">
        <v>183303.13</v>
      </c>
      <c r="O134" s="225">
        <f t="shared" si="386"/>
        <v>1952167.7800000003</v>
      </c>
    </row>
    <row r="135">
      <c r="A135" t="s">
        <v>595</v>
      </c>
      <c r="B135" t="s">
        <v>379</v>
      </c>
      <c r="C135" s="220">
        <v>159.69999999999999</v>
      </c>
      <c r="D135" s="220">
        <v>0</v>
      </c>
      <c r="E135" s="220">
        <v>80.019999999999996</v>
      </c>
      <c r="F135" s="220">
        <v>0</v>
      </c>
      <c r="G135" s="220">
        <v>0</v>
      </c>
      <c r="H135" s="220">
        <v>0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5">
        <f t="shared" si="386"/>
        <v>239.71999999999997</v>
      </c>
    </row>
    <row r="136">
      <c r="A136" t="s">
        <v>596</v>
      </c>
      <c r="B136" t="s">
        <v>383</v>
      </c>
      <c r="C136" s="220">
        <v>6000</v>
      </c>
      <c r="D136" s="221">
        <v>0</v>
      </c>
      <c r="E136" s="221">
        <v>0</v>
      </c>
      <c r="F136" s="221">
        <v>81.599999999999994</v>
      </c>
      <c r="G136" s="221">
        <v>0</v>
      </c>
      <c r="H136" s="221">
        <v>0</v>
      </c>
      <c r="I136" s="221">
        <v>0</v>
      </c>
      <c r="J136" s="220">
        <v>0</v>
      </c>
      <c r="K136" s="220">
        <v>0</v>
      </c>
      <c r="L136" s="220">
        <v>0</v>
      </c>
      <c r="M136" s="220">
        <v>0</v>
      </c>
      <c r="N136" s="220">
        <v>6000</v>
      </c>
      <c r="O136" s="225">
        <f t="shared" si="386"/>
        <v>12081.6</v>
      </c>
    </row>
    <row r="137">
      <c r="A137" t="s">
        <v>597</v>
      </c>
      <c r="B137" t="s">
        <v>387</v>
      </c>
      <c r="C137" s="220">
        <v>0</v>
      </c>
      <c r="D137" s="221">
        <v>0</v>
      </c>
      <c r="E137" s="221">
        <v>0</v>
      </c>
      <c r="F137" s="221">
        <v>0</v>
      </c>
      <c r="G137" s="221">
        <v>0</v>
      </c>
      <c r="H137" s="221">
        <v>0</v>
      </c>
      <c r="I137" s="221">
        <v>0</v>
      </c>
      <c r="J137" s="220">
        <v>0</v>
      </c>
      <c r="K137" s="220">
        <v>0</v>
      </c>
      <c r="L137" s="220">
        <v>0</v>
      </c>
      <c r="M137" s="220">
        <v>0</v>
      </c>
      <c r="N137" s="220">
        <v>0</v>
      </c>
      <c r="O137" s="225">
        <f t="shared" si="386"/>
        <v>0</v>
      </c>
    </row>
    <row r="138">
      <c r="A138" t="s">
        <v>598</v>
      </c>
      <c r="B138" t="s">
        <v>391</v>
      </c>
      <c r="C138" s="220">
        <v>0</v>
      </c>
      <c r="D138" s="220">
        <v>52</v>
      </c>
      <c r="E138" s="220">
        <v>150.24000000000001</v>
      </c>
      <c r="F138" s="220">
        <v>7.9000000000000004</v>
      </c>
      <c r="G138" s="220">
        <v>15.800000000000001</v>
      </c>
      <c r="H138" s="220">
        <v>40</v>
      </c>
      <c r="I138" s="220">
        <v>0</v>
      </c>
      <c r="J138" s="220">
        <v>0</v>
      </c>
      <c r="K138" s="220">
        <v>7.8499999999999996</v>
      </c>
      <c r="L138" s="220">
        <v>111.45</v>
      </c>
      <c r="M138" s="220">
        <v>37.200000000000003</v>
      </c>
      <c r="N138" s="220">
        <v>15.6</v>
      </c>
      <c r="O138" s="225">
        <f t="shared" si="386"/>
        <v>438.04000000000008</v>
      </c>
    </row>
    <row r="139">
      <c r="A139" t="s">
        <v>599</v>
      </c>
      <c r="B139" t="s">
        <v>395</v>
      </c>
      <c r="C139" s="220">
        <v>916.19000000000005</v>
      </c>
      <c r="D139" s="220">
        <v>1182.9100000000001</v>
      </c>
      <c r="E139" s="220">
        <v>2374.1900000000001</v>
      </c>
      <c r="F139" s="220">
        <v>2453.3299999999999</v>
      </c>
      <c r="G139" s="220">
        <v>2645.3200000000002</v>
      </c>
      <c r="H139" s="220">
        <v>2880</v>
      </c>
      <c r="I139" s="220">
        <v>2890.3200000000002</v>
      </c>
      <c r="J139" s="220">
        <v>3096.77</v>
      </c>
      <c r="K139" s="220">
        <v>2986.6700000000001</v>
      </c>
      <c r="L139" s="220">
        <v>2990.0999999999999</v>
      </c>
      <c r="M139" s="220">
        <v>3200</v>
      </c>
      <c r="N139" s="220">
        <v>3200</v>
      </c>
      <c r="O139" s="225">
        <f t="shared" si="386"/>
        <v>30815.799999999996</v>
      </c>
    </row>
    <row r="140">
      <c r="A140" t="s">
        <v>600</v>
      </c>
      <c r="B140" t="s">
        <v>399</v>
      </c>
      <c r="C140" s="220">
        <v>7014.75</v>
      </c>
      <c r="D140" s="220">
        <v>3711.2399999999998</v>
      </c>
      <c r="E140" s="220">
        <v>4715.54</v>
      </c>
      <c r="F140" s="220">
        <v>4242.0900000000001</v>
      </c>
      <c r="G140" s="220">
        <v>5805.8400000000001</v>
      </c>
      <c r="H140" s="220">
        <v>10217.24</v>
      </c>
      <c r="I140" s="220">
        <v>4635.8400000000001</v>
      </c>
      <c r="J140" s="220">
        <v>4484.2399999999998</v>
      </c>
      <c r="K140" s="220">
        <v>6144.6400000000003</v>
      </c>
      <c r="L140" s="220">
        <v>5147.2399999999998</v>
      </c>
      <c r="M140" s="220">
        <v>8890.1399999999994</v>
      </c>
      <c r="N140" s="220">
        <v>8074.6400000000003</v>
      </c>
      <c r="O140" s="225">
        <f t="shared" si="386"/>
        <v>73083.439999999988</v>
      </c>
    </row>
    <row r="141">
      <c r="A141" t="s">
        <v>601</v>
      </c>
      <c r="B141" t="s">
        <v>403</v>
      </c>
      <c r="C141" s="220">
        <v>516.5</v>
      </c>
      <c r="D141" s="221">
        <v>0</v>
      </c>
      <c r="E141" s="221">
        <v>119</v>
      </c>
      <c r="F141" s="221">
        <v>375</v>
      </c>
      <c r="G141" s="221">
        <v>923</v>
      </c>
      <c r="H141" s="221">
        <v>120</v>
      </c>
      <c r="I141" s="221">
        <v>0</v>
      </c>
      <c r="J141" s="220">
        <v>977.39999999999998</v>
      </c>
      <c r="K141" s="220">
        <v>212</v>
      </c>
      <c r="L141" s="220">
        <v>0</v>
      </c>
      <c r="M141" s="220">
        <v>484.30000000000001</v>
      </c>
      <c r="N141" s="220">
        <v>4906.3999999999996</v>
      </c>
      <c r="O141" s="225">
        <f t="shared" si="386"/>
        <v>8633.6000000000004</v>
      </c>
    </row>
    <row r="142">
      <c r="A142" t="s">
        <v>602</v>
      </c>
      <c r="B142" t="s">
        <v>407</v>
      </c>
      <c r="C142" s="220">
        <v>0</v>
      </c>
      <c r="D142" s="220">
        <v>0</v>
      </c>
      <c r="E142" s="220">
        <v>0</v>
      </c>
      <c r="F142" s="220">
        <v>0</v>
      </c>
      <c r="G142" s="220">
        <v>0</v>
      </c>
      <c r="H142" s="220">
        <v>0</v>
      </c>
      <c r="I142" s="220">
        <v>0</v>
      </c>
      <c r="J142" s="220">
        <v>0</v>
      </c>
      <c r="K142" s="220">
        <v>0</v>
      </c>
      <c r="L142" s="220">
        <v>0</v>
      </c>
      <c r="M142" s="220">
        <v>0</v>
      </c>
      <c r="N142" s="220">
        <v>9097.7199999999993</v>
      </c>
      <c r="O142" s="225">
        <f t="shared" si="386"/>
        <v>9097.7199999999993</v>
      </c>
    </row>
    <row r="143">
      <c r="A143" t="s">
        <v>603</v>
      </c>
      <c r="B143" t="s">
        <v>604</v>
      </c>
      <c r="C143" s="220">
        <v>0</v>
      </c>
      <c r="D143" s="220">
        <v>0</v>
      </c>
      <c r="E143" s="220">
        <v>0</v>
      </c>
      <c r="F143" s="220">
        <v>0</v>
      </c>
      <c r="G143" s="220">
        <v>0</v>
      </c>
      <c r="H143" s="220">
        <v>0</v>
      </c>
      <c r="I143" s="220">
        <v>0</v>
      </c>
      <c r="J143" s="220">
        <v>0</v>
      </c>
      <c r="K143" s="220">
        <v>18242.279999999999</v>
      </c>
      <c r="L143" s="220">
        <v>0</v>
      </c>
      <c r="M143" s="220">
        <v>0</v>
      </c>
      <c r="N143" s="220">
        <v>0</v>
      </c>
      <c r="O143" s="225">
        <f t="shared" si="386"/>
        <v>18242.279999999999</v>
      </c>
    </row>
    <row r="144">
      <c r="A144" t="s">
        <v>605</v>
      </c>
      <c r="B144" t="s">
        <v>411</v>
      </c>
      <c r="C144" s="220">
        <v>0</v>
      </c>
      <c r="D144" s="220">
        <v>0</v>
      </c>
      <c r="E144" s="220">
        <v>0</v>
      </c>
      <c r="F144" s="220">
        <v>0</v>
      </c>
      <c r="G144" s="220">
        <v>0</v>
      </c>
      <c r="H144" s="220">
        <v>0</v>
      </c>
      <c r="I144" s="220">
        <v>0</v>
      </c>
      <c r="J144" s="220">
        <v>0</v>
      </c>
      <c r="K144" s="220">
        <v>18242.279999999999</v>
      </c>
      <c r="L144" s="220">
        <v>0</v>
      </c>
      <c r="M144" s="220">
        <v>0</v>
      </c>
      <c r="N144" s="220">
        <v>0</v>
      </c>
      <c r="O144" s="225">
        <f t="shared" si="386"/>
        <v>18242.279999999999</v>
      </c>
    </row>
    <row r="145">
      <c r="A145" t="s">
        <v>357</v>
      </c>
      <c r="B145" t="s">
        <v>358</v>
      </c>
      <c r="C145" s="220">
        <v>0</v>
      </c>
      <c r="D145" s="220">
        <v>0</v>
      </c>
      <c r="E145" s="220">
        <v>0</v>
      </c>
      <c r="F145" s="220">
        <v>0</v>
      </c>
      <c r="G145" s="220">
        <v>0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20">
        <v>0</v>
      </c>
      <c r="N145" s="220">
        <v>0</v>
      </c>
      <c r="O145" s="225">
        <f t="shared" si="386"/>
        <v>0</v>
      </c>
    </row>
    <row r="146">
      <c r="A146" t="s">
        <v>361</v>
      </c>
      <c r="B146" t="s">
        <v>362</v>
      </c>
      <c r="C146" s="220">
        <v>0</v>
      </c>
      <c r="D146" s="221">
        <v>0</v>
      </c>
      <c r="E146" s="221">
        <v>0</v>
      </c>
      <c r="F146" s="221">
        <v>0</v>
      </c>
      <c r="G146" s="221">
        <v>0</v>
      </c>
      <c r="H146" s="221">
        <v>0</v>
      </c>
      <c r="I146" s="221">
        <v>0</v>
      </c>
      <c r="J146" s="220">
        <v>0</v>
      </c>
      <c r="K146" s="220">
        <v>0</v>
      </c>
      <c r="L146" s="220">
        <v>0</v>
      </c>
      <c r="M146" s="220">
        <v>0</v>
      </c>
      <c r="N146" s="220">
        <v>0</v>
      </c>
      <c r="O146" s="225">
        <f t="shared" si="386"/>
        <v>0</v>
      </c>
    </row>
    <row r="147">
      <c r="A147" t="s">
        <v>365</v>
      </c>
      <c r="B147" t="s">
        <v>366</v>
      </c>
      <c r="C147" s="220">
        <v>72.640000000000001</v>
      </c>
      <c r="D147" s="220">
        <v>0</v>
      </c>
      <c r="E147" s="220">
        <v>0</v>
      </c>
      <c r="F147" s="220">
        <v>0</v>
      </c>
      <c r="G147" s="220">
        <v>0</v>
      </c>
      <c r="H147" s="220">
        <v>0</v>
      </c>
      <c r="I147" s="220">
        <v>0</v>
      </c>
      <c r="J147" s="220">
        <v>0</v>
      </c>
      <c r="K147" s="220">
        <v>0</v>
      </c>
      <c r="L147" s="220">
        <v>0</v>
      </c>
      <c r="M147" s="220">
        <v>0</v>
      </c>
      <c r="N147" s="220">
        <v>0</v>
      </c>
      <c r="O147" s="225">
        <f t="shared" si="386"/>
        <v>72.640000000000001</v>
      </c>
    </row>
    <row r="148">
      <c r="A148" t="s">
        <v>369</v>
      </c>
      <c r="B148" t="s">
        <v>370</v>
      </c>
      <c r="C148" s="220">
        <v>1747.04</v>
      </c>
      <c r="D148" s="221">
        <v>1120.6900000000001</v>
      </c>
      <c r="E148" s="221">
        <v>3096.6300000000001</v>
      </c>
      <c r="F148" s="221">
        <v>1899.28</v>
      </c>
      <c r="G148" s="221">
        <v>1230.46</v>
      </c>
      <c r="H148" s="221">
        <v>1871.0799999999999</v>
      </c>
      <c r="I148" s="221">
        <v>1257.73</v>
      </c>
      <c r="J148" s="220">
        <v>2169.3600000000001</v>
      </c>
      <c r="K148" s="220">
        <v>1762.73</v>
      </c>
      <c r="L148" s="220">
        <v>10975.709999999999</v>
      </c>
      <c r="M148" s="220">
        <v>1111.96</v>
      </c>
      <c r="N148" s="220">
        <v>3453.6100000000001</v>
      </c>
      <c r="O148" s="225">
        <f t="shared" si="386"/>
        <v>31696.279999999999</v>
      </c>
    </row>
    <row r="149">
      <c r="A149" t="s">
        <v>373</v>
      </c>
      <c r="B149" t="s">
        <v>374</v>
      </c>
      <c r="C149" s="220">
        <v>35119.949999999997</v>
      </c>
      <c r="D149" s="221">
        <v>56614.949999999997</v>
      </c>
      <c r="E149" s="221">
        <v>48836.150000000001</v>
      </c>
      <c r="F149" s="221">
        <v>50928.449999999997</v>
      </c>
      <c r="G149" s="221">
        <v>67942.220000000001</v>
      </c>
      <c r="H149" s="221">
        <v>33238.68</v>
      </c>
      <c r="I149" s="221">
        <v>86467.75</v>
      </c>
      <c r="J149" s="220">
        <v>28102.790000000001</v>
      </c>
      <c r="K149" s="220">
        <v>65785.600000000006</v>
      </c>
      <c r="L149" s="220">
        <v>61907.599999999999</v>
      </c>
      <c r="M149" s="220">
        <v>43976.650000000001</v>
      </c>
      <c r="N149" s="220">
        <v>76504.419999999998</v>
      </c>
      <c r="O149" s="225">
        <f t="shared" si="386"/>
        <v>655425.21000000008</v>
      </c>
    </row>
    <row r="150">
      <c r="A150" t="s">
        <v>376</v>
      </c>
      <c r="B150" t="s">
        <v>377</v>
      </c>
      <c r="C150" s="220">
        <v>5011.1999999999998</v>
      </c>
      <c r="D150" s="221">
        <v>3067.1999999999998</v>
      </c>
      <c r="E150" s="221">
        <v>3067.1999999999998</v>
      </c>
      <c r="F150" s="221">
        <v>3499.1999999999998</v>
      </c>
      <c r="G150" s="221">
        <v>3067.1999999999998</v>
      </c>
      <c r="H150" s="221">
        <v>3067.1999999999998</v>
      </c>
      <c r="I150" s="221">
        <v>3067.1999999999998</v>
      </c>
      <c r="J150" s="220">
        <v>3067.1999999999998</v>
      </c>
      <c r="K150" s="220">
        <v>3067.1999999999998</v>
      </c>
      <c r="L150" s="220">
        <v>3067.1999999999998</v>
      </c>
      <c r="M150" s="220">
        <v>2900</v>
      </c>
      <c r="N150" s="220">
        <v>2900</v>
      </c>
      <c r="O150" s="225">
        <f t="shared" si="386"/>
        <v>38848</v>
      </c>
    </row>
    <row r="151">
      <c r="A151" t="s">
        <v>380</v>
      </c>
      <c r="B151" t="s">
        <v>381</v>
      </c>
      <c r="C151" s="220">
        <v>5011.1999999999998</v>
      </c>
      <c r="D151" s="221">
        <v>3067.1999999999998</v>
      </c>
      <c r="E151" s="221">
        <v>3067.1999999999998</v>
      </c>
      <c r="F151" s="221">
        <v>3499.1999999999998</v>
      </c>
      <c r="G151" s="221">
        <v>3067.1999999999998</v>
      </c>
      <c r="H151" s="221">
        <v>3067.1999999999998</v>
      </c>
      <c r="I151" s="221">
        <v>3067.1999999999998</v>
      </c>
      <c r="J151" s="220">
        <v>3067.1999999999998</v>
      </c>
      <c r="K151" s="220">
        <v>3067.1999999999998</v>
      </c>
      <c r="L151" s="220">
        <v>3067.1999999999998</v>
      </c>
      <c r="M151" s="220">
        <v>2900</v>
      </c>
      <c r="N151" s="220">
        <v>2900</v>
      </c>
      <c r="O151" s="225">
        <f t="shared" si="386"/>
        <v>38848</v>
      </c>
    </row>
    <row r="152">
      <c r="A152" t="s">
        <v>384</v>
      </c>
      <c r="B152" t="s">
        <v>385</v>
      </c>
      <c r="C152" s="220">
        <v>7675.1899999999996</v>
      </c>
      <c r="D152" s="220">
        <v>12073.85</v>
      </c>
      <c r="E152" s="220">
        <v>15664.610000000001</v>
      </c>
      <c r="F152" s="220">
        <v>8869.6499999999996</v>
      </c>
      <c r="G152" s="220">
        <v>38029.32</v>
      </c>
      <c r="H152" s="220">
        <v>10308.309999999999</v>
      </c>
      <c r="I152" s="220">
        <v>54561.550000000003</v>
      </c>
      <c r="J152" s="220">
        <v>9608.6000000000004</v>
      </c>
      <c r="K152" s="220">
        <v>15255</v>
      </c>
      <c r="L152" s="220">
        <v>18151</v>
      </c>
      <c r="M152" s="220">
        <v>10952.85</v>
      </c>
      <c r="N152" s="220">
        <v>45392.370000000003</v>
      </c>
      <c r="O152" s="225">
        <f t="shared" si="386"/>
        <v>246542.29999999999</v>
      </c>
    </row>
    <row r="153">
      <c r="A153" t="s">
        <v>388</v>
      </c>
      <c r="B153" t="s">
        <v>389</v>
      </c>
      <c r="C153" s="220">
        <v>0</v>
      </c>
      <c r="D153" s="220">
        <v>0</v>
      </c>
      <c r="E153" s="220">
        <v>0</v>
      </c>
      <c r="F153" s="220">
        <v>140</v>
      </c>
      <c r="G153" s="220">
        <v>0</v>
      </c>
      <c r="H153" s="220">
        <v>550</v>
      </c>
      <c r="I153" s="220">
        <v>0</v>
      </c>
      <c r="J153" s="220">
        <v>0</v>
      </c>
      <c r="K153" s="220">
        <v>0</v>
      </c>
      <c r="L153" s="220">
        <v>2896</v>
      </c>
      <c r="M153" s="220">
        <v>0</v>
      </c>
      <c r="N153" s="220">
        <v>3780</v>
      </c>
      <c r="O153" s="225">
        <f t="shared" si="386"/>
        <v>7366</v>
      </c>
    </row>
    <row r="154">
      <c r="A154" t="s">
        <v>392</v>
      </c>
      <c r="B154" t="s">
        <v>393</v>
      </c>
      <c r="C154" s="220">
        <v>6156</v>
      </c>
      <c r="D154" s="220">
        <v>6156</v>
      </c>
      <c r="E154" s="220">
        <v>6156</v>
      </c>
      <c r="F154" s="220">
        <v>6156</v>
      </c>
      <c r="G154" s="220">
        <v>6156</v>
      </c>
      <c r="H154" s="220">
        <v>6156</v>
      </c>
      <c r="I154" s="220">
        <v>7456</v>
      </c>
      <c r="J154" s="220">
        <v>6156</v>
      </c>
      <c r="K154" s="220">
        <v>6156</v>
      </c>
      <c r="L154" s="220">
        <v>6156</v>
      </c>
      <c r="M154" s="220">
        <v>6781</v>
      </c>
      <c r="N154" s="220">
        <v>20980.919999999998</v>
      </c>
      <c r="O154" s="225">
        <f t="shared" si="386"/>
        <v>90621.919999999998</v>
      </c>
    </row>
    <row r="155">
      <c r="A155" t="s">
        <v>396</v>
      </c>
      <c r="B155" t="s">
        <v>397</v>
      </c>
      <c r="C155" s="220">
        <v>0</v>
      </c>
      <c r="D155" s="220">
        <v>0</v>
      </c>
      <c r="E155" s="220">
        <v>0</v>
      </c>
      <c r="F155" s="220">
        <v>0</v>
      </c>
      <c r="G155" s="220">
        <v>0</v>
      </c>
      <c r="H155" s="220">
        <v>0</v>
      </c>
      <c r="I155" s="220">
        <v>0</v>
      </c>
      <c r="J155" s="220">
        <v>0</v>
      </c>
      <c r="K155" s="220">
        <v>0</v>
      </c>
      <c r="L155" s="220">
        <v>0</v>
      </c>
      <c r="M155" s="220">
        <v>0</v>
      </c>
      <c r="N155" s="220">
        <v>0</v>
      </c>
      <c r="O155" s="225">
        <f t="shared" si="386"/>
        <v>0</v>
      </c>
    </row>
    <row r="156">
      <c r="A156" t="s">
        <v>400</v>
      </c>
      <c r="B156" t="s">
        <v>401</v>
      </c>
      <c r="C156" s="220">
        <v>1519.1900000000001</v>
      </c>
      <c r="D156" s="220">
        <v>5917.8500000000004</v>
      </c>
      <c r="E156" s="220">
        <v>9508.6100000000006</v>
      </c>
      <c r="F156" s="220">
        <v>2573.6500000000001</v>
      </c>
      <c r="G156" s="220">
        <v>31873.32</v>
      </c>
      <c r="H156" s="220">
        <v>3602.3099999999999</v>
      </c>
      <c r="I156" s="220">
        <v>47105.550000000003</v>
      </c>
      <c r="J156" s="220">
        <v>3452.5999999999999</v>
      </c>
      <c r="K156" s="220">
        <v>9099</v>
      </c>
      <c r="L156" s="220">
        <v>9099</v>
      </c>
      <c r="M156" s="220">
        <v>4171.8500000000004</v>
      </c>
      <c r="N156" s="220">
        <v>20631.450000000001</v>
      </c>
      <c r="O156" s="225">
        <f t="shared" si="386"/>
        <v>148554.38000000003</v>
      </c>
    </row>
    <row r="157">
      <c r="A157" t="s">
        <v>404</v>
      </c>
      <c r="B157" t="s">
        <v>405</v>
      </c>
      <c r="C157" s="220">
        <v>22433.560000000001</v>
      </c>
      <c r="D157" s="220">
        <v>41473.900000000001</v>
      </c>
      <c r="E157" s="220">
        <v>30104.34</v>
      </c>
      <c r="F157" s="220">
        <v>38559.599999999999</v>
      </c>
      <c r="G157" s="220">
        <v>26845.700000000001</v>
      </c>
      <c r="H157" s="220">
        <v>19863.169999999998</v>
      </c>
      <c r="I157" s="220">
        <v>28839</v>
      </c>
      <c r="J157" s="220">
        <v>15426.99</v>
      </c>
      <c r="K157" s="220">
        <v>47463.400000000001</v>
      </c>
      <c r="L157" s="220">
        <v>40689.400000000001</v>
      </c>
      <c r="M157" s="220">
        <v>30123.799999999999</v>
      </c>
      <c r="N157" s="220">
        <v>28212.049999999999</v>
      </c>
      <c r="O157" s="225">
        <f t="shared" si="386"/>
        <v>370034.91000000003</v>
      </c>
    </row>
    <row r="158">
      <c r="A158" t="s">
        <v>606</v>
      </c>
      <c r="B158" t="s">
        <v>442</v>
      </c>
      <c r="C158" s="220">
        <v>0</v>
      </c>
      <c r="D158" s="220">
        <v>1125</v>
      </c>
      <c r="E158" s="220">
        <v>285</v>
      </c>
      <c r="F158" s="220">
        <v>1350</v>
      </c>
      <c r="G158" s="220">
        <v>0</v>
      </c>
      <c r="H158" s="220">
        <v>0</v>
      </c>
      <c r="I158" s="220">
        <v>0</v>
      </c>
      <c r="J158" s="220">
        <v>0</v>
      </c>
      <c r="K158" s="220">
        <v>0</v>
      </c>
      <c r="L158" s="220">
        <v>0</v>
      </c>
      <c r="M158" s="220">
        <v>940</v>
      </c>
      <c r="N158" s="220">
        <v>0</v>
      </c>
      <c r="O158" s="225">
        <f t="shared" si="386"/>
        <v>3700</v>
      </c>
    </row>
    <row r="159">
      <c r="A159" t="s">
        <v>408</v>
      </c>
      <c r="B159" t="s">
        <v>409</v>
      </c>
      <c r="C159" s="220">
        <v>3504.5999999999999</v>
      </c>
      <c r="D159" s="220">
        <v>3504.5999999999999</v>
      </c>
      <c r="E159" s="220">
        <v>3504.5999999999999</v>
      </c>
      <c r="F159" s="220">
        <v>3504.5999999999999</v>
      </c>
      <c r="G159" s="220">
        <v>3504.5999999999999</v>
      </c>
      <c r="H159" s="220">
        <v>3504.5999999999999</v>
      </c>
      <c r="I159" s="220">
        <v>4800.6000000000004</v>
      </c>
      <c r="J159" s="220">
        <v>3504.5999999999999</v>
      </c>
      <c r="K159" s="220">
        <v>3504.5999999999999</v>
      </c>
      <c r="L159" s="220">
        <v>3504.5999999999999</v>
      </c>
      <c r="M159" s="220">
        <v>4746.1999999999998</v>
      </c>
      <c r="N159" s="220">
        <v>3504.5999999999999</v>
      </c>
      <c r="O159" s="225">
        <f t="shared" si="386"/>
        <v>44592.799999999988</v>
      </c>
    </row>
    <row r="160">
      <c r="A160" t="s">
        <v>412</v>
      </c>
      <c r="B160" t="s">
        <v>413</v>
      </c>
      <c r="C160" s="220">
        <v>260</v>
      </c>
      <c r="D160" s="220">
        <v>0</v>
      </c>
      <c r="E160" s="220">
        <v>0</v>
      </c>
      <c r="F160" s="220">
        <v>0</v>
      </c>
      <c r="G160" s="220">
        <v>942</v>
      </c>
      <c r="H160" s="220">
        <v>0</v>
      </c>
      <c r="I160" s="220">
        <v>260</v>
      </c>
      <c r="J160" s="220">
        <v>260</v>
      </c>
      <c r="K160" s="220">
        <v>260</v>
      </c>
      <c r="L160" s="220">
        <v>1730</v>
      </c>
      <c r="M160" s="220">
        <v>260</v>
      </c>
      <c r="N160" s="220">
        <v>260</v>
      </c>
      <c r="O160" s="225">
        <f t="shared" si="386"/>
        <v>4232</v>
      </c>
    </row>
    <row r="161">
      <c r="A161" t="s">
        <v>415</v>
      </c>
      <c r="B161" t="s">
        <v>416</v>
      </c>
      <c r="C161" s="220">
        <v>0</v>
      </c>
      <c r="D161" s="220">
        <v>0</v>
      </c>
      <c r="E161" s="220">
        <v>0</v>
      </c>
      <c r="F161" s="220">
        <v>0</v>
      </c>
      <c r="G161" s="220">
        <v>0</v>
      </c>
      <c r="H161" s="220">
        <v>0</v>
      </c>
      <c r="I161" s="220">
        <v>0</v>
      </c>
      <c r="J161" s="220">
        <v>0</v>
      </c>
      <c r="K161" s="220">
        <v>0</v>
      </c>
      <c r="L161" s="220">
        <v>0</v>
      </c>
      <c r="M161" s="220">
        <v>0</v>
      </c>
      <c r="N161" s="220">
        <v>0</v>
      </c>
      <c r="O161" s="225">
        <f t="shared" si="386"/>
        <v>0</v>
      </c>
    </row>
    <row r="162">
      <c r="A162" t="s">
        <v>418</v>
      </c>
      <c r="B162" t="s">
        <v>419</v>
      </c>
      <c r="C162" s="220">
        <v>0</v>
      </c>
      <c r="D162" s="220">
        <v>0</v>
      </c>
      <c r="E162" s="220">
        <v>0</v>
      </c>
      <c r="F162" s="220">
        <v>0</v>
      </c>
      <c r="G162" s="220">
        <v>0</v>
      </c>
      <c r="H162" s="220">
        <v>0</v>
      </c>
      <c r="I162" s="220">
        <v>0</v>
      </c>
      <c r="J162" s="220">
        <v>0</v>
      </c>
      <c r="K162" s="220">
        <v>0</v>
      </c>
      <c r="L162" s="220">
        <v>0</v>
      </c>
      <c r="M162" s="220">
        <v>0</v>
      </c>
      <c r="N162" s="220">
        <v>0</v>
      </c>
      <c r="O162" s="225">
        <f t="shared" si="386"/>
        <v>0</v>
      </c>
    </row>
    <row r="163">
      <c r="A163" t="s">
        <v>421</v>
      </c>
      <c r="B163" t="s">
        <v>422</v>
      </c>
      <c r="C163" s="220">
        <v>3130</v>
      </c>
      <c r="D163" s="220">
        <v>0</v>
      </c>
      <c r="E163" s="220">
        <v>0</v>
      </c>
      <c r="F163" s="220">
        <v>1609</v>
      </c>
      <c r="G163" s="220">
        <v>1820</v>
      </c>
      <c r="H163" s="220">
        <v>0</v>
      </c>
      <c r="I163" s="220">
        <v>0</v>
      </c>
      <c r="J163" s="220">
        <v>0</v>
      </c>
      <c r="K163" s="220">
        <v>50</v>
      </c>
      <c r="L163" s="220">
        <v>0</v>
      </c>
      <c r="M163" s="220">
        <v>0</v>
      </c>
      <c r="N163" s="220">
        <v>0</v>
      </c>
      <c r="O163" s="225">
        <f t="shared" si="386"/>
        <v>6609</v>
      </c>
    </row>
    <row r="164">
      <c r="A164" t="s">
        <v>607</v>
      </c>
      <c r="B164" t="s">
        <v>461</v>
      </c>
      <c r="C164" s="220">
        <v>2214</v>
      </c>
      <c r="D164" s="220">
        <v>8100</v>
      </c>
      <c r="E164" s="220">
        <v>2214</v>
      </c>
      <c r="F164" s="220">
        <v>2214</v>
      </c>
      <c r="G164" s="220">
        <v>2214</v>
      </c>
      <c r="H164" s="220">
        <v>2214</v>
      </c>
      <c r="I164" s="220">
        <v>7437</v>
      </c>
      <c r="J164" s="220">
        <v>2214</v>
      </c>
      <c r="K164" s="220">
        <v>2214</v>
      </c>
      <c r="L164" s="220">
        <v>2214</v>
      </c>
      <c r="M164" s="220">
        <v>2242</v>
      </c>
      <c r="N164" s="220">
        <v>2214</v>
      </c>
      <c r="O164" s="225">
        <f t="shared" si="386"/>
        <v>37705</v>
      </c>
    </row>
    <row r="165">
      <c r="A165" t="s">
        <v>608</v>
      </c>
      <c r="B165" t="s">
        <v>465</v>
      </c>
      <c r="C165" s="220">
        <v>150</v>
      </c>
      <c r="D165" s="220">
        <v>8225.6000000000004</v>
      </c>
      <c r="E165" s="220">
        <v>2117.8400000000001</v>
      </c>
      <c r="F165" s="220">
        <v>250</v>
      </c>
      <c r="G165" s="220">
        <v>2460</v>
      </c>
      <c r="H165" s="220">
        <v>0</v>
      </c>
      <c r="I165" s="220">
        <v>528</v>
      </c>
      <c r="J165" s="220">
        <v>345</v>
      </c>
      <c r="K165" s="220">
        <v>0</v>
      </c>
      <c r="L165" s="220">
        <v>2120</v>
      </c>
      <c r="M165" s="220">
        <v>0</v>
      </c>
      <c r="N165" s="220">
        <v>729</v>
      </c>
      <c r="O165" s="225">
        <f t="shared" si="386"/>
        <v>16925.440000000002</v>
      </c>
    </row>
    <row r="166">
      <c r="A166" t="s">
        <v>424</v>
      </c>
      <c r="B166" t="s">
        <v>425</v>
      </c>
      <c r="C166" s="220">
        <v>4076</v>
      </c>
      <c r="D166" s="220">
        <v>5292</v>
      </c>
      <c r="E166" s="220">
        <v>13842</v>
      </c>
      <c r="F166" s="220">
        <v>2646</v>
      </c>
      <c r="G166" s="220">
        <v>0</v>
      </c>
      <c r="H166" s="220">
        <v>5292</v>
      </c>
      <c r="I166" s="220">
        <v>8406</v>
      </c>
      <c r="J166" s="220">
        <v>2646</v>
      </c>
      <c r="K166" s="220">
        <v>30196</v>
      </c>
      <c r="L166" s="220">
        <v>21106</v>
      </c>
      <c r="M166" s="220">
        <v>2646</v>
      </c>
      <c r="N166" s="220">
        <v>7646</v>
      </c>
      <c r="O166" s="225">
        <f t="shared" si="386"/>
        <v>103794</v>
      </c>
    </row>
    <row r="167">
      <c r="A167" t="s">
        <v>609</v>
      </c>
      <c r="B167" t="s">
        <v>472</v>
      </c>
      <c r="C167" s="220">
        <v>0</v>
      </c>
      <c r="D167" s="220">
        <v>146.69999999999999</v>
      </c>
      <c r="E167" s="220">
        <v>0</v>
      </c>
      <c r="F167" s="220">
        <v>0</v>
      </c>
      <c r="G167" s="220">
        <v>0</v>
      </c>
      <c r="H167" s="220">
        <v>0</v>
      </c>
      <c r="I167" s="220">
        <v>0</v>
      </c>
      <c r="J167" s="220">
        <v>0</v>
      </c>
      <c r="K167" s="220">
        <v>0</v>
      </c>
      <c r="L167" s="220">
        <v>0</v>
      </c>
      <c r="M167" s="220">
        <v>0</v>
      </c>
      <c r="N167" s="220">
        <v>0</v>
      </c>
      <c r="O167" s="225">
        <f t="shared" si="386"/>
        <v>146.69999999999999</v>
      </c>
    </row>
    <row r="168">
      <c r="A168" t="s">
        <v>427</v>
      </c>
      <c r="B168" t="s">
        <v>428</v>
      </c>
      <c r="C168" s="220">
        <v>0</v>
      </c>
      <c r="D168" s="220">
        <v>9808</v>
      </c>
      <c r="E168" s="220">
        <v>5742.3999999999996</v>
      </c>
      <c r="F168" s="220">
        <v>0</v>
      </c>
      <c r="G168" s="220">
        <v>0</v>
      </c>
      <c r="H168" s="220">
        <v>0</v>
      </c>
      <c r="I168" s="220">
        <v>0</v>
      </c>
      <c r="J168" s="220">
        <v>0</v>
      </c>
      <c r="K168" s="220">
        <v>5100</v>
      </c>
      <c r="L168" s="220">
        <v>0</v>
      </c>
      <c r="M168" s="220">
        <v>4600</v>
      </c>
      <c r="N168" s="220">
        <v>2650</v>
      </c>
      <c r="O168" s="225">
        <f t="shared" si="386"/>
        <v>27900.400000000001</v>
      </c>
    </row>
    <row r="169">
      <c r="A169" t="s">
        <v>430</v>
      </c>
      <c r="B169" t="s">
        <v>431</v>
      </c>
      <c r="C169" s="220">
        <v>0</v>
      </c>
      <c r="D169" s="220">
        <v>1250</v>
      </c>
      <c r="E169" s="220">
        <v>450</v>
      </c>
      <c r="F169" s="220">
        <v>0</v>
      </c>
      <c r="G169" s="220">
        <v>900</v>
      </c>
      <c r="H169" s="220">
        <v>3088</v>
      </c>
      <c r="I169" s="220">
        <v>1587.5</v>
      </c>
      <c r="J169" s="220">
        <v>0</v>
      </c>
      <c r="K169" s="220">
        <v>1500</v>
      </c>
      <c r="L169" s="220">
        <v>450</v>
      </c>
      <c r="M169" s="220">
        <v>450</v>
      </c>
      <c r="N169" s="220">
        <v>1100</v>
      </c>
      <c r="O169" s="225">
        <f t="shared" si="386"/>
        <v>10775.5</v>
      </c>
    </row>
    <row r="170">
      <c r="A170" t="s">
        <v>433</v>
      </c>
      <c r="B170" t="s">
        <v>434</v>
      </c>
      <c r="C170" s="220">
        <v>4302.3999999999996</v>
      </c>
      <c r="D170" s="220">
        <v>210</v>
      </c>
      <c r="E170" s="220">
        <v>-107.5</v>
      </c>
      <c r="F170" s="220">
        <v>511</v>
      </c>
      <c r="G170" s="220">
        <v>2900.0999999999999</v>
      </c>
      <c r="H170" s="220">
        <v>2573.5700000000002</v>
      </c>
      <c r="I170" s="220">
        <v>1224.0999999999999</v>
      </c>
      <c r="J170" s="220">
        <v>1626.3900000000001</v>
      </c>
      <c r="K170" s="220">
        <v>1938.8</v>
      </c>
      <c r="L170" s="220">
        <v>5372.8000000000002</v>
      </c>
      <c r="M170" s="220">
        <v>5808.6000000000004</v>
      </c>
      <c r="N170" s="220">
        <v>1207.45</v>
      </c>
      <c r="O170" s="225">
        <f t="shared" si="386"/>
        <v>27567.710000000003</v>
      </c>
    </row>
    <row r="171">
      <c r="A171" t="s">
        <v>436</v>
      </c>
      <c r="B171" t="s">
        <v>437</v>
      </c>
      <c r="C171" s="220">
        <v>0</v>
      </c>
      <c r="D171" s="220">
        <v>0</v>
      </c>
      <c r="E171" s="220">
        <v>0</v>
      </c>
      <c r="F171" s="220">
        <v>0</v>
      </c>
      <c r="G171" s="220">
        <v>1125</v>
      </c>
      <c r="H171" s="220">
        <v>750</v>
      </c>
      <c r="I171" s="220">
        <v>1924.8</v>
      </c>
      <c r="J171" s="220">
        <v>0</v>
      </c>
      <c r="K171" s="220">
        <v>800</v>
      </c>
      <c r="L171" s="220">
        <v>400</v>
      </c>
      <c r="M171" s="220">
        <v>800</v>
      </c>
      <c r="N171" s="220">
        <v>3450</v>
      </c>
      <c r="O171" s="225">
        <f t="shared" si="386"/>
        <v>9249.7999999999993</v>
      </c>
    </row>
    <row r="172">
      <c r="A172" t="s">
        <v>610</v>
      </c>
      <c r="B172" t="s">
        <v>488</v>
      </c>
      <c r="C172" s="220">
        <v>4796.5600000000004</v>
      </c>
      <c r="D172" s="220">
        <v>2562</v>
      </c>
      <c r="E172" s="220">
        <v>331</v>
      </c>
      <c r="F172" s="220">
        <v>2231</v>
      </c>
      <c r="G172" s="220">
        <v>2981</v>
      </c>
      <c r="H172" s="220">
        <v>2231</v>
      </c>
      <c r="I172" s="220">
        <v>2231</v>
      </c>
      <c r="J172" s="220">
        <v>2831</v>
      </c>
      <c r="K172" s="220">
        <v>1900</v>
      </c>
      <c r="L172" s="220">
        <v>2562</v>
      </c>
      <c r="M172" s="220">
        <v>2231</v>
      </c>
      <c r="N172" s="220">
        <v>2231</v>
      </c>
      <c r="O172" s="225">
        <f t="shared" si="386"/>
        <v>29118.560000000001</v>
      </c>
    </row>
    <row r="173">
      <c r="A173" t="s">
        <v>439</v>
      </c>
      <c r="B173" t="s">
        <v>440</v>
      </c>
      <c r="C173" s="220">
        <v>0</v>
      </c>
      <c r="D173" s="220">
        <v>0</v>
      </c>
      <c r="E173" s="220">
        <v>1725</v>
      </c>
      <c r="F173" s="220">
        <v>5824</v>
      </c>
      <c r="G173" s="220">
        <v>197</v>
      </c>
      <c r="H173" s="220">
        <v>0</v>
      </c>
      <c r="I173" s="220">
        <v>0</v>
      </c>
      <c r="J173" s="220">
        <v>0</v>
      </c>
      <c r="K173" s="220">
        <v>0</v>
      </c>
      <c r="L173" s="220">
        <v>0</v>
      </c>
      <c r="M173" s="220">
        <v>180</v>
      </c>
      <c r="N173" s="220">
        <v>0</v>
      </c>
      <c r="O173" s="225">
        <f t="shared" si="386"/>
        <v>7926</v>
      </c>
    </row>
    <row r="174">
      <c r="A174" t="s">
        <v>443</v>
      </c>
      <c r="B174" t="s">
        <v>444</v>
      </c>
      <c r="C174" s="220">
        <v>0</v>
      </c>
      <c r="D174" s="220">
        <v>1250</v>
      </c>
      <c r="E174" s="220">
        <v>0</v>
      </c>
      <c r="F174" s="220">
        <v>18420</v>
      </c>
      <c r="G174" s="220">
        <v>5922</v>
      </c>
      <c r="H174" s="220">
        <v>210</v>
      </c>
      <c r="I174" s="220">
        <v>440</v>
      </c>
      <c r="J174" s="220">
        <v>0</v>
      </c>
      <c r="K174" s="220">
        <v>0</v>
      </c>
      <c r="L174" s="220">
        <v>0</v>
      </c>
      <c r="M174" s="220">
        <v>2390</v>
      </c>
      <c r="N174" s="220">
        <v>0</v>
      </c>
      <c r="O174" s="225">
        <f t="shared" si="386"/>
        <v>28632</v>
      </c>
    </row>
    <row r="175">
      <c r="A175" t="s">
        <v>446</v>
      </c>
      <c r="B175" t="s">
        <v>447</v>
      </c>
      <c r="C175" s="220">
        <v>0</v>
      </c>
      <c r="D175" s="220">
        <v>0</v>
      </c>
      <c r="E175" s="220">
        <v>0</v>
      </c>
      <c r="F175" s="220">
        <v>0</v>
      </c>
      <c r="G175" s="220">
        <v>0</v>
      </c>
      <c r="H175" s="220">
        <v>0</v>
      </c>
      <c r="I175" s="220">
        <v>0</v>
      </c>
      <c r="J175" s="220">
        <v>0</v>
      </c>
      <c r="K175" s="220">
        <v>0</v>
      </c>
      <c r="L175" s="220">
        <v>0</v>
      </c>
      <c r="M175" s="220">
        <v>0</v>
      </c>
      <c r="N175" s="220">
        <v>0</v>
      </c>
      <c r="O175" s="225">
        <f t="shared" si="386"/>
        <v>0</v>
      </c>
    </row>
    <row r="176">
      <c r="A176" t="s">
        <v>449</v>
      </c>
      <c r="B176" t="s">
        <v>450</v>
      </c>
      <c r="C176" s="220">
        <v>0</v>
      </c>
      <c r="D176" s="220">
        <v>0</v>
      </c>
      <c r="E176" s="220">
        <v>0</v>
      </c>
      <c r="F176" s="220">
        <v>0</v>
      </c>
      <c r="G176" s="220">
        <v>1880</v>
      </c>
      <c r="H176" s="220">
        <v>0</v>
      </c>
      <c r="I176" s="220">
        <v>0</v>
      </c>
      <c r="J176" s="220">
        <v>2000</v>
      </c>
      <c r="K176" s="220">
        <v>0</v>
      </c>
      <c r="L176" s="220">
        <v>1230</v>
      </c>
      <c r="M176" s="220">
        <v>2830</v>
      </c>
      <c r="N176" s="220">
        <v>3220</v>
      </c>
      <c r="O176" s="225">
        <f t="shared" si="386"/>
        <v>11160</v>
      </c>
    </row>
    <row r="177">
      <c r="A177" t="s">
        <v>452</v>
      </c>
      <c r="B177" t="s">
        <v>453</v>
      </c>
      <c r="C177" s="220">
        <v>0</v>
      </c>
      <c r="D177" s="220">
        <v>0</v>
      </c>
      <c r="E177" s="220">
        <v>0</v>
      </c>
      <c r="F177" s="220">
        <v>0</v>
      </c>
      <c r="G177" s="220">
        <v>0</v>
      </c>
      <c r="H177" s="220">
        <v>0</v>
      </c>
      <c r="I177" s="220">
        <v>0</v>
      </c>
      <c r="J177" s="220">
        <v>0</v>
      </c>
      <c r="K177" s="220">
        <v>0</v>
      </c>
      <c r="L177" s="220">
        <v>0</v>
      </c>
      <c r="M177" s="220">
        <v>0</v>
      </c>
      <c r="N177" s="220">
        <v>0</v>
      </c>
      <c r="O177" s="225">
        <f t="shared" si="386"/>
        <v>0</v>
      </c>
    </row>
    <row r="178">
      <c r="A178" t="s">
        <v>455</v>
      </c>
      <c r="B178" t="s">
        <v>456</v>
      </c>
      <c r="C178" s="220">
        <v>0</v>
      </c>
      <c r="D178" s="220">
        <v>0</v>
      </c>
      <c r="E178" s="220">
        <v>0</v>
      </c>
      <c r="F178" s="220">
        <v>0</v>
      </c>
      <c r="G178" s="220">
        <v>0</v>
      </c>
      <c r="H178" s="220">
        <v>0</v>
      </c>
      <c r="I178" s="220">
        <v>0</v>
      </c>
      <c r="J178" s="220">
        <v>0</v>
      </c>
      <c r="K178" s="220">
        <v>0</v>
      </c>
      <c r="L178" s="220">
        <v>0</v>
      </c>
      <c r="M178" s="220">
        <v>0</v>
      </c>
      <c r="N178" s="220">
        <v>0</v>
      </c>
      <c r="O178" s="225">
        <f t="shared" si="386"/>
        <v>0</v>
      </c>
    </row>
    <row r="179">
      <c r="A179" t="s">
        <v>458</v>
      </c>
      <c r="B179" t="s">
        <v>459</v>
      </c>
      <c r="C179" s="220">
        <v>14463.360000000001</v>
      </c>
      <c r="D179" s="220">
        <v>13063.68</v>
      </c>
      <c r="E179" s="220">
        <v>14463.360000000001</v>
      </c>
      <c r="F179" s="220">
        <v>13996.799999999999</v>
      </c>
      <c r="G179" s="220">
        <v>14463.360000000001</v>
      </c>
      <c r="H179" s="220">
        <v>13996.799999999999</v>
      </c>
      <c r="I179" s="220">
        <v>14463.360000000001</v>
      </c>
      <c r="J179" s="220">
        <v>14463.360000000001</v>
      </c>
      <c r="K179" s="220">
        <v>13996.799999999999</v>
      </c>
      <c r="L179" s="220">
        <v>14463.360000000001</v>
      </c>
      <c r="M179" s="220">
        <v>13996.799999999999</v>
      </c>
      <c r="N179" s="220">
        <v>14463.360000000001</v>
      </c>
      <c r="O179" s="225">
        <f t="shared" si="386"/>
        <v>170294.39999999997</v>
      </c>
    </row>
    <row r="180">
      <c r="A180" t="s">
        <v>462</v>
      </c>
      <c r="B180" t="s">
        <v>463</v>
      </c>
      <c r="C180" s="220">
        <v>0</v>
      </c>
      <c r="D180" s="220">
        <v>0</v>
      </c>
      <c r="E180" s="220">
        <v>0</v>
      </c>
      <c r="F180" s="220">
        <v>0</v>
      </c>
      <c r="G180" s="220">
        <v>200</v>
      </c>
      <c r="H180" s="220">
        <v>0</v>
      </c>
      <c r="I180" s="220">
        <v>0</v>
      </c>
      <c r="J180" s="220">
        <v>0</v>
      </c>
      <c r="K180" s="220">
        <v>0</v>
      </c>
      <c r="L180" s="220">
        <v>0</v>
      </c>
      <c r="M180" s="220">
        <v>0</v>
      </c>
      <c r="N180" s="220">
        <v>250</v>
      </c>
      <c r="O180" s="225">
        <f t="shared" si="386"/>
        <v>450</v>
      </c>
    </row>
    <row r="181">
      <c r="A181" t="s">
        <v>466</v>
      </c>
      <c r="B181" t="s">
        <v>467</v>
      </c>
      <c r="C181" s="220">
        <v>0</v>
      </c>
      <c r="D181" s="220">
        <v>0</v>
      </c>
      <c r="E181" s="220">
        <v>0</v>
      </c>
      <c r="F181" s="220">
        <v>0</v>
      </c>
      <c r="G181" s="220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20">
        <v>0</v>
      </c>
      <c r="N181" s="220">
        <v>40</v>
      </c>
      <c r="O181" s="225">
        <f t="shared" si="386"/>
        <v>40</v>
      </c>
    </row>
    <row r="182">
      <c r="A182" t="s">
        <v>469</v>
      </c>
      <c r="B182" t="s">
        <v>470</v>
      </c>
      <c r="C182" s="220">
        <v>0</v>
      </c>
      <c r="D182" s="220">
        <v>120</v>
      </c>
      <c r="E182" s="220">
        <v>0</v>
      </c>
      <c r="F182" s="220">
        <v>33.200000000000003</v>
      </c>
      <c r="G182" s="220">
        <v>111.3</v>
      </c>
      <c r="H182" s="220">
        <v>0</v>
      </c>
      <c r="I182" s="220">
        <v>188.5</v>
      </c>
      <c r="J182" s="220">
        <v>1259.8</v>
      </c>
      <c r="K182" s="220">
        <v>225.00999999999999</v>
      </c>
      <c r="L182" s="220">
        <v>0</v>
      </c>
      <c r="M182" s="220">
        <v>180</v>
      </c>
      <c r="N182" s="220">
        <v>827.00999999999999</v>
      </c>
      <c r="O182" s="225">
        <f t="shared" si="386"/>
        <v>2944.8199999999997</v>
      </c>
    </row>
    <row r="183">
      <c r="A183" t="s">
        <v>473</v>
      </c>
      <c r="B183" t="s">
        <v>474</v>
      </c>
      <c r="C183" s="220">
        <v>81789.449999999997</v>
      </c>
      <c r="D183" s="220">
        <v>83692.300000000003</v>
      </c>
      <c r="E183" s="220">
        <v>72756.25</v>
      </c>
      <c r="F183" s="220">
        <v>79914.350000000006</v>
      </c>
      <c r="G183" s="220">
        <v>79859.25</v>
      </c>
      <c r="H183" s="220">
        <v>86186.649999999994</v>
      </c>
      <c r="I183" s="220">
        <v>76496.800000000003</v>
      </c>
      <c r="J183" s="220">
        <v>90260.669999999998</v>
      </c>
      <c r="K183" s="220">
        <v>77370.050000000003</v>
      </c>
      <c r="L183" s="220">
        <v>79160.350000000006</v>
      </c>
      <c r="M183" s="220">
        <v>69275.949999999997</v>
      </c>
      <c r="N183" s="220">
        <v>56470.370000000003</v>
      </c>
      <c r="O183" s="225">
        <f t="shared" si="386"/>
        <v>933232.44000000006</v>
      </c>
    </row>
    <row r="184">
      <c r="A184" t="s">
        <v>476</v>
      </c>
      <c r="B184" t="s">
        <v>477</v>
      </c>
      <c r="C184" s="220">
        <v>63538.949999999997</v>
      </c>
      <c r="D184" s="220">
        <v>61664</v>
      </c>
      <c r="E184" s="220">
        <v>55174.400000000001</v>
      </c>
      <c r="F184" s="220">
        <v>59959.699999999997</v>
      </c>
      <c r="G184" s="220">
        <v>59416.25</v>
      </c>
      <c r="H184" s="220">
        <v>66980.600000000006</v>
      </c>
      <c r="I184" s="220">
        <v>61639.75</v>
      </c>
      <c r="J184" s="220">
        <v>55904.150000000001</v>
      </c>
      <c r="K184" s="220">
        <v>53604.099999999999</v>
      </c>
      <c r="L184" s="220">
        <v>56110.949999999997</v>
      </c>
      <c r="M184" s="220">
        <v>48418.349999999999</v>
      </c>
      <c r="N184" s="220">
        <v>39878.769999999997</v>
      </c>
      <c r="O184" s="225">
        <f t="shared" si="386"/>
        <v>682289.96999999997</v>
      </c>
    </row>
    <row r="185">
      <c r="A185" t="s">
        <v>479</v>
      </c>
      <c r="B185" t="s">
        <v>480</v>
      </c>
      <c r="C185" s="220">
        <v>5668.9499999999998</v>
      </c>
      <c r="D185" s="220">
        <v>8175.0500000000002</v>
      </c>
      <c r="E185" s="220">
        <v>5301.9499999999998</v>
      </c>
      <c r="F185" s="220">
        <v>7539.3000000000002</v>
      </c>
      <c r="G185" s="220">
        <v>8353.7000000000007</v>
      </c>
      <c r="H185" s="220">
        <v>8685.8999999999996</v>
      </c>
      <c r="I185" s="220">
        <v>8827</v>
      </c>
      <c r="J185" s="220">
        <v>8618.2999999999993</v>
      </c>
      <c r="K185" s="220">
        <v>11383.65</v>
      </c>
      <c r="L185" s="220">
        <v>11162.450000000001</v>
      </c>
      <c r="M185" s="220">
        <v>8872.1000000000004</v>
      </c>
      <c r="N185" s="220">
        <v>9807.4899999999998</v>
      </c>
      <c r="O185" s="225">
        <f t="shared" si="386"/>
        <v>102395.84</v>
      </c>
    </row>
    <row r="186">
      <c r="A186" t="s">
        <v>482</v>
      </c>
      <c r="B186" t="s">
        <v>483</v>
      </c>
      <c r="C186" s="220">
        <v>2485.3499999999999</v>
      </c>
      <c r="D186" s="220">
        <v>2852.5999999999999</v>
      </c>
      <c r="E186" s="220">
        <v>2855.25</v>
      </c>
      <c r="F186" s="220">
        <v>2999.6999999999998</v>
      </c>
      <c r="G186" s="220">
        <v>2868.6500000000001</v>
      </c>
      <c r="H186" s="220">
        <v>2859.5</v>
      </c>
      <c r="I186" s="220">
        <v>2847.3499999999999</v>
      </c>
      <c r="J186" s="220">
        <v>2857.52</v>
      </c>
      <c r="K186" s="220">
        <v>3684.6999999999998</v>
      </c>
      <c r="L186" s="220">
        <v>3189.3499999999999</v>
      </c>
      <c r="M186" s="220">
        <v>3287.9000000000001</v>
      </c>
      <c r="N186" s="220">
        <v>3126.25</v>
      </c>
      <c r="O186" s="225">
        <f t="shared" si="386"/>
        <v>35914.120000000003</v>
      </c>
    </row>
    <row r="187">
      <c r="A187" t="s">
        <v>485</v>
      </c>
      <c r="B187" t="s">
        <v>486</v>
      </c>
      <c r="C187" s="220">
        <v>6196.1999999999998</v>
      </c>
      <c r="D187" s="220">
        <v>6295.6499999999996</v>
      </c>
      <c r="E187" s="220">
        <v>6295.6499999999996</v>
      </c>
      <c r="F187" s="220">
        <v>6295.6499999999996</v>
      </c>
      <c r="G187" s="220">
        <v>6295.6499999999996</v>
      </c>
      <c r="H187" s="220">
        <v>6295.6499999999996</v>
      </c>
      <c r="I187" s="220">
        <v>62.700000000000003</v>
      </c>
      <c r="J187" s="220">
        <v>20150.700000000001</v>
      </c>
      <c r="K187" s="220">
        <v>5967.6000000000004</v>
      </c>
      <c r="L187" s="220">
        <v>5967.6000000000004</v>
      </c>
      <c r="M187" s="220">
        <v>5967.6000000000004</v>
      </c>
      <c r="N187" s="220">
        <v>5967.6000000000004</v>
      </c>
      <c r="O187" s="225">
        <f t="shared" si="386"/>
        <v>81758.250000000015</v>
      </c>
    </row>
    <row r="188">
      <c r="A188" t="s">
        <v>489</v>
      </c>
      <c r="B188" t="s">
        <v>490</v>
      </c>
      <c r="C188" s="220">
        <v>3900</v>
      </c>
      <c r="D188" s="220">
        <v>4705</v>
      </c>
      <c r="E188" s="220">
        <v>3129</v>
      </c>
      <c r="F188" s="220">
        <v>3120</v>
      </c>
      <c r="G188" s="220">
        <v>2925</v>
      </c>
      <c r="H188" s="220">
        <v>1365</v>
      </c>
      <c r="I188" s="220">
        <v>3120</v>
      </c>
      <c r="J188" s="220">
        <v>2730</v>
      </c>
      <c r="K188" s="220">
        <v>2730</v>
      </c>
      <c r="L188" s="220">
        <v>2730</v>
      </c>
      <c r="M188" s="220">
        <v>2730</v>
      </c>
      <c r="N188" s="220">
        <v>-2309.7399999999998</v>
      </c>
      <c r="O188" s="225">
        <f t="shared" si="386"/>
        <v>30874.260000000002</v>
      </c>
    </row>
    <row r="189">
      <c r="A189" t="s">
        <v>492</v>
      </c>
      <c r="B189" t="s">
        <v>493</v>
      </c>
      <c r="C189" s="220">
        <v>0</v>
      </c>
      <c r="D189" s="220">
        <v>0</v>
      </c>
      <c r="E189" s="220">
        <v>0</v>
      </c>
      <c r="F189" s="220">
        <v>0</v>
      </c>
      <c r="G189" s="220">
        <v>1160.75</v>
      </c>
      <c r="H189" s="220">
        <v>2360.0900000000001</v>
      </c>
      <c r="I189" s="220">
        <v>0</v>
      </c>
      <c r="J189" s="220">
        <v>0</v>
      </c>
      <c r="K189" s="220">
        <v>0</v>
      </c>
      <c r="L189" s="220">
        <v>0</v>
      </c>
      <c r="M189" s="220">
        <v>1858.95</v>
      </c>
      <c r="N189" s="220">
        <v>0</v>
      </c>
      <c r="O189" s="225">
        <f t="shared" si="386"/>
        <v>5379.79</v>
      </c>
    </row>
    <row r="190">
      <c r="A190" t="s">
        <v>495</v>
      </c>
      <c r="B190" t="s">
        <v>496</v>
      </c>
      <c r="C190" s="220">
        <v>0</v>
      </c>
      <c r="D190" s="220">
        <v>0</v>
      </c>
      <c r="E190" s="220">
        <v>0</v>
      </c>
      <c r="F190" s="220">
        <v>0</v>
      </c>
      <c r="G190" s="220">
        <v>0</v>
      </c>
      <c r="H190" s="220">
        <v>0</v>
      </c>
      <c r="I190" s="220">
        <v>0</v>
      </c>
      <c r="J190" s="220">
        <v>0</v>
      </c>
      <c r="K190" s="220">
        <v>0</v>
      </c>
      <c r="L190" s="220">
        <v>0</v>
      </c>
      <c r="M190" s="220">
        <v>760.5</v>
      </c>
      <c r="N190" s="220">
        <v>0</v>
      </c>
      <c r="O190" s="225">
        <f t="shared" si="386"/>
        <v>760.5</v>
      </c>
    </row>
    <row r="191">
      <c r="A191" t="s">
        <v>498</v>
      </c>
      <c r="B191" t="s">
        <v>499</v>
      </c>
      <c r="C191" s="220">
        <v>0</v>
      </c>
      <c r="D191" s="220">
        <v>0</v>
      </c>
      <c r="E191" s="220">
        <v>0</v>
      </c>
      <c r="F191" s="220">
        <v>0</v>
      </c>
      <c r="G191" s="220">
        <v>0</v>
      </c>
      <c r="H191" s="220">
        <v>2360.0900000000001</v>
      </c>
      <c r="I191" s="220">
        <v>0</v>
      </c>
      <c r="J191" s="220">
        <v>0</v>
      </c>
      <c r="K191" s="220">
        <v>0</v>
      </c>
      <c r="L191" s="220">
        <v>0</v>
      </c>
      <c r="M191" s="220">
        <v>0</v>
      </c>
      <c r="N191" s="220">
        <v>0</v>
      </c>
      <c r="O191" s="225">
        <f t="shared" si="386"/>
        <v>2360.0900000000001</v>
      </c>
    </row>
    <row r="192">
      <c r="A192" t="s">
        <v>611</v>
      </c>
      <c r="B192" t="s">
        <v>535</v>
      </c>
      <c r="C192" s="220">
        <v>0</v>
      </c>
      <c r="D192" s="220">
        <v>0</v>
      </c>
      <c r="E192" s="220">
        <v>0</v>
      </c>
      <c r="F192" s="220">
        <v>0</v>
      </c>
      <c r="G192" s="220">
        <v>1160.75</v>
      </c>
      <c r="H192" s="220">
        <v>0</v>
      </c>
      <c r="I192" s="220">
        <v>0</v>
      </c>
      <c r="J192" s="220">
        <v>0</v>
      </c>
      <c r="K192" s="220">
        <v>0</v>
      </c>
      <c r="L192" s="220">
        <v>0</v>
      </c>
      <c r="M192" s="220">
        <v>1098.45</v>
      </c>
      <c r="N192" s="220">
        <v>0</v>
      </c>
      <c r="O192" s="225">
        <f t="shared" si="386"/>
        <v>2259.1999999999998</v>
      </c>
    </row>
    <row r="193">
      <c r="A193" t="s">
        <v>501</v>
      </c>
      <c r="B193" t="s">
        <v>502</v>
      </c>
      <c r="C193" s="220">
        <v>0</v>
      </c>
      <c r="D193" s="220">
        <v>1400</v>
      </c>
      <c r="E193" s="220">
        <v>75</v>
      </c>
      <c r="F193" s="220">
        <v>50</v>
      </c>
      <c r="G193" s="220">
        <v>0</v>
      </c>
      <c r="H193" s="220">
        <v>1800</v>
      </c>
      <c r="I193" s="220">
        <v>4060</v>
      </c>
      <c r="J193" s="220">
        <v>1000</v>
      </c>
      <c r="K193" s="220">
        <v>659</v>
      </c>
      <c r="L193" s="220">
        <v>500</v>
      </c>
      <c r="M193" s="220">
        <v>570</v>
      </c>
      <c r="N193" s="220">
        <v>1094</v>
      </c>
      <c r="O193" s="225">
        <f t="shared" si="386"/>
        <v>11208</v>
      </c>
    </row>
    <row r="194">
      <c r="A194" t="s">
        <v>615</v>
      </c>
      <c r="B194" t="s">
        <v>505</v>
      </c>
      <c r="C194" s="220">
        <v>0</v>
      </c>
      <c r="D194" s="220">
        <v>0</v>
      </c>
      <c r="E194" s="220">
        <v>0</v>
      </c>
      <c r="F194" s="220">
        <v>0</v>
      </c>
      <c r="G194" s="220">
        <v>0</v>
      </c>
      <c r="H194" s="220">
        <v>0</v>
      </c>
      <c r="I194" s="220">
        <v>0</v>
      </c>
      <c r="J194" s="220">
        <v>0</v>
      </c>
      <c r="K194" s="220">
        <v>0</v>
      </c>
      <c r="L194" s="220">
        <v>0</v>
      </c>
      <c r="M194" s="220">
        <v>0</v>
      </c>
      <c r="N194" s="220">
        <v>0</v>
      </c>
      <c r="O194" s="225">
        <f t="shared" si="386"/>
        <v>0</v>
      </c>
    </row>
    <row r="195">
      <c r="A195" t="s">
        <v>507</v>
      </c>
      <c r="B195" t="s">
        <v>508</v>
      </c>
      <c r="C195" s="220">
        <v>0</v>
      </c>
      <c r="D195" s="220">
        <v>0</v>
      </c>
      <c r="E195" s="220">
        <v>0</v>
      </c>
      <c r="F195" s="220">
        <v>0</v>
      </c>
      <c r="G195" s="220">
        <v>0</v>
      </c>
      <c r="H195" s="220">
        <v>0</v>
      </c>
      <c r="I195" s="220">
        <v>0</v>
      </c>
      <c r="J195" s="220">
        <v>229449</v>
      </c>
      <c r="K195" s="220">
        <v>0</v>
      </c>
      <c r="L195" s="220">
        <v>0</v>
      </c>
      <c r="M195" s="220">
        <v>0</v>
      </c>
      <c r="N195" s="220">
        <v>0</v>
      </c>
      <c r="O195" s="225">
        <f t="shared" si="386"/>
        <v>229449</v>
      </c>
    </row>
    <row r="196">
      <c r="A196" t="s">
        <v>510</v>
      </c>
      <c r="B196" t="s">
        <v>511</v>
      </c>
      <c r="C196" s="220">
        <v>0</v>
      </c>
      <c r="D196" s="220">
        <v>0</v>
      </c>
      <c r="E196" s="220">
        <v>0</v>
      </c>
      <c r="F196" s="220">
        <v>0</v>
      </c>
      <c r="G196" s="220">
        <v>0</v>
      </c>
      <c r="H196" s="220">
        <v>0</v>
      </c>
      <c r="I196" s="220">
        <v>0</v>
      </c>
      <c r="J196" s="220">
        <v>198264</v>
      </c>
      <c r="K196" s="220">
        <v>0</v>
      </c>
      <c r="L196" s="220">
        <v>0</v>
      </c>
      <c r="M196" s="220">
        <v>0</v>
      </c>
      <c r="N196" s="220">
        <v>0</v>
      </c>
      <c r="O196" s="225">
        <f t="shared" si="386"/>
        <v>198264</v>
      </c>
    </row>
    <row r="197">
      <c r="A197" t="s">
        <v>513</v>
      </c>
      <c r="B197" t="s">
        <v>514</v>
      </c>
      <c r="C197" s="220">
        <v>0</v>
      </c>
      <c r="D197" s="220">
        <v>0</v>
      </c>
      <c r="E197" s="220">
        <v>0</v>
      </c>
      <c r="F197" s="220">
        <v>0</v>
      </c>
      <c r="G197" s="220">
        <v>0</v>
      </c>
      <c r="H197" s="220">
        <v>0</v>
      </c>
      <c r="I197" s="220">
        <v>0</v>
      </c>
      <c r="J197" s="220">
        <v>31185</v>
      </c>
      <c r="K197" s="220">
        <v>0</v>
      </c>
      <c r="L197" s="220">
        <v>0</v>
      </c>
      <c r="M197" s="220">
        <v>0</v>
      </c>
      <c r="N197" s="220">
        <v>0</v>
      </c>
      <c r="O197" s="225">
        <f t="shared" ref="O197:O213" si="387">SUM(C197:N197)</f>
        <v>31185</v>
      </c>
    </row>
    <row r="198">
      <c r="A198" t="s">
        <v>612</v>
      </c>
      <c r="B198" t="s">
        <v>546</v>
      </c>
      <c r="C198" s="220">
        <v>4387.6999999999998</v>
      </c>
      <c r="D198" s="220">
        <v>359.10000000000002</v>
      </c>
      <c r="E198" s="220">
        <v>0</v>
      </c>
      <c r="F198" s="220">
        <v>0</v>
      </c>
      <c r="G198" s="220">
        <v>0</v>
      </c>
      <c r="H198" s="220">
        <v>0</v>
      </c>
      <c r="I198" s="220">
        <v>0</v>
      </c>
      <c r="J198" s="220">
        <v>0</v>
      </c>
      <c r="K198" s="220">
        <v>0</v>
      </c>
      <c r="L198" s="220">
        <v>0</v>
      </c>
      <c r="M198" s="220">
        <v>0</v>
      </c>
      <c r="N198" s="220">
        <v>0</v>
      </c>
      <c r="O198" s="225">
        <f t="shared" si="387"/>
        <v>4746.8000000000002</v>
      </c>
    </row>
    <row r="199">
      <c r="A199" s="185" t="s">
        <v>516</v>
      </c>
      <c r="B199" t="s">
        <v>517</v>
      </c>
      <c r="C199" s="221">
        <v>250</v>
      </c>
      <c r="D199" s="220">
        <v>0</v>
      </c>
      <c r="E199" s="220">
        <v>1500</v>
      </c>
      <c r="F199" s="220">
        <v>0</v>
      </c>
      <c r="G199" s="220">
        <v>200</v>
      </c>
      <c r="H199" s="220">
        <v>1500</v>
      </c>
      <c r="I199" s="220">
        <v>0</v>
      </c>
      <c r="J199" s="220">
        <v>168.59999999999999</v>
      </c>
      <c r="K199" s="220">
        <v>0</v>
      </c>
      <c r="L199" s="220">
        <v>2924.1999999999998</v>
      </c>
      <c r="M199" s="220">
        <v>13399</v>
      </c>
      <c r="N199" s="220">
        <v>2807.5</v>
      </c>
      <c r="O199" s="225">
        <f t="shared" si="387"/>
        <v>22749.299999999999</v>
      </c>
      <c r="P199" s="225">
        <f>O199+O85</f>
        <v>213298.44</v>
      </c>
    </row>
    <row r="200">
      <c r="A200" s="185" t="s">
        <v>519</v>
      </c>
      <c r="B200" t="s">
        <v>520</v>
      </c>
      <c r="C200" s="221">
        <v>250</v>
      </c>
      <c r="D200" s="220">
        <v>0</v>
      </c>
      <c r="E200" s="220">
        <v>1500</v>
      </c>
      <c r="F200" s="220">
        <v>0</v>
      </c>
      <c r="G200" s="220">
        <v>200</v>
      </c>
      <c r="H200" s="220">
        <v>1500</v>
      </c>
      <c r="I200" s="220">
        <v>0</v>
      </c>
      <c r="J200" s="220">
        <v>168.59999999999999</v>
      </c>
      <c r="K200" s="220">
        <v>0</v>
      </c>
      <c r="L200" s="220">
        <v>2924.1999999999998</v>
      </c>
      <c r="M200" s="220">
        <v>13399</v>
      </c>
      <c r="N200" s="220">
        <v>2807.5</v>
      </c>
      <c r="O200" s="225">
        <f t="shared" si="387"/>
        <v>22749.299999999999</v>
      </c>
      <c r="P200" s="225">
        <f>P199/12</f>
        <v>17774.869999999999</v>
      </c>
    </row>
    <row r="201">
      <c r="A201" s="185" t="s">
        <v>522</v>
      </c>
      <c r="B201" t="s">
        <v>523</v>
      </c>
      <c r="C201" s="220">
        <v>0</v>
      </c>
      <c r="D201" s="220">
        <v>0</v>
      </c>
      <c r="E201" s="220">
        <v>0</v>
      </c>
      <c r="F201" s="220">
        <v>0</v>
      </c>
      <c r="G201" s="220">
        <v>0</v>
      </c>
      <c r="H201" s="220">
        <v>0</v>
      </c>
      <c r="I201" s="220">
        <v>0</v>
      </c>
      <c r="J201" s="220">
        <v>0</v>
      </c>
      <c r="K201" s="220">
        <v>0</v>
      </c>
      <c r="L201" s="220">
        <v>0</v>
      </c>
      <c r="M201" s="220">
        <v>0</v>
      </c>
      <c r="N201" s="220">
        <v>0</v>
      </c>
      <c r="O201" s="225">
        <f t="shared" si="387"/>
        <v>0</v>
      </c>
    </row>
    <row r="202">
      <c r="A202" t="s">
        <v>525</v>
      </c>
      <c r="B202" t="s">
        <v>526</v>
      </c>
      <c r="C202" s="220">
        <v>1309.5</v>
      </c>
      <c r="D202" s="220">
        <v>630</v>
      </c>
      <c r="E202" s="220">
        <v>1559.5</v>
      </c>
      <c r="F202" s="220">
        <v>1113</v>
      </c>
      <c r="G202" s="220">
        <v>882</v>
      </c>
      <c r="H202" s="220">
        <v>955.39999999999998</v>
      </c>
      <c r="I202" s="220">
        <v>888</v>
      </c>
      <c r="J202" s="220">
        <v>1355.75</v>
      </c>
      <c r="K202" s="220">
        <v>520</v>
      </c>
      <c r="L202" s="220">
        <v>1188</v>
      </c>
      <c r="M202" s="220">
        <v>740</v>
      </c>
      <c r="N202" s="220">
        <v>925.60000000000002</v>
      </c>
      <c r="O202" s="225">
        <f t="shared" si="387"/>
        <v>12066.75</v>
      </c>
    </row>
    <row r="203">
      <c r="A203" s="185"/>
      <c r="B203"/>
      <c r="C203" s="221">
        <v>514735.28999999998</v>
      </c>
      <c r="D203" s="220">
        <v>407643.28999999998</v>
      </c>
      <c r="E203" s="220">
        <v>375078.85999999999</v>
      </c>
      <c r="F203" s="220">
        <v>377631.31</v>
      </c>
      <c r="G203" s="220">
        <v>404981.35999999999</v>
      </c>
      <c r="H203" s="220">
        <v>378457.56</v>
      </c>
      <c r="I203" s="220">
        <v>409415.65999999997</v>
      </c>
      <c r="J203" s="220">
        <v>685860.47999999998</v>
      </c>
      <c r="K203" s="220">
        <v>399454.53999999998</v>
      </c>
      <c r="L203" s="220">
        <v>400309.25</v>
      </c>
      <c r="M203" s="220">
        <v>382192.34999999998</v>
      </c>
      <c r="N203" s="220">
        <v>1555281.49</v>
      </c>
      <c r="O203" s="225">
        <f t="shared" si="387"/>
        <v>6291041.4399999995</v>
      </c>
    </row>
    <row r="204">
      <c r="A204" s="185" t="s">
        <v>552</v>
      </c>
      <c r="B204"/>
      <c r="C204" s="221">
        <v>-210880.14999999999</v>
      </c>
      <c r="D204" s="220">
        <v>-79884.839999999997</v>
      </c>
      <c r="E204" s="220">
        <v>-62583.019999999997</v>
      </c>
      <c r="F204" s="220">
        <v>-51632.550000000003</v>
      </c>
      <c r="G204" s="220">
        <v>-17440.959999999999</v>
      </c>
      <c r="H204" s="220">
        <v>-31576.330000000002</v>
      </c>
      <c r="I204" s="220">
        <v>-39083.480000000003</v>
      </c>
      <c r="J204" s="220">
        <v>-306415.56</v>
      </c>
      <c r="K204" s="220">
        <v>-2943.3000000000002</v>
      </c>
      <c r="L204" s="220">
        <v>-182021.45000000001</v>
      </c>
      <c r="M204" s="220">
        <v>-58053.040000000001</v>
      </c>
      <c r="N204" s="220">
        <v>-1008191.35</v>
      </c>
      <c r="O204" s="225">
        <f t="shared" si="387"/>
        <v>-2050706.0300000003</v>
      </c>
      <c r="P204" s="225">
        <f>O40+O94-P199</f>
        <v>-208852.83000000002</v>
      </c>
    </row>
    <row r="205">
      <c r="A205" s="185" t="s">
        <v>529</v>
      </c>
      <c r="B205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5">
        <f t="shared" si="387"/>
        <v>0</v>
      </c>
    </row>
    <row r="206">
      <c r="A206" s="185" t="s">
        <v>531</v>
      </c>
      <c r="B206" t="s">
        <v>532</v>
      </c>
      <c r="C206" s="221">
        <v>0</v>
      </c>
      <c r="D206" s="220">
        <v>0</v>
      </c>
      <c r="E206" s="220">
        <v>0</v>
      </c>
      <c r="F206" s="220">
        <v>0</v>
      </c>
      <c r="G206" s="220">
        <v>0</v>
      </c>
      <c r="H206" s="220">
        <v>0</v>
      </c>
      <c r="I206" s="220">
        <v>0</v>
      </c>
      <c r="J206" s="220">
        <v>0</v>
      </c>
      <c r="K206" s="220">
        <v>0</v>
      </c>
      <c r="L206" s="220">
        <v>0</v>
      </c>
      <c r="M206" s="220">
        <v>0</v>
      </c>
      <c r="N206" s="220">
        <v>0</v>
      </c>
      <c r="O206" s="225">
        <f t="shared" si="387"/>
        <v>0</v>
      </c>
    </row>
    <row r="207">
      <c r="A207" s="185"/>
      <c r="B207"/>
      <c r="C207" s="220">
        <v>0</v>
      </c>
      <c r="D207" s="220">
        <v>0</v>
      </c>
      <c r="E207" s="220">
        <v>0</v>
      </c>
      <c r="F207" s="220">
        <v>0</v>
      </c>
      <c r="G207" s="220">
        <v>0</v>
      </c>
      <c r="H207" s="220">
        <v>0</v>
      </c>
      <c r="I207" s="220">
        <v>0</v>
      </c>
      <c r="J207" s="220">
        <v>0</v>
      </c>
      <c r="K207" s="220">
        <v>0</v>
      </c>
      <c r="L207" s="220">
        <v>0</v>
      </c>
      <c r="M207" s="220">
        <v>0</v>
      </c>
      <c r="N207" s="220">
        <v>0</v>
      </c>
      <c r="O207" s="225">
        <f t="shared" si="387"/>
        <v>0</v>
      </c>
    </row>
    <row r="208">
      <c r="A208" s="185" t="s">
        <v>536</v>
      </c>
      <c r="B208"/>
      <c r="C208" s="221">
        <v>-210880.14999999999</v>
      </c>
      <c r="D208" s="220">
        <v>-79884.839999999997</v>
      </c>
      <c r="E208" s="220">
        <v>-62583.019999999997</v>
      </c>
      <c r="F208" s="220">
        <v>-51632.550000000003</v>
      </c>
      <c r="G208" s="220">
        <v>-17440.959999999999</v>
      </c>
      <c r="H208" s="220">
        <v>-31576.330000000002</v>
      </c>
      <c r="I208" s="220">
        <v>-39083.480000000003</v>
      </c>
      <c r="J208" s="220">
        <v>-306415.56</v>
      </c>
      <c r="K208" s="220">
        <v>-2943.3000000000002</v>
      </c>
      <c r="L208" s="220">
        <v>-182021.45000000001</v>
      </c>
      <c r="M208" s="220">
        <v>-58053.040000000001</v>
      </c>
      <c r="N208" s="220">
        <v>-1008191.35</v>
      </c>
      <c r="O208" s="225">
        <f t="shared" si="387"/>
        <v>-2050706.0300000003</v>
      </c>
    </row>
    <row r="209">
      <c r="A209" s="185" t="s">
        <v>538</v>
      </c>
      <c r="B209"/>
      <c r="C209" s="221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</row>
    <row r="210">
      <c r="C210" s="220">
        <v>0</v>
      </c>
      <c r="D210" s="220">
        <v>0</v>
      </c>
      <c r="E210" s="220">
        <v>0</v>
      </c>
      <c r="F210" s="220">
        <v>0</v>
      </c>
      <c r="G210" s="220">
        <v>0</v>
      </c>
      <c r="H210" s="220">
        <v>0</v>
      </c>
      <c r="I210" s="220">
        <v>0</v>
      </c>
      <c r="J210" s="220">
        <v>0</v>
      </c>
      <c r="K210" s="220">
        <v>0</v>
      </c>
      <c r="L210" s="220">
        <v>0</v>
      </c>
      <c r="M210" s="220">
        <v>0</v>
      </c>
      <c r="N210" s="220">
        <v>0</v>
      </c>
      <c r="O210" s="225">
        <f t="shared" si="387"/>
        <v>0</v>
      </c>
    </row>
    <row r="211">
      <c r="A211" s="213" t="s">
        <v>541</v>
      </c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</row>
    <row r="212">
      <c r="C212" s="220">
        <v>0</v>
      </c>
      <c r="D212" s="220">
        <v>0</v>
      </c>
      <c r="E212" s="220">
        <v>0</v>
      </c>
      <c r="F212" s="220">
        <v>0</v>
      </c>
      <c r="G212" s="220">
        <v>0</v>
      </c>
      <c r="H212" s="220">
        <v>0</v>
      </c>
      <c r="I212" s="220">
        <v>0</v>
      </c>
      <c r="J212" s="220">
        <v>0</v>
      </c>
      <c r="K212" s="220">
        <v>0</v>
      </c>
      <c r="L212" s="220">
        <v>0</v>
      </c>
      <c r="M212" s="220">
        <v>0</v>
      </c>
      <c r="N212" s="220">
        <v>0</v>
      </c>
      <c r="O212" s="225">
        <f t="shared" si="387"/>
        <v>0</v>
      </c>
    </row>
    <row r="213">
      <c r="A213" s="213" t="s">
        <v>544</v>
      </c>
      <c r="C213" s="220">
        <v>-210880.14999999999</v>
      </c>
      <c r="D213" s="220">
        <v>-79884.839999999997</v>
      </c>
      <c r="E213" s="220">
        <v>-62583.019999999997</v>
      </c>
      <c r="F213" s="220">
        <v>-51632.550000000003</v>
      </c>
      <c r="G213" s="220">
        <v>-17440.959999999999</v>
      </c>
      <c r="H213" s="220">
        <v>-31576.330000000002</v>
      </c>
      <c r="I213" s="220">
        <v>-39083.480000000003</v>
      </c>
      <c r="J213" s="220">
        <v>-306415.56</v>
      </c>
      <c r="K213" s="220">
        <v>-2943.3000000000002</v>
      </c>
      <c r="L213" s="220">
        <v>-182021.45000000001</v>
      </c>
      <c r="M213" s="220">
        <v>-58053.040000000001</v>
      </c>
      <c r="N213" s="220">
        <v>-1008191.35</v>
      </c>
      <c r="O213" s="225">
        <f t="shared" si="387"/>
        <v>-2050706.0300000003</v>
      </c>
    </row>
    <row r="214"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</row>
    <row r="215"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</row>
    <row r="216"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</row>
  </sheetData>
  <mergeCells count="2">
    <mergeCell ref="A1:A2"/>
    <mergeCell ref="B1:B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zoomScale="90" workbookViewId="0">
      <selection activeCell="A13" activeCellId="0" sqref="A13"/>
    </sheetView>
  </sheetViews>
  <sheetFormatPr defaultColWidth="9.1796875" defaultRowHeight="14.5"/>
  <cols>
    <col customWidth="1" min="1" max="1" style="226" width="56"/>
    <col customWidth="1" min="2" max="2" style="226" width="9.81640625"/>
    <col customWidth="1" min="3" max="3" style="227" width="10.36328125"/>
    <col customWidth="1" min="4" max="4" style="227" width="9.7265625"/>
    <col customWidth="1" min="5" max="6" style="227" width="10.36328125"/>
    <col customWidth="1" min="7" max="8" style="227" width="9.7265625"/>
    <col customWidth="1" min="9" max="9" style="227" width="10.36328125"/>
    <col customWidth="1" min="10" max="14" style="227" width="9.7265625"/>
    <col min="15" max="16384" style="226" width="9.1796875"/>
  </cols>
  <sheetData>
    <row r="1" s="228" customFormat="1">
      <c r="A1" s="228" t="s">
        <v>553</v>
      </c>
      <c r="B1" s="228" t="s">
        <v>554</v>
      </c>
      <c r="C1" s="229" t="s">
        <v>616</v>
      </c>
      <c r="D1" s="229" t="s">
        <v>617</v>
      </c>
      <c r="E1" s="229" t="s">
        <v>618</v>
      </c>
      <c r="F1" s="229" t="s">
        <v>619</v>
      </c>
      <c r="G1" s="229" t="s">
        <v>620</v>
      </c>
      <c r="H1" s="229" t="s">
        <v>621</v>
      </c>
      <c r="I1" s="229" t="s">
        <v>622</v>
      </c>
      <c r="J1" s="229" t="s">
        <v>623</v>
      </c>
      <c r="K1" s="229" t="s">
        <v>624</v>
      </c>
      <c r="L1" s="229" t="s">
        <v>625</v>
      </c>
      <c r="M1" s="229" t="s">
        <v>626</v>
      </c>
      <c r="N1" s="229" t="s">
        <v>627</v>
      </c>
    </row>
    <row r="2" s="228" customFormat="1">
      <c r="A2" s="228"/>
      <c r="B2" s="228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</row>
    <row r="3">
      <c r="A3" s="231" t="s">
        <v>556</v>
      </c>
    </row>
    <row r="4">
      <c r="A4" s="226" t="s">
        <v>36</v>
      </c>
      <c r="B4" s="226" t="s">
        <v>37</v>
      </c>
    </row>
    <row r="5">
      <c r="A5" s="226" t="s">
        <v>39</v>
      </c>
      <c r="B5" s="226" t="s">
        <v>40</v>
      </c>
      <c r="C5" s="227">
        <v>91824.639999999999</v>
      </c>
      <c r="D5" s="227">
        <v>117113.12</v>
      </c>
      <c r="E5" s="227">
        <v>39065.599999999999</v>
      </c>
      <c r="F5" s="227">
        <v>49011.139999999999</v>
      </c>
      <c r="G5" s="227">
        <v>56140.470000000001</v>
      </c>
      <c r="H5" s="227">
        <v>53387.220000000001</v>
      </c>
      <c r="I5" s="227">
        <v>99876.809999999998</v>
      </c>
      <c r="J5" s="227">
        <v>94461.360000000001</v>
      </c>
      <c r="K5" s="227">
        <v>54834.709999999999</v>
      </c>
      <c r="L5" s="227">
        <v>61334.169999999998</v>
      </c>
      <c r="M5" s="227">
        <v>82683.059999999998</v>
      </c>
      <c r="N5" s="227">
        <v>41620.43</v>
      </c>
    </row>
    <row r="6">
      <c r="A6" s="226" t="s">
        <v>42</v>
      </c>
      <c r="B6" s="226" t="s">
        <v>43</v>
      </c>
      <c r="C6" s="227">
        <v>106475.37</v>
      </c>
      <c r="D6" s="227">
        <v>192677.42000000001</v>
      </c>
      <c r="E6" s="227">
        <v>220731.87</v>
      </c>
      <c r="F6" s="227">
        <v>183013.56</v>
      </c>
      <c r="G6" s="227">
        <v>274407.21000000002</v>
      </c>
      <c r="H6" s="227">
        <v>261685.10000000001</v>
      </c>
      <c r="I6" s="227">
        <v>314220.34000000003</v>
      </c>
      <c r="J6" s="227">
        <v>319850.06</v>
      </c>
      <c r="K6" s="227">
        <v>309616.78000000003</v>
      </c>
      <c r="L6" s="227">
        <v>284565.22999999998</v>
      </c>
      <c r="M6" s="227">
        <v>273913.98999999999</v>
      </c>
      <c r="N6" s="227">
        <v>436035.88</v>
      </c>
    </row>
    <row r="7">
      <c r="A7" s="226" t="s">
        <v>560</v>
      </c>
      <c r="B7" s="226" t="s">
        <v>561</v>
      </c>
    </row>
    <row r="8">
      <c r="A8" s="226" t="s">
        <v>48</v>
      </c>
      <c r="B8" s="226" t="s">
        <v>49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47.5</v>
      </c>
      <c r="M8" s="227">
        <v>0</v>
      </c>
      <c r="N8" s="227">
        <v>739.75</v>
      </c>
    </row>
    <row r="9">
      <c r="A9" s="226" t="s">
        <v>51</v>
      </c>
      <c r="B9" s="226" t="s">
        <v>52</v>
      </c>
      <c r="C9" s="227">
        <v>0</v>
      </c>
      <c r="D9" s="227">
        <v>0</v>
      </c>
      <c r="E9" s="227">
        <v>0</v>
      </c>
      <c r="F9" s="227">
        <v>0</v>
      </c>
      <c r="G9" s="227">
        <v>416.67000000000002</v>
      </c>
      <c r="H9" s="227">
        <v>0</v>
      </c>
      <c r="I9" s="227">
        <v>127.12</v>
      </c>
      <c r="J9" s="227">
        <v>127.12</v>
      </c>
      <c r="K9" s="227">
        <v>129.66999999999999</v>
      </c>
      <c r="L9" s="227">
        <v>0</v>
      </c>
      <c r="M9" s="227">
        <v>0</v>
      </c>
      <c r="N9" s="227">
        <v>260.62</v>
      </c>
    </row>
    <row r="10">
      <c r="A10" s="226" t="s">
        <v>628</v>
      </c>
      <c r="B10" s="226" t="s">
        <v>55</v>
      </c>
      <c r="C10" s="227">
        <v>232.75</v>
      </c>
      <c r="D10" s="227">
        <v>0</v>
      </c>
      <c r="E10" s="227">
        <v>0</v>
      </c>
      <c r="F10" s="227">
        <v>0</v>
      </c>
      <c r="G10" s="227">
        <v>0</v>
      </c>
      <c r="H10" s="227">
        <v>0</v>
      </c>
      <c r="I10" s="227">
        <v>0</v>
      </c>
      <c r="J10" s="227">
        <v>0</v>
      </c>
      <c r="K10" s="227">
        <v>0</v>
      </c>
      <c r="L10" s="227">
        <v>0</v>
      </c>
      <c r="M10" s="227">
        <v>0</v>
      </c>
      <c r="N10" s="227">
        <v>0</v>
      </c>
    </row>
    <row r="11">
      <c r="A11" s="226" t="s">
        <v>60</v>
      </c>
      <c r="B11" s="226" t="s">
        <v>61</v>
      </c>
      <c r="C11" s="227">
        <v>0</v>
      </c>
      <c r="D11" s="227">
        <v>172.41999999999999</v>
      </c>
      <c r="E11" s="227">
        <v>0</v>
      </c>
      <c r="F11" s="227">
        <v>84.75</v>
      </c>
      <c r="G11" s="227">
        <v>338.99000000000001</v>
      </c>
      <c r="H11" s="227">
        <v>169.5</v>
      </c>
      <c r="I11" s="227">
        <v>0</v>
      </c>
      <c r="J11" s="227">
        <v>169.5</v>
      </c>
      <c r="K11" s="227">
        <v>84.75</v>
      </c>
      <c r="L11" s="227">
        <v>0</v>
      </c>
      <c r="M11" s="227">
        <v>151.87</v>
      </c>
      <c r="N11" s="227">
        <v>292.38</v>
      </c>
    </row>
    <row r="12">
      <c r="A12" s="226" t="s">
        <v>63</v>
      </c>
      <c r="B12" s="226" t="s">
        <v>64</v>
      </c>
      <c r="C12" s="227">
        <v>0</v>
      </c>
      <c r="D12" s="227">
        <v>0</v>
      </c>
      <c r="E12" s="227">
        <v>0</v>
      </c>
      <c r="F12" s="227">
        <v>0</v>
      </c>
      <c r="G12" s="227">
        <v>0</v>
      </c>
      <c r="H12" s="227">
        <v>0</v>
      </c>
      <c r="I12" s="227">
        <v>0</v>
      </c>
      <c r="J12" s="227">
        <v>0</v>
      </c>
      <c r="K12" s="227">
        <v>10</v>
      </c>
      <c r="L12" s="227">
        <v>0</v>
      </c>
      <c r="M12" s="227">
        <v>10</v>
      </c>
      <c r="N12" s="227">
        <v>0</v>
      </c>
    </row>
    <row r="13">
      <c r="A13" s="231"/>
      <c r="B13" s="226" t="s">
        <v>561</v>
      </c>
      <c r="C13" s="232">
        <v>232.75</v>
      </c>
      <c r="D13" s="232">
        <v>172.41999999999999</v>
      </c>
      <c r="E13" s="232">
        <v>0</v>
      </c>
      <c r="F13" s="232">
        <v>84.75</v>
      </c>
      <c r="G13" s="232">
        <v>755.65999999999997</v>
      </c>
      <c r="H13" s="232">
        <v>169.5</v>
      </c>
      <c r="I13" s="232">
        <v>127.12</v>
      </c>
      <c r="J13" s="232">
        <v>296.62</v>
      </c>
      <c r="K13" s="232">
        <v>224.41999999999999</v>
      </c>
      <c r="L13" s="232">
        <v>47.5</v>
      </c>
      <c r="M13" s="232">
        <v>161.87</v>
      </c>
      <c r="N13" s="232">
        <v>1292.75</v>
      </c>
    </row>
    <row r="14">
      <c r="A14" s="226" t="s">
        <v>66</v>
      </c>
      <c r="B14" s="226" t="s">
        <v>67</v>
      </c>
      <c r="C14" s="227">
        <v>16553.619999999999</v>
      </c>
      <c r="D14" s="227">
        <v>20560.029999999999</v>
      </c>
      <c r="E14" s="227">
        <v>7550.1700000000001</v>
      </c>
      <c r="F14" s="227">
        <v>10739.639999999999</v>
      </c>
      <c r="G14" s="227">
        <v>17809.02</v>
      </c>
      <c r="H14" s="227">
        <v>13795.41</v>
      </c>
      <c r="I14" s="227">
        <v>16256.450000000001</v>
      </c>
      <c r="J14" s="227">
        <v>25670.240000000002</v>
      </c>
      <c r="K14" s="227">
        <v>12413.74</v>
      </c>
      <c r="L14" s="227">
        <v>15067.1</v>
      </c>
      <c r="M14" s="227">
        <v>21355.389999999999</v>
      </c>
      <c r="N14" s="227">
        <v>10189.48</v>
      </c>
    </row>
    <row r="15">
      <c r="A15" s="231"/>
      <c r="B15" s="226" t="s">
        <v>37</v>
      </c>
      <c r="C15" s="232">
        <v>215086.38</v>
      </c>
      <c r="D15" s="232">
        <v>330522.98999999999</v>
      </c>
      <c r="E15" s="232">
        <v>267347.64000000001</v>
      </c>
      <c r="F15" s="232">
        <v>242849.09</v>
      </c>
      <c r="G15" s="232">
        <v>349112.35999999999</v>
      </c>
      <c r="H15" s="232">
        <v>329037.22999999998</v>
      </c>
      <c r="I15" s="232">
        <v>430480.71999999997</v>
      </c>
      <c r="J15" s="232">
        <v>440278.28000000003</v>
      </c>
      <c r="K15" s="232">
        <v>377089.65000000002</v>
      </c>
      <c r="L15" s="232">
        <v>361014</v>
      </c>
      <c r="M15" s="232">
        <v>378114.31</v>
      </c>
      <c r="N15" s="232">
        <v>489138.53999999998</v>
      </c>
    </row>
    <row r="16">
      <c r="A16" s="226" t="s">
        <v>69</v>
      </c>
      <c r="B16" s="226" t="s">
        <v>70</v>
      </c>
    </row>
    <row r="17">
      <c r="A17" s="226" t="s">
        <v>562</v>
      </c>
      <c r="B17" s="226" t="s">
        <v>563</v>
      </c>
    </row>
    <row r="18">
      <c r="A18" s="226" t="s">
        <v>72</v>
      </c>
      <c r="B18" s="226" t="s">
        <v>73</v>
      </c>
      <c r="C18" s="227">
        <v>1164.1900000000001</v>
      </c>
      <c r="D18" s="227">
        <v>978.67999999999995</v>
      </c>
      <c r="E18" s="227">
        <v>3076.3699999999999</v>
      </c>
      <c r="F18" s="227">
        <v>2724.5599999999999</v>
      </c>
      <c r="G18" s="227">
        <v>1949.1099999999999</v>
      </c>
      <c r="H18" s="227">
        <v>3364.6999999999998</v>
      </c>
      <c r="I18" s="227">
        <v>14121.59</v>
      </c>
      <c r="J18" s="227">
        <v>4190.8500000000004</v>
      </c>
      <c r="K18" s="227">
        <v>11251.299999999999</v>
      </c>
      <c r="L18" s="227">
        <v>15946.620000000001</v>
      </c>
      <c r="M18" s="227">
        <v>10818.139999999999</v>
      </c>
      <c r="N18" s="227">
        <v>13585.1</v>
      </c>
    </row>
    <row r="19">
      <c r="A19" s="231"/>
      <c r="B19" s="226" t="s">
        <v>563</v>
      </c>
      <c r="C19" s="232">
        <v>1164.1900000000001</v>
      </c>
      <c r="D19" s="232">
        <v>978.67999999999995</v>
      </c>
      <c r="E19" s="232">
        <v>3076.3699999999999</v>
      </c>
      <c r="F19" s="232">
        <v>2724.5599999999999</v>
      </c>
      <c r="G19" s="232">
        <v>1949.1099999999999</v>
      </c>
      <c r="H19" s="232">
        <v>3364.6999999999998</v>
      </c>
      <c r="I19" s="232">
        <v>14121.59</v>
      </c>
      <c r="J19" s="232">
        <v>4190.8500000000004</v>
      </c>
      <c r="K19" s="232">
        <v>11251.299999999999</v>
      </c>
      <c r="L19" s="232">
        <v>15946.620000000001</v>
      </c>
      <c r="M19" s="232">
        <v>10818.139999999999</v>
      </c>
      <c r="N19" s="232">
        <v>13585.1</v>
      </c>
    </row>
    <row r="20">
      <c r="A20" s="226" t="s">
        <v>564</v>
      </c>
      <c r="B20" s="226" t="s">
        <v>565</v>
      </c>
    </row>
    <row r="21">
      <c r="A21" s="226" t="s">
        <v>78</v>
      </c>
      <c r="B21" s="226" t="s">
        <v>79</v>
      </c>
      <c r="C21" s="227">
        <v>23782.009999999998</v>
      </c>
      <c r="D21" s="227">
        <v>27010.689999999999</v>
      </c>
      <c r="E21" s="227">
        <v>23209.669999999998</v>
      </c>
      <c r="F21" s="227">
        <v>25166.68</v>
      </c>
      <c r="G21" s="227">
        <v>30536.720000000001</v>
      </c>
      <c r="H21" s="227">
        <v>23923.830000000002</v>
      </c>
      <c r="I21" s="227">
        <v>21747.259999999998</v>
      </c>
      <c r="J21" s="227">
        <v>28948.41</v>
      </c>
      <c r="K21" s="227">
        <v>9135.1000000000004</v>
      </c>
      <c r="L21" s="227">
        <v>0</v>
      </c>
      <c r="M21" s="227">
        <v>0</v>
      </c>
      <c r="N21" s="227">
        <v>0</v>
      </c>
    </row>
    <row r="22">
      <c r="A22" s="231"/>
      <c r="B22" s="226" t="s">
        <v>565</v>
      </c>
      <c r="C22" s="232">
        <v>23782.009999999998</v>
      </c>
      <c r="D22" s="232">
        <v>27010.689999999999</v>
      </c>
      <c r="E22" s="232">
        <v>23209.669999999998</v>
      </c>
      <c r="F22" s="232">
        <v>25166.68</v>
      </c>
      <c r="G22" s="232">
        <v>30536.720000000001</v>
      </c>
      <c r="H22" s="232">
        <v>23923.830000000002</v>
      </c>
      <c r="I22" s="232">
        <v>21747.259999999998</v>
      </c>
      <c r="J22" s="232">
        <v>28948.41</v>
      </c>
      <c r="K22" s="232">
        <v>9135.1000000000004</v>
      </c>
      <c r="L22" s="232">
        <v>0</v>
      </c>
      <c r="M22" s="232">
        <v>0</v>
      </c>
      <c r="N22" s="232">
        <v>0</v>
      </c>
    </row>
    <row r="23">
      <c r="A23" s="226" t="s">
        <v>566</v>
      </c>
      <c r="B23" s="226" t="s">
        <v>567</v>
      </c>
    </row>
    <row r="24">
      <c r="A24" s="226" t="s">
        <v>84</v>
      </c>
      <c r="B24" s="226" t="s">
        <v>85</v>
      </c>
      <c r="C24" s="227">
        <v>413.18000000000001</v>
      </c>
      <c r="D24" s="227">
        <v>434.88</v>
      </c>
      <c r="E24" s="227">
        <v>71659.919999999998</v>
      </c>
      <c r="F24" s="233">
        <v>42905.830000000002</v>
      </c>
      <c r="G24" s="227">
        <v>820</v>
      </c>
      <c r="H24" s="227">
        <v>2068.96</v>
      </c>
      <c r="I24" s="227">
        <v>297.14999999999998</v>
      </c>
      <c r="J24" s="227">
        <v>84.900000000000006</v>
      </c>
      <c r="K24" s="227">
        <v>18.870000000000001</v>
      </c>
      <c r="L24" s="227">
        <v>0</v>
      </c>
      <c r="M24" s="227">
        <v>0</v>
      </c>
      <c r="N24" s="227">
        <v>5855.1300000000001</v>
      </c>
    </row>
    <row r="25">
      <c r="A25" s="231"/>
      <c r="B25" s="226" t="s">
        <v>567</v>
      </c>
      <c r="C25" s="232">
        <v>413.18000000000001</v>
      </c>
      <c r="D25" s="232">
        <v>434.88</v>
      </c>
      <c r="E25" s="232">
        <v>71659.919999999998</v>
      </c>
      <c r="F25" s="234">
        <v>42905.830000000002</v>
      </c>
      <c r="G25" s="232">
        <v>820</v>
      </c>
      <c r="H25" s="232">
        <v>2068.96</v>
      </c>
      <c r="I25" s="232">
        <v>297.14999999999998</v>
      </c>
      <c r="J25" s="232">
        <v>84.900000000000006</v>
      </c>
      <c r="K25" s="232">
        <v>18.870000000000001</v>
      </c>
      <c r="L25" s="232">
        <v>0</v>
      </c>
      <c r="M25" s="232">
        <v>0</v>
      </c>
      <c r="N25" s="232">
        <v>5855.1300000000001</v>
      </c>
    </row>
    <row r="26">
      <c r="A26" s="231"/>
      <c r="B26" s="226" t="s">
        <v>70</v>
      </c>
      <c r="C26" s="232">
        <v>25359.380000000001</v>
      </c>
      <c r="D26" s="232">
        <v>28424.25</v>
      </c>
      <c r="E26" s="232">
        <v>97945.960000000006</v>
      </c>
      <c r="F26" s="234">
        <v>70797.070000000007</v>
      </c>
      <c r="G26" s="232">
        <v>33305.830000000002</v>
      </c>
      <c r="H26" s="232">
        <v>29357.490000000002</v>
      </c>
      <c r="I26" s="232">
        <v>36166</v>
      </c>
      <c r="J26" s="232">
        <v>33224.160000000003</v>
      </c>
      <c r="K26" s="232">
        <v>20405.27</v>
      </c>
      <c r="L26" s="232">
        <v>15946.620000000001</v>
      </c>
      <c r="M26" s="232">
        <v>10818.139999999999</v>
      </c>
      <c r="N26" s="232">
        <v>19440.23</v>
      </c>
    </row>
    <row r="27">
      <c r="A27" s="226" t="s">
        <v>90</v>
      </c>
      <c r="B27" s="226" t="s">
        <v>91</v>
      </c>
    </row>
    <row r="28">
      <c r="A28" s="226" t="s">
        <v>93</v>
      </c>
      <c r="B28" s="226" t="s">
        <v>94</v>
      </c>
      <c r="C28" s="227">
        <v>71987.210000000006</v>
      </c>
      <c r="D28" s="227">
        <v>87343.130000000005</v>
      </c>
      <c r="E28" s="227">
        <v>32957.639999999999</v>
      </c>
      <c r="F28" s="227">
        <v>55593.209999999999</v>
      </c>
      <c r="G28" s="227">
        <v>119618.67999999999</v>
      </c>
      <c r="H28" s="227">
        <v>78987.380000000005</v>
      </c>
      <c r="I28" s="227">
        <v>48453.389999999999</v>
      </c>
      <c r="J28" s="227">
        <v>157775.54000000001</v>
      </c>
      <c r="K28" s="227">
        <v>57856.010000000002</v>
      </c>
      <c r="L28" s="227">
        <v>73360.169999999998</v>
      </c>
      <c r="M28" s="227">
        <v>119923.88</v>
      </c>
      <c r="N28" s="227">
        <v>45184.379999999997</v>
      </c>
    </row>
    <row r="29">
      <c r="A29" s="231"/>
      <c r="B29" s="226" t="s">
        <v>91</v>
      </c>
      <c r="C29" s="232">
        <v>71987.210000000006</v>
      </c>
      <c r="D29" s="232">
        <v>87343.130000000005</v>
      </c>
      <c r="E29" s="232">
        <v>32957.639999999999</v>
      </c>
      <c r="F29" s="232">
        <v>55593.209999999999</v>
      </c>
      <c r="G29" s="232">
        <v>119618.67999999999</v>
      </c>
      <c r="H29" s="232">
        <v>78987.380000000005</v>
      </c>
      <c r="I29" s="232">
        <v>48453.389999999999</v>
      </c>
      <c r="J29" s="232">
        <v>157775.54000000001</v>
      </c>
      <c r="K29" s="232">
        <v>57856.010000000002</v>
      </c>
      <c r="L29" s="232">
        <v>73360.169999999998</v>
      </c>
      <c r="M29" s="232">
        <v>119923.88</v>
      </c>
      <c r="N29" s="232">
        <v>45184.379999999997</v>
      </c>
    </row>
    <row r="30">
      <c r="A30" s="226" t="s">
        <v>106</v>
      </c>
      <c r="B30" s="226" t="s">
        <v>107</v>
      </c>
    </row>
    <row r="31">
      <c r="A31" s="226" t="s">
        <v>113</v>
      </c>
      <c r="B31" s="226" t="s">
        <v>110</v>
      </c>
      <c r="C31" s="227">
        <v>6601.8800000000001</v>
      </c>
      <c r="D31" s="227">
        <v>5480.1999999999998</v>
      </c>
      <c r="E31" s="227">
        <v>5224.5299999999997</v>
      </c>
      <c r="F31" s="227">
        <v>5225.4700000000003</v>
      </c>
      <c r="G31" s="227">
        <v>10327.370000000001</v>
      </c>
      <c r="H31" s="227">
        <v>4571.6999999999998</v>
      </c>
      <c r="I31" s="227">
        <v>5440.5799999999999</v>
      </c>
      <c r="J31" s="227">
        <v>4824.5299999999997</v>
      </c>
      <c r="K31" s="227">
        <v>5854.7200000000003</v>
      </c>
      <c r="L31" s="227">
        <v>3661.3200000000002</v>
      </c>
      <c r="M31" s="227">
        <v>5448.1099999999997</v>
      </c>
      <c r="N31" s="227">
        <v>9457.5599999999995</v>
      </c>
    </row>
    <row r="32">
      <c r="A32" s="231"/>
      <c r="B32" s="226" t="s">
        <v>107</v>
      </c>
      <c r="C32" s="232">
        <v>6601.8800000000001</v>
      </c>
      <c r="D32" s="232">
        <v>5480.1999999999998</v>
      </c>
      <c r="E32" s="232">
        <v>5224.5299999999997</v>
      </c>
      <c r="F32" s="232">
        <v>5225.4700000000003</v>
      </c>
      <c r="G32" s="232">
        <v>10327.370000000001</v>
      </c>
      <c r="H32" s="232">
        <v>4571.6999999999998</v>
      </c>
      <c r="I32" s="232">
        <v>5440.5799999999999</v>
      </c>
      <c r="J32" s="232">
        <v>4824.5299999999997</v>
      </c>
      <c r="K32" s="232">
        <v>5854.7200000000003</v>
      </c>
      <c r="L32" s="232">
        <v>3661.3200000000002</v>
      </c>
      <c r="M32" s="232">
        <v>5448.1099999999997</v>
      </c>
      <c r="N32" s="232">
        <v>9457.5599999999995</v>
      </c>
    </row>
    <row r="33">
      <c r="A33" s="226" t="s">
        <v>118</v>
      </c>
      <c r="B33" s="226" t="s">
        <v>115</v>
      </c>
    </row>
    <row r="34">
      <c r="A34" s="226" t="s">
        <v>116</v>
      </c>
      <c r="B34" s="226" t="s">
        <v>117</v>
      </c>
      <c r="C34" s="227">
        <v>2599.0599999999999</v>
      </c>
      <c r="D34" s="227">
        <v>715.80999999999995</v>
      </c>
      <c r="E34" s="227">
        <v>129.63</v>
      </c>
      <c r="F34" s="227">
        <v>0</v>
      </c>
      <c r="G34" s="227">
        <v>0</v>
      </c>
      <c r="H34" s="227">
        <v>0</v>
      </c>
      <c r="I34" s="227">
        <v>0</v>
      </c>
      <c r="J34" s="227">
        <v>0</v>
      </c>
      <c r="K34" s="227">
        <v>259.25999999999999</v>
      </c>
      <c r="L34" s="227">
        <v>0</v>
      </c>
      <c r="M34" s="227">
        <v>0</v>
      </c>
      <c r="N34" s="227">
        <v>0</v>
      </c>
    </row>
    <row r="35">
      <c r="A35" s="231"/>
      <c r="B35" s="226" t="s">
        <v>115</v>
      </c>
      <c r="C35" s="232">
        <v>2599.0599999999999</v>
      </c>
      <c r="D35" s="232">
        <v>715.80999999999995</v>
      </c>
      <c r="E35" s="232">
        <v>129.63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259.25999999999999</v>
      </c>
      <c r="L35" s="232">
        <v>0</v>
      </c>
      <c r="M35" s="232">
        <v>0</v>
      </c>
      <c r="N35" s="232">
        <v>0</v>
      </c>
    </row>
    <row r="36">
      <c r="A36" s="226" t="s">
        <v>573</v>
      </c>
      <c r="B36" s="226" t="s">
        <v>120</v>
      </c>
    </row>
    <row r="37">
      <c r="A37" s="226" t="s">
        <v>121</v>
      </c>
      <c r="B37" s="226" t="s">
        <v>122</v>
      </c>
      <c r="C37" s="227">
        <v>1335.5999999999999</v>
      </c>
      <c r="D37" s="227">
        <v>349.06</v>
      </c>
      <c r="E37" s="227">
        <v>0</v>
      </c>
      <c r="F37" s="227">
        <v>0</v>
      </c>
      <c r="G37" s="227">
        <v>0</v>
      </c>
      <c r="H37" s="227">
        <v>0</v>
      </c>
      <c r="I37" s="227">
        <v>0</v>
      </c>
      <c r="J37" s="227">
        <v>0</v>
      </c>
      <c r="K37" s="227">
        <v>0</v>
      </c>
      <c r="L37" s="227">
        <v>0</v>
      </c>
      <c r="M37" s="227">
        <v>0</v>
      </c>
      <c r="N37" s="227">
        <v>0</v>
      </c>
    </row>
    <row r="38">
      <c r="A38" s="226" t="s">
        <v>124</v>
      </c>
      <c r="B38" s="226" t="s">
        <v>125</v>
      </c>
      <c r="C38" s="227">
        <v>0</v>
      </c>
      <c r="D38" s="227">
        <v>0</v>
      </c>
      <c r="E38" s="227">
        <v>381.36000000000001</v>
      </c>
      <c r="F38" s="227">
        <v>0</v>
      </c>
      <c r="G38" s="227">
        <v>0</v>
      </c>
      <c r="H38" s="227">
        <v>0</v>
      </c>
      <c r="I38" s="227">
        <v>0</v>
      </c>
      <c r="J38" s="227">
        <v>0</v>
      </c>
      <c r="K38" s="227">
        <v>0</v>
      </c>
      <c r="L38" s="227">
        <v>0</v>
      </c>
      <c r="M38" s="227">
        <v>360</v>
      </c>
      <c r="N38" s="227">
        <v>30</v>
      </c>
    </row>
    <row r="39">
      <c r="A39" s="231"/>
      <c r="B39" s="226" t="s">
        <v>120</v>
      </c>
      <c r="C39" s="232">
        <v>1335.5999999999999</v>
      </c>
      <c r="D39" s="232">
        <v>349.06</v>
      </c>
      <c r="E39" s="232">
        <v>381.36000000000001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360</v>
      </c>
      <c r="N39" s="232">
        <v>30</v>
      </c>
    </row>
    <row r="40">
      <c r="A40" s="231"/>
      <c r="C40" s="232">
        <v>322969.51000000001</v>
      </c>
      <c r="D40" s="232">
        <v>452835.44</v>
      </c>
      <c r="E40" s="232">
        <v>403986.76000000001</v>
      </c>
      <c r="F40" s="234">
        <v>374464.84000000003</v>
      </c>
      <c r="G40" s="232">
        <v>512364.23999999999</v>
      </c>
      <c r="H40" s="232">
        <v>441953.79999999999</v>
      </c>
      <c r="I40" s="232">
        <v>520540.69</v>
      </c>
      <c r="J40" s="232">
        <v>636102.51000000001</v>
      </c>
      <c r="K40" s="232">
        <v>461464.90999999997</v>
      </c>
      <c r="L40" s="232">
        <v>453982.10999999999</v>
      </c>
      <c r="M40" s="232">
        <v>514664.44</v>
      </c>
      <c r="N40" s="232">
        <v>563250.70999999996</v>
      </c>
    </row>
    <row r="41">
      <c r="A41" s="231" t="s">
        <v>579</v>
      </c>
      <c r="C41" s="232">
        <v>322969.51000000001</v>
      </c>
      <c r="D41" s="232">
        <v>452835.44</v>
      </c>
      <c r="E41" s="232">
        <v>403986.76000000001</v>
      </c>
      <c r="F41" s="234">
        <v>374464.84000000003</v>
      </c>
      <c r="G41" s="232">
        <v>512364.23999999999</v>
      </c>
      <c r="H41" s="232">
        <v>441953.79999999999</v>
      </c>
      <c r="I41" s="232">
        <v>520540.69</v>
      </c>
      <c r="J41" s="232">
        <v>636102.51000000001</v>
      </c>
      <c r="K41" s="232">
        <v>461464.90999999997</v>
      </c>
      <c r="L41" s="232">
        <v>453982.10999999999</v>
      </c>
      <c r="M41" s="232">
        <v>514664.44</v>
      </c>
      <c r="N41" s="232">
        <v>563250.70999999996</v>
      </c>
    </row>
    <row r="42">
      <c r="A42" s="231" t="s">
        <v>142</v>
      </c>
    </row>
    <row r="43">
      <c r="A43" s="226" t="s">
        <v>144</v>
      </c>
      <c r="B43" s="226" t="s">
        <v>145</v>
      </c>
      <c r="C43" s="227">
        <v>23438.060000000001</v>
      </c>
      <c r="D43" s="227">
        <v>0</v>
      </c>
      <c r="E43" s="227">
        <v>0</v>
      </c>
      <c r="F43" s="227">
        <v>0</v>
      </c>
      <c r="G43" s="227">
        <v>0</v>
      </c>
      <c r="H43" s="227">
        <v>0</v>
      </c>
      <c r="I43" s="227">
        <v>0</v>
      </c>
      <c r="J43" s="227">
        <v>0</v>
      </c>
      <c r="K43" s="227">
        <v>0</v>
      </c>
      <c r="L43" s="227">
        <v>0</v>
      </c>
      <c r="M43" s="227">
        <v>0</v>
      </c>
      <c r="N43" s="227">
        <v>0</v>
      </c>
    </row>
    <row r="44">
      <c r="A44" s="226" t="s">
        <v>629</v>
      </c>
      <c r="B44" s="226" t="s">
        <v>151</v>
      </c>
      <c r="C44" s="227">
        <v>18604</v>
      </c>
      <c r="D44" s="227">
        <v>13245</v>
      </c>
      <c r="E44" s="227">
        <v>17212</v>
      </c>
      <c r="F44" s="227">
        <v>2805</v>
      </c>
      <c r="G44" s="227">
        <v>9347</v>
      </c>
      <c r="H44" s="227">
        <v>22737</v>
      </c>
      <c r="I44" s="227">
        <v>11924</v>
      </c>
      <c r="J44" s="227">
        <v>29110</v>
      </c>
      <c r="K44" s="227">
        <v>4197</v>
      </c>
      <c r="L44" s="227">
        <v>3360</v>
      </c>
      <c r="M44" s="227">
        <v>15775</v>
      </c>
      <c r="N44" s="227">
        <v>12398</v>
      </c>
    </row>
    <row r="45">
      <c r="A45" s="226" t="s">
        <v>630</v>
      </c>
      <c r="B45" s="226" t="s">
        <v>583</v>
      </c>
    </row>
    <row r="46">
      <c r="A46" s="226" t="s">
        <v>631</v>
      </c>
      <c r="B46" s="226" t="s">
        <v>160</v>
      </c>
      <c r="C46" s="227">
        <v>0</v>
      </c>
      <c r="D46" s="227">
        <v>0</v>
      </c>
      <c r="E46" s="227">
        <v>107.59999999999999</v>
      </c>
      <c r="F46" s="227">
        <v>0</v>
      </c>
      <c r="G46" s="227">
        <v>0</v>
      </c>
      <c r="H46" s="227">
        <v>0</v>
      </c>
      <c r="I46" s="227">
        <v>0</v>
      </c>
      <c r="J46" s="227">
        <v>30.399999999999999</v>
      </c>
      <c r="K46" s="227">
        <v>0</v>
      </c>
      <c r="L46" s="227">
        <v>0</v>
      </c>
      <c r="M46" s="227">
        <v>0</v>
      </c>
      <c r="N46" s="227">
        <v>0</v>
      </c>
    </row>
    <row r="47">
      <c r="A47" s="231"/>
      <c r="B47" s="226" t="s">
        <v>583</v>
      </c>
      <c r="C47" s="232">
        <v>0</v>
      </c>
      <c r="D47" s="232">
        <v>0</v>
      </c>
      <c r="E47" s="232">
        <v>107.59999999999999</v>
      </c>
      <c r="F47" s="232">
        <v>0</v>
      </c>
      <c r="G47" s="232">
        <v>0</v>
      </c>
      <c r="H47" s="232">
        <v>0</v>
      </c>
      <c r="I47" s="232">
        <v>0</v>
      </c>
      <c r="J47" s="232">
        <v>30.399999999999999</v>
      </c>
      <c r="K47" s="232">
        <v>0</v>
      </c>
      <c r="L47" s="232">
        <v>0</v>
      </c>
      <c r="M47" s="232">
        <v>0</v>
      </c>
      <c r="N47" s="232">
        <v>0</v>
      </c>
    </row>
    <row r="48">
      <c r="A48" s="226" t="s">
        <v>632</v>
      </c>
      <c r="B48" s="226" t="s">
        <v>187</v>
      </c>
      <c r="C48" s="227">
        <v>29788.529999999999</v>
      </c>
      <c r="D48" s="227">
        <v>29491.43</v>
      </c>
      <c r="E48" s="227">
        <v>55712.239999999998</v>
      </c>
      <c r="F48" s="227">
        <v>37724.129999999997</v>
      </c>
      <c r="G48" s="227">
        <v>41528.080000000002</v>
      </c>
      <c r="H48" s="227">
        <v>34919.510000000002</v>
      </c>
      <c r="I48" s="227">
        <v>34061.620000000003</v>
      </c>
      <c r="J48" s="227">
        <v>49193.620000000003</v>
      </c>
      <c r="K48" s="227">
        <v>36634.68</v>
      </c>
      <c r="L48" s="227">
        <v>36577.849999999999</v>
      </c>
      <c r="M48" s="227">
        <v>51528.5</v>
      </c>
      <c r="N48" s="227">
        <v>36482.510000000002</v>
      </c>
    </row>
    <row r="49">
      <c r="A49" s="226" t="s">
        <v>633</v>
      </c>
      <c r="B49" s="226" t="s">
        <v>190</v>
      </c>
      <c r="C49" s="227">
        <v>10073.780000000001</v>
      </c>
      <c r="D49" s="227">
        <v>15159.85</v>
      </c>
      <c r="E49" s="227">
        <v>21490.759999999998</v>
      </c>
      <c r="F49" s="227">
        <v>12407.459999999999</v>
      </c>
      <c r="G49" s="227">
        <v>10317.15</v>
      </c>
      <c r="H49" s="227">
        <v>0</v>
      </c>
      <c r="I49" s="227">
        <v>0</v>
      </c>
      <c r="J49" s="227">
        <v>0</v>
      </c>
      <c r="K49" s="227">
        <v>0</v>
      </c>
      <c r="L49" s="227">
        <v>0</v>
      </c>
      <c r="M49" s="227">
        <v>0</v>
      </c>
      <c r="N49" s="227">
        <v>0</v>
      </c>
    </row>
    <row r="50">
      <c r="A50" s="226" t="s">
        <v>634</v>
      </c>
      <c r="B50" s="226" t="s">
        <v>172</v>
      </c>
      <c r="C50" s="227">
        <v>1645</v>
      </c>
      <c r="D50" s="227">
        <v>567</v>
      </c>
      <c r="E50" s="227">
        <v>2241.4499999999998</v>
      </c>
      <c r="F50" s="227">
        <v>1691.2</v>
      </c>
      <c r="G50" s="227">
        <v>69</v>
      </c>
      <c r="H50" s="227">
        <v>855.60000000000002</v>
      </c>
      <c r="I50" s="227">
        <v>82.5</v>
      </c>
      <c r="J50" s="227">
        <v>17.199999999999999</v>
      </c>
      <c r="K50" s="227">
        <v>158.19999999999999</v>
      </c>
      <c r="L50" s="227">
        <v>0</v>
      </c>
      <c r="M50" s="227">
        <v>0</v>
      </c>
      <c r="N50" s="227">
        <v>0</v>
      </c>
    </row>
    <row r="51">
      <c r="A51" s="226" t="s">
        <v>635</v>
      </c>
      <c r="B51" s="226" t="s">
        <v>193</v>
      </c>
      <c r="C51" s="227">
        <v>393.94999999999999</v>
      </c>
      <c r="D51" s="227">
        <v>175.69999999999999</v>
      </c>
      <c r="E51" s="227">
        <v>877.63999999999999</v>
      </c>
      <c r="F51" s="227">
        <v>1297.3699999999999</v>
      </c>
      <c r="G51" s="227">
        <v>1411.6500000000001</v>
      </c>
      <c r="H51" s="227">
        <v>1082.78</v>
      </c>
      <c r="I51" s="227">
        <v>143.38</v>
      </c>
      <c r="J51" s="227">
        <v>481.13999999999999</v>
      </c>
      <c r="K51" s="227">
        <v>166.80000000000001</v>
      </c>
      <c r="L51" s="227">
        <v>172.37</v>
      </c>
      <c r="M51" s="227">
        <v>360.33999999999997</v>
      </c>
      <c r="N51" s="227">
        <v>1183.3099999999999</v>
      </c>
    </row>
    <row r="52">
      <c r="A52" s="226" t="s">
        <v>636</v>
      </c>
      <c r="B52" s="226" t="s">
        <v>196</v>
      </c>
      <c r="C52" s="227">
        <v>0</v>
      </c>
      <c r="D52" s="227">
        <v>0</v>
      </c>
      <c r="E52" s="227">
        <v>0</v>
      </c>
      <c r="F52" s="227">
        <v>0</v>
      </c>
      <c r="G52" s="227">
        <v>0</v>
      </c>
      <c r="H52" s="227">
        <v>0</v>
      </c>
      <c r="I52" s="227">
        <v>1750</v>
      </c>
      <c r="J52" s="227">
        <v>0</v>
      </c>
      <c r="K52" s="227">
        <v>363.14999999999998</v>
      </c>
      <c r="L52" s="227">
        <v>0</v>
      </c>
      <c r="M52" s="227">
        <v>0</v>
      </c>
      <c r="N52" s="227">
        <v>0</v>
      </c>
    </row>
    <row r="53">
      <c r="A53" s="226" t="s">
        <v>637</v>
      </c>
      <c r="B53" s="226" t="s">
        <v>175</v>
      </c>
      <c r="C53" s="227">
        <v>750</v>
      </c>
      <c r="D53" s="227">
        <v>1155</v>
      </c>
      <c r="E53" s="227">
        <v>154</v>
      </c>
      <c r="F53" s="227">
        <v>0</v>
      </c>
      <c r="G53" s="227">
        <v>0</v>
      </c>
      <c r="H53" s="227">
        <v>0</v>
      </c>
      <c r="I53" s="227">
        <v>568</v>
      </c>
      <c r="J53" s="227">
        <v>744</v>
      </c>
      <c r="K53" s="227">
        <v>426</v>
      </c>
      <c r="L53" s="227">
        <v>8009.5</v>
      </c>
      <c r="M53" s="227">
        <v>750</v>
      </c>
      <c r="N53" s="227">
        <v>127.5</v>
      </c>
    </row>
    <row r="54">
      <c r="A54" s="226" t="s">
        <v>638</v>
      </c>
      <c r="B54" s="226" t="s">
        <v>178</v>
      </c>
      <c r="C54" s="227">
        <v>0</v>
      </c>
      <c r="D54" s="227">
        <v>0</v>
      </c>
      <c r="E54" s="227">
        <v>0</v>
      </c>
      <c r="F54" s="227">
        <v>0</v>
      </c>
      <c r="G54" s="227">
        <v>0</v>
      </c>
      <c r="H54" s="227">
        <v>0</v>
      </c>
      <c r="I54" s="227">
        <v>0</v>
      </c>
      <c r="J54" s="227">
        <v>705.60000000000002</v>
      </c>
      <c r="K54" s="227">
        <v>705.60000000000002</v>
      </c>
      <c r="L54" s="227">
        <v>0</v>
      </c>
      <c r="M54" s="227">
        <v>0</v>
      </c>
      <c r="N54" s="227">
        <v>0</v>
      </c>
    </row>
    <row r="55">
      <c r="A55" s="226" t="s">
        <v>639</v>
      </c>
      <c r="B55" s="226" t="s">
        <v>166</v>
      </c>
      <c r="C55" s="227">
        <v>17867.73</v>
      </c>
      <c r="D55" s="227">
        <v>22868.490000000002</v>
      </c>
      <c r="E55" s="227">
        <v>22105.869999999999</v>
      </c>
      <c r="F55" s="227">
        <v>17413.330000000002</v>
      </c>
      <c r="G55" s="227">
        <v>24763.27</v>
      </c>
      <c r="H55" s="227">
        <v>28194.209999999999</v>
      </c>
      <c r="I55" s="227">
        <v>37696.32</v>
      </c>
      <c r="J55" s="227">
        <v>35043.949999999997</v>
      </c>
      <c r="K55" s="227">
        <v>32906.739999999998</v>
      </c>
      <c r="L55" s="227">
        <v>29257.630000000001</v>
      </c>
      <c r="M55" s="227">
        <v>28205.279999999999</v>
      </c>
      <c r="N55" s="227">
        <v>35042.650000000001</v>
      </c>
    </row>
    <row r="56">
      <c r="A56" s="226" t="s">
        <v>198</v>
      </c>
      <c r="B56" s="226" t="s">
        <v>199</v>
      </c>
    </row>
    <row r="57">
      <c r="A57" s="226" t="s">
        <v>201</v>
      </c>
      <c r="B57" s="226" t="s">
        <v>202</v>
      </c>
      <c r="C57" s="227">
        <v>0</v>
      </c>
      <c r="D57" s="227">
        <v>3880</v>
      </c>
      <c r="E57" s="227">
        <v>3880</v>
      </c>
      <c r="F57" s="227">
        <v>0</v>
      </c>
      <c r="G57" s="227">
        <v>3880</v>
      </c>
      <c r="H57" s="227">
        <v>0</v>
      </c>
      <c r="I57" s="227">
        <v>0</v>
      </c>
      <c r="J57" s="227">
        <v>5820</v>
      </c>
      <c r="K57" s="227">
        <v>1940</v>
      </c>
      <c r="L57" s="227">
        <v>1940</v>
      </c>
      <c r="M57" s="227">
        <v>0</v>
      </c>
      <c r="N57" s="227">
        <v>0</v>
      </c>
    </row>
    <row r="58">
      <c r="A58" s="231"/>
      <c r="B58" s="226" t="s">
        <v>199</v>
      </c>
      <c r="C58" s="232">
        <v>0</v>
      </c>
      <c r="D58" s="232">
        <v>3880</v>
      </c>
      <c r="E58" s="232">
        <v>3880</v>
      </c>
      <c r="F58" s="232">
        <v>0</v>
      </c>
      <c r="G58" s="232">
        <v>3880</v>
      </c>
      <c r="H58" s="232">
        <v>0</v>
      </c>
      <c r="I58" s="232">
        <v>0</v>
      </c>
      <c r="J58" s="232">
        <v>5820</v>
      </c>
      <c r="K58" s="232">
        <v>1940</v>
      </c>
      <c r="L58" s="232">
        <v>1940</v>
      </c>
      <c r="M58" s="232">
        <v>0</v>
      </c>
      <c r="N58" s="232">
        <v>0</v>
      </c>
    </row>
    <row r="59">
      <c r="A59" s="226" t="s">
        <v>203</v>
      </c>
      <c r="B59" s="226" t="s">
        <v>204</v>
      </c>
      <c r="C59" s="227">
        <v>0</v>
      </c>
      <c r="D59" s="227">
        <v>0</v>
      </c>
      <c r="E59" s="227">
        <v>0</v>
      </c>
      <c r="F59" s="227">
        <v>0</v>
      </c>
      <c r="G59" s="227">
        <v>0</v>
      </c>
      <c r="H59" s="227">
        <v>0</v>
      </c>
      <c r="I59" s="227">
        <v>0</v>
      </c>
      <c r="J59" s="227">
        <v>0</v>
      </c>
      <c r="K59" s="227">
        <v>0</v>
      </c>
      <c r="L59" s="227">
        <v>0</v>
      </c>
      <c r="M59" s="227">
        <v>0</v>
      </c>
      <c r="N59" s="227">
        <v>0</v>
      </c>
    </row>
    <row r="60">
      <c r="A60" s="226" t="s">
        <v>212</v>
      </c>
      <c r="B60" s="226" t="s">
        <v>213</v>
      </c>
    </row>
    <row r="61">
      <c r="A61" s="226" t="s">
        <v>215</v>
      </c>
      <c r="B61" s="226" t="s">
        <v>216</v>
      </c>
      <c r="C61" s="227">
        <v>2240.75</v>
      </c>
      <c r="D61" s="227">
        <v>2544.02</v>
      </c>
      <c r="E61" s="227">
        <v>2255.6399999999999</v>
      </c>
      <c r="F61" s="227">
        <v>1990.3599999999999</v>
      </c>
      <c r="G61" s="227">
        <v>2566.9400000000001</v>
      </c>
      <c r="H61" s="227">
        <v>2338.6900000000001</v>
      </c>
      <c r="I61" s="227">
        <v>3729.5799999999999</v>
      </c>
      <c r="J61" s="227">
        <v>3564.71</v>
      </c>
      <c r="K61" s="227">
        <v>3643.1100000000001</v>
      </c>
      <c r="L61" s="227">
        <v>2742.6300000000001</v>
      </c>
      <c r="M61" s="227">
        <v>3090.5999999999999</v>
      </c>
      <c r="N61" s="227">
        <v>5282.1700000000001</v>
      </c>
    </row>
    <row r="62">
      <c r="A62" s="226" t="s">
        <v>218</v>
      </c>
      <c r="B62" s="226" t="s">
        <v>219</v>
      </c>
      <c r="C62" s="227">
        <v>62</v>
      </c>
      <c r="D62" s="227">
        <v>748.91999999999996</v>
      </c>
      <c r="E62" s="227">
        <v>38.630000000000003</v>
      </c>
      <c r="F62" s="227">
        <v>46.049999999999997</v>
      </c>
      <c r="G62" s="227">
        <v>466.44999999999999</v>
      </c>
      <c r="H62" s="227">
        <v>88.870000000000005</v>
      </c>
      <c r="I62" s="227">
        <v>62.020000000000003</v>
      </c>
      <c r="J62" s="227">
        <v>230.09</v>
      </c>
      <c r="K62" s="227">
        <v>64.609999999999999</v>
      </c>
      <c r="L62" s="227">
        <v>64.900000000000006</v>
      </c>
      <c r="M62" s="227">
        <v>78.370000000000005</v>
      </c>
      <c r="N62" s="227">
        <v>189.61000000000001</v>
      </c>
    </row>
    <row r="63">
      <c r="A63" s="226" t="s">
        <v>221</v>
      </c>
      <c r="B63" s="226" t="s">
        <v>222</v>
      </c>
      <c r="C63" s="227">
        <v>28.420000000000002</v>
      </c>
      <c r="D63" s="227">
        <v>18.059999999999999</v>
      </c>
      <c r="E63" s="227">
        <v>13.15</v>
      </c>
      <c r="F63" s="227">
        <v>11.52</v>
      </c>
      <c r="G63" s="227">
        <v>18.559999999999999</v>
      </c>
      <c r="H63" s="227">
        <v>13.970000000000001</v>
      </c>
      <c r="I63" s="227">
        <v>14</v>
      </c>
      <c r="J63" s="227">
        <v>20.210000000000001</v>
      </c>
      <c r="K63" s="227">
        <v>9.9600000000000009</v>
      </c>
      <c r="L63" s="227">
        <v>7.8099999999999996</v>
      </c>
      <c r="M63" s="227">
        <v>29.390000000000001</v>
      </c>
      <c r="N63" s="227">
        <v>23.699999999999999</v>
      </c>
    </row>
    <row r="64">
      <c r="A64" s="226" t="s">
        <v>224</v>
      </c>
      <c r="B64" s="226" t="s">
        <v>225</v>
      </c>
      <c r="C64" s="227">
        <v>0</v>
      </c>
      <c r="D64" s="227">
        <v>92.620000000000005</v>
      </c>
      <c r="E64" s="227">
        <v>45.780000000000001</v>
      </c>
      <c r="F64" s="227">
        <v>0</v>
      </c>
      <c r="G64" s="227">
        <v>92.969999999999999</v>
      </c>
      <c r="H64" s="227">
        <v>90.069999999999993</v>
      </c>
      <c r="I64" s="227">
        <v>0</v>
      </c>
      <c r="J64" s="227">
        <v>43.859999999999999</v>
      </c>
      <c r="K64" s="227">
        <v>0</v>
      </c>
      <c r="L64" s="227">
        <v>0</v>
      </c>
      <c r="M64" s="227">
        <v>0</v>
      </c>
      <c r="N64" s="227">
        <v>0</v>
      </c>
    </row>
    <row r="65">
      <c r="A65" s="226" t="s">
        <v>227</v>
      </c>
      <c r="B65" s="226" t="s">
        <v>228</v>
      </c>
      <c r="C65" s="227">
        <v>0</v>
      </c>
      <c r="D65" s="227">
        <v>0</v>
      </c>
      <c r="E65" s="227">
        <v>0</v>
      </c>
      <c r="F65" s="227">
        <v>0</v>
      </c>
      <c r="G65" s="227">
        <v>0</v>
      </c>
      <c r="H65" s="227">
        <v>111.2</v>
      </c>
      <c r="I65" s="227">
        <v>0</v>
      </c>
      <c r="J65" s="227">
        <v>0</v>
      </c>
      <c r="K65" s="227">
        <v>732.15999999999997</v>
      </c>
      <c r="L65" s="227">
        <v>366.39999999999998</v>
      </c>
      <c r="M65" s="227">
        <v>7.9900000000000002</v>
      </c>
      <c r="N65" s="227">
        <v>0</v>
      </c>
    </row>
    <row r="66">
      <c r="A66" s="231"/>
      <c r="B66" s="226" t="s">
        <v>213</v>
      </c>
      <c r="C66" s="232">
        <v>2331.1700000000001</v>
      </c>
      <c r="D66" s="232">
        <v>3403.6199999999999</v>
      </c>
      <c r="E66" s="232">
        <v>2353.1999999999998</v>
      </c>
      <c r="F66" s="232">
        <v>2047.9300000000001</v>
      </c>
      <c r="G66" s="232">
        <v>3144.9200000000001</v>
      </c>
      <c r="H66" s="232">
        <v>2642.8000000000002</v>
      </c>
      <c r="I66" s="232">
        <v>3805.5999999999999</v>
      </c>
      <c r="J66" s="232">
        <v>3858.8699999999999</v>
      </c>
      <c r="K66" s="232">
        <v>4449.8400000000001</v>
      </c>
      <c r="L66" s="232">
        <v>3181.7399999999998</v>
      </c>
      <c r="M66" s="232">
        <v>3206.3499999999999</v>
      </c>
      <c r="N66" s="232">
        <v>5495.4799999999996</v>
      </c>
    </row>
    <row r="67">
      <c r="A67" s="226" t="s">
        <v>640</v>
      </c>
      <c r="B67" s="226" t="s">
        <v>231</v>
      </c>
    </row>
    <row r="68">
      <c r="A68" s="226" t="s">
        <v>233</v>
      </c>
      <c r="B68" s="226" t="s">
        <v>234</v>
      </c>
      <c r="C68" s="227">
        <v>0</v>
      </c>
      <c r="D68" s="227">
        <v>18967.43</v>
      </c>
      <c r="E68" s="227">
        <v>33174.75</v>
      </c>
      <c r="F68" s="227">
        <v>27289.68</v>
      </c>
      <c r="G68" s="227">
        <v>20335.310000000001</v>
      </c>
      <c r="H68" s="227">
        <v>28369.540000000001</v>
      </c>
      <c r="I68" s="227">
        <v>31141.130000000001</v>
      </c>
      <c r="J68" s="227">
        <v>27220.110000000001</v>
      </c>
      <c r="K68" s="227">
        <v>28506.619999999999</v>
      </c>
      <c r="L68" s="227">
        <v>29097.080000000002</v>
      </c>
      <c r="M68" s="227">
        <v>19697.389999999999</v>
      </c>
      <c r="N68" s="227">
        <v>20599.400000000001</v>
      </c>
    </row>
    <row r="69">
      <c r="A69" s="226" t="s">
        <v>236</v>
      </c>
      <c r="B69" s="226" t="s">
        <v>237</v>
      </c>
      <c r="C69" s="227">
        <v>0</v>
      </c>
      <c r="D69" s="227">
        <v>1003.5</v>
      </c>
      <c r="E69" s="227">
        <v>858.14999999999998</v>
      </c>
      <c r="F69" s="227">
        <v>2018.7</v>
      </c>
      <c r="G69" s="227">
        <v>1805.1500000000001</v>
      </c>
      <c r="H69" s="227">
        <v>2417.0799999999999</v>
      </c>
      <c r="I69" s="227">
        <v>2255.8800000000001</v>
      </c>
      <c r="J69" s="227">
        <v>1009.34</v>
      </c>
      <c r="K69" s="227">
        <v>1289.6199999999999</v>
      </c>
      <c r="L69" s="227">
        <v>1473.3399999999999</v>
      </c>
      <c r="M69" s="227">
        <v>704.89999999999998</v>
      </c>
      <c r="N69" s="227">
        <v>275.42000000000002</v>
      </c>
    </row>
    <row r="70">
      <c r="A70" s="226" t="s">
        <v>239</v>
      </c>
      <c r="B70" s="226" t="s">
        <v>240</v>
      </c>
      <c r="C70" s="227">
        <v>0</v>
      </c>
      <c r="D70" s="227">
        <v>0</v>
      </c>
      <c r="E70" s="227">
        <v>0</v>
      </c>
      <c r="F70" s="227">
        <v>244</v>
      </c>
      <c r="G70" s="227">
        <v>1860</v>
      </c>
      <c r="H70" s="227">
        <v>0</v>
      </c>
      <c r="I70" s="227">
        <v>1103.0999999999999</v>
      </c>
      <c r="J70" s="227">
        <v>1932.8</v>
      </c>
      <c r="K70" s="227">
        <v>0</v>
      </c>
      <c r="L70" s="227">
        <v>0</v>
      </c>
      <c r="M70" s="227">
        <v>0</v>
      </c>
      <c r="N70" s="227">
        <v>2187.1999999999998</v>
      </c>
    </row>
    <row r="71">
      <c r="A71" s="231"/>
      <c r="B71" s="226" t="s">
        <v>231</v>
      </c>
      <c r="C71" s="232">
        <v>0</v>
      </c>
      <c r="D71" s="232">
        <v>19970.93</v>
      </c>
      <c r="E71" s="232">
        <v>34032.900000000001</v>
      </c>
      <c r="F71" s="232">
        <v>29552.380000000001</v>
      </c>
      <c r="G71" s="232">
        <v>24000.459999999999</v>
      </c>
      <c r="H71" s="232">
        <v>30786.619999999999</v>
      </c>
      <c r="I71" s="232">
        <v>34500.110000000001</v>
      </c>
      <c r="J71" s="232">
        <v>30162.25</v>
      </c>
      <c r="K71" s="232">
        <v>29796.240000000002</v>
      </c>
      <c r="L71" s="232">
        <v>30570.419999999998</v>
      </c>
      <c r="M71" s="232">
        <v>20402.290000000001</v>
      </c>
      <c r="N71" s="232">
        <v>23062.02</v>
      </c>
    </row>
    <row r="72">
      <c r="A72" s="231"/>
      <c r="C72" s="232">
        <v>104892.22</v>
      </c>
      <c r="D72" s="232">
        <v>109917.02</v>
      </c>
      <c r="E72" s="232">
        <v>160167.66</v>
      </c>
      <c r="F72" s="234">
        <v>104938.8</v>
      </c>
      <c r="G72" s="232">
        <v>118461.53</v>
      </c>
      <c r="H72" s="232">
        <v>121218.52</v>
      </c>
      <c r="I72" s="232">
        <v>124531.53</v>
      </c>
      <c r="J72" s="232">
        <v>155167.03</v>
      </c>
      <c r="K72" s="232">
        <v>111744.25</v>
      </c>
      <c r="L72" s="232">
        <v>113069.50999999999</v>
      </c>
      <c r="M72" s="232">
        <v>120227.75999999999</v>
      </c>
      <c r="N72" s="232">
        <v>113791.47</v>
      </c>
    </row>
    <row r="73">
      <c r="A73" s="231" t="s">
        <v>243</v>
      </c>
      <c r="C73" s="232">
        <v>218077.29000000001</v>
      </c>
      <c r="D73" s="232">
        <v>342918.41999999998</v>
      </c>
      <c r="E73" s="232">
        <v>243819.10000000001</v>
      </c>
      <c r="F73" s="232">
        <v>269526.03999999998</v>
      </c>
      <c r="G73" s="232">
        <v>393902.71000000002</v>
      </c>
      <c r="H73" s="232">
        <v>320735.28000000003</v>
      </c>
      <c r="I73" s="232">
        <v>396009.15999999997</v>
      </c>
      <c r="J73" s="232">
        <v>480935.47999999998</v>
      </c>
      <c r="K73" s="232">
        <v>349720.65999999997</v>
      </c>
      <c r="L73" s="232">
        <v>340912.59999999998</v>
      </c>
      <c r="M73" s="232">
        <v>394436.67999999999</v>
      </c>
      <c r="N73" s="232">
        <v>449459.23999999999</v>
      </c>
    </row>
    <row r="74">
      <c r="A74" s="231" t="s">
        <v>245</v>
      </c>
    </row>
    <row r="75">
      <c r="A75" s="226" t="s">
        <v>246</v>
      </c>
      <c r="B75" s="226" t="s">
        <v>247</v>
      </c>
      <c r="C75" s="227">
        <v>0</v>
      </c>
      <c r="D75" s="227">
        <v>0</v>
      </c>
      <c r="E75" s="227">
        <v>0</v>
      </c>
      <c r="F75" s="227">
        <v>-43.82</v>
      </c>
      <c r="G75" s="227">
        <v>0</v>
      </c>
      <c r="H75" s="227">
        <v>0</v>
      </c>
      <c r="I75" s="227">
        <v>0</v>
      </c>
      <c r="J75" s="227">
        <v>0</v>
      </c>
      <c r="K75" s="227">
        <v>0</v>
      </c>
      <c r="L75" s="227">
        <v>0</v>
      </c>
      <c r="M75" s="227">
        <v>0</v>
      </c>
      <c r="N75" s="227">
        <v>0</v>
      </c>
    </row>
    <row r="76">
      <c r="A76" s="226" t="s">
        <v>249</v>
      </c>
      <c r="B76" s="226" t="s">
        <v>250</v>
      </c>
    </row>
    <row r="77">
      <c r="A77" s="226" t="s">
        <v>252</v>
      </c>
      <c r="B77" s="226" t="s">
        <v>253</v>
      </c>
      <c r="C77" s="227">
        <v>40</v>
      </c>
      <c r="D77" s="227">
        <v>175</v>
      </c>
      <c r="E77" s="227">
        <v>0</v>
      </c>
      <c r="F77" s="227">
        <v>70</v>
      </c>
      <c r="G77" s="227">
        <v>20</v>
      </c>
      <c r="H77" s="227">
        <v>10</v>
      </c>
      <c r="I77" s="227">
        <v>925</v>
      </c>
      <c r="J77" s="227">
        <v>1030</v>
      </c>
      <c r="K77" s="227">
        <v>370</v>
      </c>
      <c r="L77" s="227">
        <v>1530</v>
      </c>
      <c r="M77" s="227">
        <v>90</v>
      </c>
      <c r="N77" s="227">
        <v>1070</v>
      </c>
    </row>
    <row r="78">
      <c r="A78" s="226" t="s">
        <v>255</v>
      </c>
      <c r="B78" s="226" t="s">
        <v>256</v>
      </c>
      <c r="C78" s="227">
        <v>0</v>
      </c>
      <c r="D78" s="227">
        <v>0</v>
      </c>
      <c r="E78" s="227">
        <v>187</v>
      </c>
      <c r="F78" s="227">
        <v>0</v>
      </c>
      <c r="G78" s="227">
        <v>215</v>
      </c>
      <c r="H78" s="227">
        <v>0</v>
      </c>
      <c r="I78" s="227">
        <v>544</v>
      </c>
      <c r="J78" s="227">
        <v>0</v>
      </c>
      <c r="K78" s="227">
        <v>0</v>
      </c>
      <c r="L78" s="227">
        <v>433</v>
      </c>
      <c r="M78" s="227">
        <v>433</v>
      </c>
      <c r="N78" s="227">
        <v>0</v>
      </c>
    </row>
    <row r="79">
      <c r="A79" s="226" t="s">
        <v>261</v>
      </c>
      <c r="B79" s="226" t="s">
        <v>262</v>
      </c>
      <c r="C79" s="227">
        <v>0</v>
      </c>
      <c r="D79" s="227">
        <v>0</v>
      </c>
      <c r="E79" s="227">
        <v>0</v>
      </c>
      <c r="F79" s="227">
        <v>0</v>
      </c>
      <c r="G79" s="227">
        <v>0</v>
      </c>
      <c r="H79" s="227">
        <v>0</v>
      </c>
      <c r="I79" s="227">
        <v>0</v>
      </c>
      <c r="J79" s="227">
        <v>0</v>
      </c>
      <c r="K79" s="227">
        <v>15</v>
      </c>
      <c r="L79" s="227">
        <v>100</v>
      </c>
      <c r="M79" s="227">
        <v>0</v>
      </c>
      <c r="N79" s="227">
        <v>0</v>
      </c>
    </row>
    <row r="80">
      <c r="A80" s="231"/>
      <c r="B80" s="226" t="s">
        <v>250</v>
      </c>
      <c r="C80" s="232">
        <v>40</v>
      </c>
      <c r="D80" s="232">
        <v>175</v>
      </c>
      <c r="E80" s="232">
        <v>187</v>
      </c>
      <c r="F80" s="232">
        <v>70</v>
      </c>
      <c r="G80" s="232">
        <v>235</v>
      </c>
      <c r="H80" s="232">
        <v>10</v>
      </c>
      <c r="I80" s="232">
        <v>1469</v>
      </c>
      <c r="J80" s="232">
        <v>1030</v>
      </c>
      <c r="K80" s="232">
        <v>385</v>
      </c>
      <c r="L80" s="232">
        <v>2063</v>
      </c>
      <c r="M80" s="232">
        <v>523</v>
      </c>
      <c r="N80" s="232">
        <v>1070</v>
      </c>
    </row>
    <row r="81">
      <c r="A81" s="231"/>
      <c r="C81" s="232">
        <v>40</v>
      </c>
      <c r="D81" s="232">
        <v>175</v>
      </c>
      <c r="E81" s="232">
        <v>187</v>
      </c>
      <c r="F81" s="232">
        <v>26.18</v>
      </c>
      <c r="G81" s="232">
        <v>235</v>
      </c>
      <c r="H81" s="232">
        <v>10</v>
      </c>
      <c r="I81" s="232">
        <v>1469</v>
      </c>
      <c r="J81" s="232">
        <v>1030</v>
      </c>
      <c r="K81" s="232">
        <v>385</v>
      </c>
      <c r="L81" s="232">
        <v>2063</v>
      </c>
      <c r="M81" s="232">
        <v>523</v>
      </c>
      <c r="N81" s="232">
        <v>1070</v>
      </c>
    </row>
    <row r="82">
      <c r="A82" s="231" t="s">
        <v>265</v>
      </c>
    </row>
    <row r="83">
      <c r="A83" s="226" t="s">
        <v>266</v>
      </c>
      <c r="B83" s="226" t="s">
        <v>267</v>
      </c>
    </row>
    <row r="84">
      <c r="A84" s="226" t="s">
        <v>269</v>
      </c>
      <c r="B84" s="226" t="s">
        <v>270</v>
      </c>
      <c r="C84" s="227">
        <v>206965.85000000001</v>
      </c>
      <c r="D84" s="227">
        <v>153116.42000000001</v>
      </c>
      <c r="E84" s="227">
        <v>168110.14000000001</v>
      </c>
      <c r="F84" s="227">
        <v>166661.51000000001</v>
      </c>
      <c r="G84" s="227">
        <v>163763.56</v>
      </c>
      <c r="H84" s="227">
        <v>164526.91</v>
      </c>
      <c r="I84" s="227">
        <v>159440.79999999999</v>
      </c>
      <c r="J84" s="227">
        <v>154378.51999999999</v>
      </c>
      <c r="K84" s="227">
        <v>145051.91</v>
      </c>
      <c r="L84" s="227">
        <v>140645.85000000001</v>
      </c>
      <c r="M84" s="227">
        <v>134980.37</v>
      </c>
      <c r="N84" s="227">
        <v>137474.07999999999</v>
      </c>
    </row>
    <row r="85">
      <c r="A85" s="226" t="s">
        <v>272</v>
      </c>
      <c r="B85" s="226" t="s">
        <v>273</v>
      </c>
      <c r="C85" s="227">
        <v>48754</v>
      </c>
      <c r="D85" s="227">
        <v>36644</v>
      </c>
      <c r="E85" s="227">
        <v>39440</v>
      </c>
      <c r="F85" s="227">
        <v>39575</v>
      </c>
      <c r="G85" s="227">
        <v>39785</v>
      </c>
      <c r="H85" s="227">
        <v>37934</v>
      </c>
      <c r="I85" s="227">
        <v>37792</v>
      </c>
      <c r="J85" s="227">
        <v>37291</v>
      </c>
      <c r="K85" s="227">
        <v>32717</v>
      </c>
      <c r="L85" s="227">
        <v>32213</v>
      </c>
      <c r="M85" s="227">
        <v>31798</v>
      </c>
      <c r="N85" s="227">
        <v>31814</v>
      </c>
    </row>
    <row r="86">
      <c r="A86" s="226" t="s">
        <v>276</v>
      </c>
      <c r="B86" s="226" t="s">
        <v>277</v>
      </c>
      <c r="C86" s="227">
        <v>3552.0999999999999</v>
      </c>
      <c r="D86" s="227">
        <v>3557.0999999999999</v>
      </c>
      <c r="E86" s="227">
        <v>3895.3000000000002</v>
      </c>
      <c r="F86" s="227">
        <v>3883.9000000000001</v>
      </c>
      <c r="G86" s="227">
        <v>3744.4000000000001</v>
      </c>
      <c r="H86" s="227">
        <v>3826.3000000000002</v>
      </c>
      <c r="I86" s="227">
        <v>3743.0999999999999</v>
      </c>
      <c r="J86" s="227">
        <v>3625</v>
      </c>
      <c r="K86" s="227">
        <v>3364.8000000000002</v>
      </c>
      <c r="L86" s="227">
        <v>3372.5999999999999</v>
      </c>
      <c r="M86" s="227">
        <v>3230.4000000000001</v>
      </c>
      <c r="N86" s="227">
        <v>3293.8000000000002</v>
      </c>
    </row>
    <row r="87">
      <c r="A87" s="226" t="s">
        <v>279</v>
      </c>
      <c r="B87" s="226" t="s">
        <v>280</v>
      </c>
      <c r="C87" s="227">
        <v>611.39999999999998</v>
      </c>
      <c r="D87" s="227">
        <v>613.20000000000005</v>
      </c>
      <c r="E87" s="227">
        <v>672.39999999999998</v>
      </c>
      <c r="F87" s="227">
        <v>670.39999999999998</v>
      </c>
      <c r="G87" s="227">
        <v>645.79999999999995</v>
      </c>
      <c r="H87" s="227">
        <v>667.20000000000005</v>
      </c>
      <c r="I87" s="227">
        <v>647.70000000000005</v>
      </c>
      <c r="J87" s="227">
        <v>627.60000000000002</v>
      </c>
      <c r="K87" s="227">
        <v>571.79999999999995</v>
      </c>
      <c r="L87" s="227">
        <v>573</v>
      </c>
      <c r="M87" s="227">
        <v>548.79999999999995</v>
      </c>
      <c r="N87" s="227">
        <v>559.20000000000005</v>
      </c>
    </row>
    <row r="88">
      <c r="A88" s="226" t="s">
        <v>282</v>
      </c>
      <c r="B88" s="226" t="s">
        <v>283</v>
      </c>
      <c r="C88" s="227">
        <v>5155.8000000000002</v>
      </c>
      <c r="D88" s="227">
        <v>1444.8499999999999</v>
      </c>
      <c r="E88" s="227">
        <v>1873.2</v>
      </c>
      <c r="F88" s="227">
        <v>1840.2</v>
      </c>
      <c r="G88" s="227">
        <v>2128.8499999999999</v>
      </c>
      <c r="H88" s="227">
        <v>1438.0999999999999</v>
      </c>
      <c r="I88" s="227">
        <v>1230.6500000000001</v>
      </c>
      <c r="J88" s="227">
        <v>1281.9000000000001</v>
      </c>
      <c r="K88" s="227">
        <v>1510.8499999999999</v>
      </c>
      <c r="L88" s="227">
        <v>1410.74</v>
      </c>
      <c r="M88" s="227">
        <v>1181.3499999999999</v>
      </c>
      <c r="N88" s="227">
        <v>1249.55</v>
      </c>
    </row>
    <row r="89">
      <c r="A89" s="226" t="s">
        <v>285</v>
      </c>
      <c r="B89" s="226" t="s">
        <v>286</v>
      </c>
      <c r="C89" s="227">
        <v>1550.6900000000001</v>
      </c>
      <c r="D89" s="227">
        <v>1599</v>
      </c>
      <c r="E89" s="227">
        <v>1715.3199999999999</v>
      </c>
      <c r="F89" s="227">
        <v>2870.2399999999998</v>
      </c>
      <c r="G89" s="227">
        <v>1645.53</v>
      </c>
      <c r="H89" s="227">
        <v>1649.5</v>
      </c>
      <c r="I89" s="227">
        <v>1643.1800000000001</v>
      </c>
      <c r="J89" s="227">
        <v>1622.6900000000001</v>
      </c>
      <c r="K89" s="227">
        <v>1434.3499999999999</v>
      </c>
      <c r="L89" s="227">
        <v>1413.5899999999999</v>
      </c>
      <c r="M89" s="227">
        <v>1394</v>
      </c>
      <c r="N89" s="227">
        <v>1395.5899999999999</v>
      </c>
    </row>
    <row r="90">
      <c r="A90" s="226" t="s">
        <v>291</v>
      </c>
      <c r="B90" s="226" t="s">
        <v>292</v>
      </c>
      <c r="C90" s="227">
        <v>330</v>
      </c>
      <c r="D90" s="227">
        <v>330</v>
      </c>
      <c r="E90" s="227">
        <v>330</v>
      </c>
      <c r="F90" s="227">
        <v>330</v>
      </c>
      <c r="G90" s="227">
        <v>330</v>
      </c>
      <c r="H90" s="227">
        <v>330</v>
      </c>
      <c r="I90" s="227">
        <v>330</v>
      </c>
      <c r="J90" s="227">
        <v>330</v>
      </c>
      <c r="K90" s="227">
        <v>320</v>
      </c>
      <c r="L90" s="227">
        <v>310</v>
      </c>
      <c r="M90" s="227">
        <v>320</v>
      </c>
      <c r="N90" s="227">
        <v>320</v>
      </c>
    </row>
    <row r="91">
      <c r="A91" s="226" t="s">
        <v>294</v>
      </c>
      <c r="B91" s="226" t="s">
        <v>295</v>
      </c>
      <c r="C91" s="227">
        <v>0</v>
      </c>
      <c r="D91" s="227">
        <v>0</v>
      </c>
      <c r="E91" s="227">
        <v>0</v>
      </c>
      <c r="F91" s="227">
        <v>0</v>
      </c>
      <c r="G91" s="227">
        <v>0</v>
      </c>
      <c r="H91" s="227">
        <v>0</v>
      </c>
      <c r="I91" s="227">
        <v>7287.25</v>
      </c>
      <c r="J91" s="227">
        <v>0</v>
      </c>
      <c r="K91" s="227">
        <v>0</v>
      </c>
      <c r="L91" s="227">
        <v>21421.5</v>
      </c>
      <c r="M91" s="227">
        <v>0</v>
      </c>
      <c r="N91" s="227">
        <v>0</v>
      </c>
    </row>
    <row r="92">
      <c r="A92" s="226" t="s">
        <v>297</v>
      </c>
      <c r="B92" s="226" t="s">
        <v>298</v>
      </c>
      <c r="C92" s="227">
        <v>0</v>
      </c>
      <c r="D92" s="227">
        <v>7062</v>
      </c>
      <c r="E92" s="227">
        <v>5024</v>
      </c>
      <c r="F92" s="227">
        <v>1616</v>
      </c>
      <c r="G92" s="227">
        <v>624</v>
      </c>
      <c r="H92" s="227">
        <v>0</v>
      </c>
      <c r="I92" s="227">
        <v>1000</v>
      </c>
      <c r="J92" s="227">
        <v>3616</v>
      </c>
      <c r="K92" s="227">
        <v>1328</v>
      </c>
      <c r="L92" s="227">
        <v>1936</v>
      </c>
      <c r="M92" s="227">
        <v>2126</v>
      </c>
      <c r="N92" s="227">
        <v>832</v>
      </c>
    </row>
    <row r="93">
      <c r="A93" s="226" t="s">
        <v>300</v>
      </c>
      <c r="B93" s="226" t="s">
        <v>301</v>
      </c>
      <c r="C93" s="227">
        <v>25408.330000000002</v>
      </c>
      <c r="D93" s="227">
        <v>23954.700000000001</v>
      </c>
      <c r="E93" s="227">
        <v>26134.650000000001</v>
      </c>
      <c r="F93" s="227">
        <v>0</v>
      </c>
      <c r="G93" s="227">
        <v>24888.549999999999</v>
      </c>
      <c r="H93" s="227">
        <v>25615.380000000001</v>
      </c>
      <c r="I93" s="227">
        <v>25200</v>
      </c>
      <c r="J93" s="227">
        <v>30998.080000000002</v>
      </c>
      <c r="K93" s="227">
        <v>31901.939999999999</v>
      </c>
      <c r="L93" s="227">
        <v>32641.540000000001</v>
      </c>
      <c r="M93" s="227">
        <v>34581.080000000002</v>
      </c>
      <c r="N93" s="227">
        <v>33288.75</v>
      </c>
    </row>
    <row r="94">
      <c r="A94" s="226" t="s">
        <v>303</v>
      </c>
      <c r="B94" s="226" t="s">
        <v>304</v>
      </c>
      <c r="C94" s="227">
        <v>1983.9000000000001</v>
      </c>
      <c r="D94" s="227">
        <v>0</v>
      </c>
      <c r="E94" s="227">
        <v>588.45000000000005</v>
      </c>
      <c r="F94" s="227">
        <v>225.80000000000001</v>
      </c>
      <c r="G94" s="227">
        <v>450.10000000000002</v>
      </c>
      <c r="H94" s="227">
        <v>0</v>
      </c>
      <c r="I94" s="227">
        <v>483.89999999999998</v>
      </c>
      <c r="J94" s="227">
        <v>951</v>
      </c>
      <c r="K94" s="227">
        <v>356.5</v>
      </c>
      <c r="L94" s="227">
        <v>466.75</v>
      </c>
      <c r="M94" s="227">
        <v>500</v>
      </c>
      <c r="N94" s="227">
        <v>500</v>
      </c>
    </row>
    <row r="95">
      <c r="A95" s="226" t="s">
        <v>309</v>
      </c>
      <c r="B95" s="226" t="s">
        <v>310</v>
      </c>
      <c r="C95" s="227">
        <v>6403.8000000000002</v>
      </c>
      <c r="D95" s="227">
        <v>800</v>
      </c>
      <c r="E95" s="227">
        <v>593</v>
      </c>
      <c r="F95" s="227">
        <v>1461</v>
      </c>
      <c r="G95" s="227">
        <v>1383</v>
      </c>
      <c r="H95" s="227">
        <v>2753</v>
      </c>
      <c r="I95" s="227">
        <v>1551</v>
      </c>
      <c r="J95" s="227">
        <v>2073</v>
      </c>
      <c r="K95" s="227">
        <v>467</v>
      </c>
      <c r="L95" s="227">
        <v>1254</v>
      </c>
      <c r="M95" s="227">
        <v>1664</v>
      </c>
      <c r="N95" s="227">
        <v>653</v>
      </c>
    </row>
    <row r="96">
      <c r="A96" s="226" t="s">
        <v>312</v>
      </c>
      <c r="B96" s="226" t="s">
        <v>313</v>
      </c>
      <c r="C96" s="227">
        <v>-1000</v>
      </c>
      <c r="D96" s="227">
        <v>-330</v>
      </c>
      <c r="E96" s="227">
        <v>-328</v>
      </c>
      <c r="F96" s="227">
        <v>-550</v>
      </c>
      <c r="G96" s="227">
        <v>-180</v>
      </c>
      <c r="H96" s="227">
        <v>-764</v>
      </c>
      <c r="I96" s="227">
        <v>-390</v>
      </c>
      <c r="J96" s="227">
        <v>-150</v>
      </c>
      <c r="K96" s="227">
        <v>-460</v>
      </c>
      <c r="L96" s="227">
        <v>-120</v>
      </c>
      <c r="M96" s="227">
        <v>-240</v>
      </c>
      <c r="N96" s="227">
        <v>-674</v>
      </c>
    </row>
    <row r="97">
      <c r="A97" s="226" t="s">
        <v>315</v>
      </c>
      <c r="B97" s="226" t="s">
        <v>316</v>
      </c>
      <c r="C97" s="227">
        <v>0</v>
      </c>
      <c r="D97" s="227">
        <v>0</v>
      </c>
      <c r="E97" s="227">
        <v>370</v>
      </c>
      <c r="F97" s="227">
        <v>0</v>
      </c>
      <c r="G97" s="227">
        <v>0</v>
      </c>
      <c r="H97" s="227">
        <v>0</v>
      </c>
      <c r="I97" s="227">
        <v>210</v>
      </c>
      <c r="J97" s="227">
        <v>0</v>
      </c>
      <c r="K97" s="227">
        <v>0</v>
      </c>
      <c r="L97" s="227">
        <v>0</v>
      </c>
      <c r="M97" s="227">
        <v>0</v>
      </c>
      <c r="N97" s="227">
        <v>0</v>
      </c>
    </row>
    <row r="98">
      <c r="A98" s="226" t="s">
        <v>321</v>
      </c>
      <c r="B98" s="226" t="s">
        <v>322</v>
      </c>
      <c r="C98" s="227">
        <v>0</v>
      </c>
      <c r="D98" s="227">
        <v>0</v>
      </c>
      <c r="E98" s="227">
        <v>0</v>
      </c>
      <c r="F98" s="227">
        <v>0</v>
      </c>
      <c r="G98" s="227">
        <v>0</v>
      </c>
      <c r="H98" s="227">
        <v>0</v>
      </c>
      <c r="I98" s="227">
        <v>29840.139999999999</v>
      </c>
      <c r="J98" s="227">
        <v>0</v>
      </c>
      <c r="K98" s="227">
        <v>0</v>
      </c>
      <c r="L98" s="227">
        <v>662.25</v>
      </c>
      <c r="M98" s="227">
        <v>-2512.8899999999999</v>
      </c>
      <c r="N98" s="227">
        <v>422.05000000000001</v>
      </c>
    </row>
    <row r="99">
      <c r="A99" s="226" t="s">
        <v>324</v>
      </c>
      <c r="B99" s="226" t="s">
        <v>325</v>
      </c>
      <c r="C99" s="227">
        <v>0</v>
      </c>
      <c r="D99" s="227">
        <v>450</v>
      </c>
      <c r="E99" s="227">
        <v>450</v>
      </c>
      <c r="F99" s="227">
        <v>900</v>
      </c>
      <c r="G99" s="227">
        <v>0</v>
      </c>
      <c r="H99" s="227">
        <v>0</v>
      </c>
      <c r="I99" s="227">
        <v>900</v>
      </c>
      <c r="J99" s="227">
        <v>900</v>
      </c>
      <c r="K99" s="227">
        <v>450</v>
      </c>
      <c r="L99" s="227">
        <v>600</v>
      </c>
      <c r="M99" s="227">
        <v>600</v>
      </c>
      <c r="N99" s="227">
        <v>600</v>
      </c>
    </row>
    <row r="100">
      <c r="A100" s="226" t="s">
        <v>327</v>
      </c>
      <c r="B100" s="226" t="s">
        <v>328</v>
      </c>
      <c r="C100" s="227">
        <v>-959.79999999999995</v>
      </c>
      <c r="D100" s="227">
        <v>-4028.25</v>
      </c>
      <c r="E100" s="227">
        <v>-2000</v>
      </c>
      <c r="F100" s="227">
        <v>-1643</v>
      </c>
      <c r="G100" s="227">
        <v>-2400</v>
      </c>
      <c r="H100" s="227">
        <v>-2150</v>
      </c>
      <c r="I100" s="227">
        <v>-1732.3199999999999</v>
      </c>
      <c r="J100" s="227">
        <v>-1850</v>
      </c>
      <c r="K100" s="227">
        <v>-2100</v>
      </c>
      <c r="L100" s="227">
        <v>-1440</v>
      </c>
      <c r="M100" s="227">
        <v>-1120</v>
      </c>
      <c r="N100" s="227">
        <v>-550</v>
      </c>
    </row>
    <row r="101">
      <c r="A101" s="226" t="s">
        <v>330</v>
      </c>
      <c r="B101" s="226" t="s">
        <v>331</v>
      </c>
      <c r="C101" s="227">
        <v>0</v>
      </c>
      <c r="D101" s="227">
        <v>0</v>
      </c>
      <c r="E101" s="227">
        <v>0</v>
      </c>
      <c r="F101" s="227">
        <v>0</v>
      </c>
      <c r="G101" s="227">
        <v>0</v>
      </c>
      <c r="H101" s="227">
        <v>0</v>
      </c>
      <c r="I101" s="227">
        <v>0</v>
      </c>
      <c r="J101" s="227">
        <v>0</v>
      </c>
      <c r="K101" s="227">
        <v>5005</v>
      </c>
      <c r="L101" s="227">
        <v>0</v>
      </c>
      <c r="M101" s="227">
        <v>5280</v>
      </c>
      <c r="N101" s="227">
        <v>4284</v>
      </c>
    </row>
    <row r="102">
      <c r="A102" s="226" t="s">
        <v>333</v>
      </c>
      <c r="B102" s="226" t="s">
        <v>334</v>
      </c>
      <c r="C102" s="227">
        <v>0</v>
      </c>
      <c r="D102" s="227">
        <v>0</v>
      </c>
      <c r="E102" s="227">
        <v>0</v>
      </c>
      <c r="F102" s="227">
        <v>0</v>
      </c>
      <c r="G102" s="227">
        <v>1950</v>
      </c>
      <c r="H102" s="227">
        <v>0</v>
      </c>
      <c r="I102" s="227">
        <v>0</v>
      </c>
      <c r="J102" s="227">
        <v>0</v>
      </c>
      <c r="K102" s="227">
        <v>0</v>
      </c>
      <c r="L102" s="227">
        <v>0</v>
      </c>
      <c r="M102" s="227">
        <v>0</v>
      </c>
      <c r="N102" s="227">
        <v>0</v>
      </c>
    </row>
    <row r="103">
      <c r="A103" s="226" t="s">
        <v>336</v>
      </c>
      <c r="B103" s="226" t="s">
        <v>337</v>
      </c>
      <c r="C103" s="227">
        <v>76</v>
      </c>
      <c r="D103" s="227">
        <v>0</v>
      </c>
      <c r="E103" s="227">
        <v>0</v>
      </c>
      <c r="F103" s="227">
        <v>217.59999999999999</v>
      </c>
      <c r="G103" s="227">
        <v>0</v>
      </c>
      <c r="H103" s="227">
        <v>28</v>
      </c>
      <c r="I103" s="227">
        <v>183</v>
      </c>
      <c r="J103" s="227">
        <v>0</v>
      </c>
      <c r="K103" s="227">
        <v>190</v>
      </c>
      <c r="L103" s="227">
        <v>0</v>
      </c>
      <c r="M103" s="227">
        <v>0</v>
      </c>
      <c r="N103" s="227">
        <v>9720</v>
      </c>
    </row>
    <row r="104">
      <c r="A104" s="226" t="s">
        <v>339</v>
      </c>
      <c r="B104" s="226" t="s">
        <v>340</v>
      </c>
      <c r="C104" s="227">
        <v>0</v>
      </c>
      <c r="D104" s="227">
        <v>0</v>
      </c>
      <c r="E104" s="227">
        <v>0</v>
      </c>
      <c r="F104" s="227">
        <v>0</v>
      </c>
      <c r="G104" s="227">
        <v>0</v>
      </c>
      <c r="H104" s="227">
        <v>0</v>
      </c>
      <c r="I104" s="227">
        <v>886.67999999999995</v>
      </c>
      <c r="J104" s="227">
        <v>865.08000000000004</v>
      </c>
      <c r="K104" s="227">
        <v>0</v>
      </c>
      <c r="L104" s="227">
        <v>0</v>
      </c>
      <c r="M104" s="227">
        <v>0</v>
      </c>
      <c r="N104" s="227">
        <v>0</v>
      </c>
    </row>
    <row r="105">
      <c r="A105" s="226" t="s">
        <v>348</v>
      </c>
      <c r="B105" s="226" t="s">
        <v>349</v>
      </c>
      <c r="C105" s="227">
        <v>2952.6799999999998</v>
      </c>
      <c r="D105" s="227">
        <v>2851.0300000000002</v>
      </c>
      <c r="E105" s="227">
        <v>3215.8000000000002</v>
      </c>
      <c r="F105" s="227">
        <v>2834.5599999999999</v>
      </c>
      <c r="G105" s="227">
        <v>3009.8499999999999</v>
      </c>
      <c r="H105" s="227">
        <v>3043.4400000000001</v>
      </c>
      <c r="I105" s="227">
        <v>3293.7800000000002</v>
      </c>
      <c r="J105" s="227">
        <v>2961.9499999999998</v>
      </c>
      <c r="K105" s="227">
        <v>2681.2600000000002</v>
      </c>
      <c r="L105" s="227">
        <v>2759.4499999999998</v>
      </c>
      <c r="M105" s="227">
        <v>2669.7600000000002</v>
      </c>
      <c r="N105" s="227">
        <v>3105.6999999999998</v>
      </c>
    </row>
    <row r="106">
      <c r="A106" s="226" t="s">
        <v>351</v>
      </c>
      <c r="B106" s="226" t="s">
        <v>352</v>
      </c>
      <c r="C106" s="227">
        <v>0</v>
      </c>
      <c r="D106" s="227">
        <v>86</v>
      </c>
      <c r="E106" s="227">
        <v>182</v>
      </c>
      <c r="F106" s="227">
        <v>0</v>
      </c>
      <c r="G106" s="227">
        <v>0</v>
      </c>
      <c r="H106" s="227">
        <v>0</v>
      </c>
      <c r="I106" s="227">
        <v>198</v>
      </c>
      <c r="J106" s="227">
        <v>286</v>
      </c>
      <c r="K106" s="227">
        <v>158</v>
      </c>
      <c r="L106" s="227">
        <v>0</v>
      </c>
      <c r="M106" s="227">
        <v>154</v>
      </c>
      <c r="N106" s="227">
        <v>64</v>
      </c>
    </row>
    <row r="107">
      <c r="A107" s="226" t="s">
        <v>354</v>
      </c>
      <c r="B107" s="226" t="s">
        <v>355</v>
      </c>
      <c r="C107" s="227">
        <v>1800</v>
      </c>
      <c r="D107" s="227">
        <v>1800</v>
      </c>
      <c r="E107" s="227">
        <v>1800</v>
      </c>
      <c r="F107" s="227">
        <v>1800</v>
      </c>
      <c r="G107" s="227">
        <v>1800</v>
      </c>
      <c r="H107" s="227">
        <v>1800</v>
      </c>
      <c r="I107" s="227">
        <v>1912</v>
      </c>
      <c r="J107" s="227">
        <v>1912</v>
      </c>
      <c r="K107" s="227">
        <v>1912</v>
      </c>
      <c r="L107" s="227">
        <v>1912</v>
      </c>
      <c r="M107" s="227">
        <v>1912</v>
      </c>
      <c r="N107" s="227">
        <v>1912</v>
      </c>
    </row>
    <row r="108">
      <c r="A108" s="231"/>
      <c r="B108" s="226" t="s">
        <v>267</v>
      </c>
      <c r="C108" s="232">
        <v>303584.75</v>
      </c>
      <c r="D108" s="232">
        <v>229950.04999999999</v>
      </c>
      <c r="E108" s="232">
        <v>252066.26000000001</v>
      </c>
      <c r="F108" s="232">
        <v>222693.20999999999</v>
      </c>
      <c r="G108" s="232">
        <v>243568.64000000001</v>
      </c>
      <c r="H108" s="232">
        <v>240697.82999999999</v>
      </c>
      <c r="I108" s="232">
        <v>275650.85999999999</v>
      </c>
      <c r="J108" s="232">
        <v>241719.82000000001</v>
      </c>
      <c r="K108" s="232">
        <v>226860.41</v>
      </c>
      <c r="L108" s="232">
        <v>242032.26999999999</v>
      </c>
      <c r="M108" s="232">
        <v>219066.87</v>
      </c>
      <c r="N108" s="232">
        <v>230263.72</v>
      </c>
    </row>
    <row r="109">
      <c r="A109" s="226" t="s">
        <v>590</v>
      </c>
      <c r="B109" s="226" t="s">
        <v>360</v>
      </c>
    </row>
    <row r="110">
      <c r="A110" s="226" t="s">
        <v>591</v>
      </c>
      <c r="B110" s="226" t="s">
        <v>364</v>
      </c>
      <c r="C110" s="227">
        <v>59.5</v>
      </c>
      <c r="D110" s="227">
        <v>34.5</v>
      </c>
      <c r="E110" s="227">
        <v>40.5</v>
      </c>
      <c r="F110" s="227">
        <v>37.5</v>
      </c>
      <c r="G110" s="227">
        <v>32.5</v>
      </c>
      <c r="H110" s="227">
        <v>81</v>
      </c>
      <c r="I110" s="227">
        <v>40.700000000000003</v>
      </c>
      <c r="J110" s="227">
        <v>1.6000000000000001</v>
      </c>
      <c r="K110" s="227">
        <v>5.9000000000000004</v>
      </c>
      <c r="L110" s="227">
        <v>5</v>
      </c>
      <c r="M110" s="227">
        <v>5.5</v>
      </c>
      <c r="N110" s="227">
        <v>4.7000000000000002</v>
      </c>
    </row>
    <row r="111">
      <c r="A111" s="226" t="s">
        <v>592</v>
      </c>
      <c r="B111" s="226" t="s">
        <v>368</v>
      </c>
      <c r="C111" s="227">
        <v>0</v>
      </c>
      <c r="D111" s="227">
        <v>0</v>
      </c>
      <c r="E111" s="227">
        <v>0</v>
      </c>
      <c r="F111" s="227">
        <v>0</v>
      </c>
      <c r="G111" s="227">
        <v>0</v>
      </c>
      <c r="H111" s="227">
        <v>0</v>
      </c>
      <c r="I111" s="227">
        <v>2638</v>
      </c>
      <c r="J111" s="227">
        <v>0</v>
      </c>
      <c r="K111" s="227">
        <v>0</v>
      </c>
      <c r="L111" s="227">
        <v>0</v>
      </c>
      <c r="M111" s="227">
        <v>0</v>
      </c>
      <c r="N111" s="227">
        <v>0</v>
      </c>
    </row>
    <row r="112">
      <c r="A112" s="231"/>
      <c r="B112" s="226" t="s">
        <v>360</v>
      </c>
      <c r="C112" s="232">
        <v>59.5</v>
      </c>
      <c r="D112" s="232">
        <v>34.5</v>
      </c>
      <c r="E112" s="232">
        <v>40.5</v>
      </c>
      <c r="F112" s="232">
        <v>37.5</v>
      </c>
      <c r="G112" s="232">
        <v>32.5</v>
      </c>
      <c r="H112" s="232">
        <v>81</v>
      </c>
      <c r="I112" s="232">
        <v>2678.6999999999998</v>
      </c>
      <c r="J112" s="232">
        <v>1.6000000000000001</v>
      </c>
      <c r="K112" s="232">
        <v>5.9000000000000004</v>
      </c>
      <c r="L112" s="232">
        <v>5</v>
      </c>
      <c r="M112" s="232">
        <v>5.5</v>
      </c>
      <c r="N112" s="232">
        <v>4.7000000000000002</v>
      </c>
    </row>
    <row r="113">
      <c r="A113" s="226" t="s">
        <v>594</v>
      </c>
      <c r="B113" s="226" t="s">
        <v>375</v>
      </c>
    </row>
    <row r="114">
      <c r="A114" s="226" t="s">
        <v>595</v>
      </c>
      <c r="B114" s="226" t="s">
        <v>379</v>
      </c>
      <c r="C114" s="227">
        <v>0</v>
      </c>
      <c r="D114" s="227">
        <v>0</v>
      </c>
      <c r="E114" s="227">
        <v>460.89999999999998</v>
      </c>
      <c r="F114" s="227">
        <v>312.19999999999999</v>
      </c>
      <c r="G114" s="227">
        <v>0</v>
      </c>
      <c r="H114" s="227">
        <v>0</v>
      </c>
      <c r="I114" s="227">
        <v>0</v>
      </c>
      <c r="J114" s="227">
        <v>0</v>
      </c>
      <c r="K114" s="227">
        <v>0</v>
      </c>
      <c r="L114" s="227">
        <v>0</v>
      </c>
      <c r="M114" s="227">
        <v>0</v>
      </c>
      <c r="N114" s="227">
        <v>0</v>
      </c>
    </row>
    <row r="115">
      <c r="A115" s="226" t="s">
        <v>596</v>
      </c>
      <c r="B115" s="226" t="s">
        <v>383</v>
      </c>
      <c r="C115" s="227">
        <v>0</v>
      </c>
      <c r="D115" s="227">
        <v>0</v>
      </c>
      <c r="E115" s="227">
        <v>0</v>
      </c>
      <c r="F115" s="227">
        <v>0</v>
      </c>
      <c r="G115" s="227">
        <v>0</v>
      </c>
      <c r="H115" s="227">
        <v>0</v>
      </c>
      <c r="I115" s="227">
        <v>0</v>
      </c>
      <c r="J115" s="227">
        <v>0</v>
      </c>
      <c r="K115" s="227">
        <v>0</v>
      </c>
      <c r="L115" s="227">
        <v>0</v>
      </c>
      <c r="M115" s="227">
        <v>0</v>
      </c>
      <c r="N115" s="227">
        <v>15.4</v>
      </c>
    </row>
    <row r="116">
      <c r="A116" s="226" t="s">
        <v>597</v>
      </c>
      <c r="B116" s="226" t="s">
        <v>387</v>
      </c>
      <c r="C116" s="227">
        <v>0</v>
      </c>
      <c r="D116" s="227">
        <v>0</v>
      </c>
      <c r="E116" s="227">
        <v>0</v>
      </c>
      <c r="F116" s="227">
        <v>0</v>
      </c>
      <c r="G116" s="227">
        <v>0</v>
      </c>
      <c r="H116" s="227">
        <v>0</v>
      </c>
      <c r="I116" s="227">
        <v>4317</v>
      </c>
      <c r="J116" s="227">
        <v>0</v>
      </c>
      <c r="K116" s="227">
        <v>0</v>
      </c>
      <c r="L116" s="227">
        <v>0</v>
      </c>
      <c r="M116" s="227">
        <v>0</v>
      </c>
      <c r="N116" s="227">
        <v>0</v>
      </c>
    </row>
    <row r="117">
      <c r="A117" s="226" t="s">
        <v>598</v>
      </c>
      <c r="B117" s="226" t="s">
        <v>391</v>
      </c>
      <c r="C117" s="227">
        <v>0</v>
      </c>
      <c r="D117" s="227">
        <v>0</v>
      </c>
      <c r="E117" s="227">
        <v>0</v>
      </c>
      <c r="F117" s="227">
        <v>0</v>
      </c>
      <c r="G117" s="227">
        <v>0</v>
      </c>
      <c r="H117" s="227">
        <v>0</v>
      </c>
      <c r="I117" s="227">
        <v>107.90000000000001</v>
      </c>
      <c r="J117" s="227">
        <v>165.80000000000001</v>
      </c>
      <c r="K117" s="227">
        <v>100</v>
      </c>
      <c r="L117" s="227">
        <v>15.800000000000001</v>
      </c>
      <c r="M117" s="227">
        <v>127.40000000000001</v>
      </c>
      <c r="N117" s="227">
        <v>55.299999999999997</v>
      </c>
    </row>
    <row r="118">
      <c r="A118" s="226" t="s">
        <v>599</v>
      </c>
      <c r="B118" s="226" t="s">
        <v>395</v>
      </c>
      <c r="C118" s="227">
        <v>1899.5999999999999</v>
      </c>
      <c r="D118" s="227">
        <v>2600</v>
      </c>
      <c r="E118" s="227">
        <v>2450</v>
      </c>
      <c r="F118" s="227">
        <v>2365</v>
      </c>
      <c r="G118" s="227">
        <v>2411.0999999999999</v>
      </c>
      <c r="H118" s="227">
        <v>3076.3299999999999</v>
      </c>
      <c r="I118" s="227">
        <v>2890.3200000000002</v>
      </c>
      <c r="J118" s="227">
        <v>3200</v>
      </c>
      <c r="K118" s="227">
        <v>580</v>
      </c>
      <c r="L118" s="227">
        <v>2900</v>
      </c>
      <c r="M118" s="227">
        <v>805.5</v>
      </c>
      <c r="N118" s="227">
        <v>3290</v>
      </c>
    </row>
    <row r="119">
      <c r="A119" s="226" t="s">
        <v>600</v>
      </c>
      <c r="B119" s="226" t="s">
        <v>399</v>
      </c>
      <c r="C119" s="227">
        <v>5790</v>
      </c>
      <c r="D119" s="227">
        <v>890</v>
      </c>
      <c r="E119" s="227">
        <v>7375</v>
      </c>
      <c r="F119" s="227">
        <v>4601.6999999999998</v>
      </c>
      <c r="G119" s="227">
        <v>2090</v>
      </c>
      <c r="H119" s="227">
        <v>1825</v>
      </c>
      <c r="I119" s="227">
        <v>11767.75</v>
      </c>
      <c r="J119" s="227">
        <v>5391.9499999999998</v>
      </c>
      <c r="K119" s="227">
        <v>8268</v>
      </c>
      <c r="L119" s="227">
        <v>5218</v>
      </c>
      <c r="M119" s="227">
        <v>5281.8000000000002</v>
      </c>
      <c r="N119" s="227">
        <v>4369</v>
      </c>
    </row>
    <row r="120">
      <c r="A120" s="226" t="s">
        <v>601</v>
      </c>
      <c r="B120" s="226" t="s">
        <v>403</v>
      </c>
      <c r="C120" s="227">
        <v>3250</v>
      </c>
      <c r="D120" s="227">
        <v>0</v>
      </c>
      <c r="E120" s="227">
        <v>0</v>
      </c>
      <c r="F120" s="227">
        <v>80.75</v>
      </c>
      <c r="G120" s="227">
        <v>293</v>
      </c>
      <c r="H120" s="227">
        <v>484</v>
      </c>
      <c r="I120" s="227">
        <v>730.25</v>
      </c>
      <c r="J120" s="227">
        <v>76.650000000000006</v>
      </c>
      <c r="K120" s="227">
        <v>571.04999999999995</v>
      </c>
      <c r="L120" s="227">
        <v>453</v>
      </c>
      <c r="M120" s="227">
        <v>733.21000000000004</v>
      </c>
      <c r="N120" s="227">
        <v>1140</v>
      </c>
    </row>
    <row r="121">
      <c r="A121" s="226" t="s">
        <v>602</v>
      </c>
      <c r="B121" s="226" t="s">
        <v>407</v>
      </c>
      <c r="C121" s="227">
        <v>50634.529999999999</v>
      </c>
      <c r="D121" s="227">
        <v>0</v>
      </c>
      <c r="E121" s="227">
        <v>0</v>
      </c>
      <c r="F121" s="227">
        <v>0</v>
      </c>
      <c r="G121" s="227">
        <v>0</v>
      </c>
      <c r="H121" s="227">
        <v>0</v>
      </c>
      <c r="I121" s="227">
        <v>0</v>
      </c>
      <c r="J121" s="227">
        <v>0</v>
      </c>
      <c r="K121" s="227">
        <v>0</v>
      </c>
      <c r="L121" s="227">
        <v>0</v>
      </c>
      <c r="M121" s="227">
        <v>0</v>
      </c>
      <c r="N121" s="227">
        <v>62852.959999999999</v>
      </c>
    </row>
    <row r="122">
      <c r="A122" s="226" t="s">
        <v>365</v>
      </c>
      <c r="B122" s="226" t="s">
        <v>366</v>
      </c>
      <c r="C122" s="227">
        <v>600</v>
      </c>
      <c r="D122" s="227">
        <v>0</v>
      </c>
      <c r="E122" s="227">
        <v>0</v>
      </c>
      <c r="F122" s="227">
        <v>0</v>
      </c>
      <c r="G122" s="227">
        <v>2984</v>
      </c>
      <c r="H122" s="227">
        <v>136</v>
      </c>
      <c r="I122" s="227">
        <v>0</v>
      </c>
      <c r="J122" s="227">
        <v>0</v>
      </c>
      <c r="K122" s="227">
        <v>0</v>
      </c>
      <c r="L122" s="227">
        <v>0</v>
      </c>
      <c r="M122" s="227">
        <v>0</v>
      </c>
      <c r="N122" s="227">
        <v>0</v>
      </c>
    </row>
    <row r="123">
      <c r="A123" s="226" t="s">
        <v>369</v>
      </c>
      <c r="B123" s="226" t="s">
        <v>370</v>
      </c>
      <c r="C123" s="227">
        <v>3057.1100000000001</v>
      </c>
      <c r="D123" s="227">
        <v>1128.9300000000001</v>
      </c>
      <c r="E123" s="227">
        <v>1472.8</v>
      </c>
      <c r="F123" s="227">
        <v>2000.6099999999999</v>
      </c>
      <c r="G123" s="227">
        <v>3122.8600000000001</v>
      </c>
      <c r="H123" s="227">
        <v>5459.6400000000003</v>
      </c>
      <c r="I123" s="227">
        <v>4158.9300000000003</v>
      </c>
      <c r="J123" s="227">
        <v>2416.3499999999999</v>
      </c>
      <c r="K123" s="227">
        <v>2360.9499999999998</v>
      </c>
      <c r="L123" s="227">
        <v>1999.3399999999999</v>
      </c>
      <c r="M123" s="227">
        <v>6489.7399999999998</v>
      </c>
      <c r="N123" s="227">
        <v>2062.5300000000002</v>
      </c>
    </row>
    <row r="124">
      <c r="A124" s="226" t="s">
        <v>373</v>
      </c>
      <c r="B124" s="226" t="s">
        <v>374</v>
      </c>
    </row>
    <row r="125">
      <c r="A125" s="226" t="s">
        <v>376</v>
      </c>
      <c r="B125" s="226" t="s">
        <v>377</v>
      </c>
    </row>
    <row r="126">
      <c r="A126" s="226" t="s">
        <v>380</v>
      </c>
      <c r="B126" s="226" t="s">
        <v>381</v>
      </c>
      <c r="C126" s="227">
        <v>2600</v>
      </c>
      <c r="D126" s="227">
        <v>2600</v>
      </c>
      <c r="E126" s="227">
        <v>0</v>
      </c>
      <c r="F126" s="227">
        <v>2808</v>
      </c>
      <c r="G126" s="227">
        <v>10008</v>
      </c>
      <c r="H126" s="227">
        <v>2808</v>
      </c>
      <c r="I126" s="227">
        <v>2808</v>
      </c>
      <c r="J126" s="227">
        <v>2808</v>
      </c>
      <c r="K126" s="227">
        <v>2808</v>
      </c>
      <c r="L126" s="227">
        <v>3067.1999999999998</v>
      </c>
      <c r="M126" s="227">
        <v>1620</v>
      </c>
      <c r="N126" s="227">
        <v>3067.1999999999998</v>
      </c>
    </row>
    <row r="127">
      <c r="A127" s="231"/>
      <c r="B127" s="226" t="s">
        <v>377</v>
      </c>
      <c r="C127" s="232">
        <v>2600</v>
      </c>
      <c r="D127" s="232">
        <v>2600</v>
      </c>
      <c r="E127" s="232">
        <v>0</v>
      </c>
      <c r="F127" s="232">
        <v>2808</v>
      </c>
      <c r="G127" s="232">
        <v>10008</v>
      </c>
      <c r="H127" s="232">
        <v>2808</v>
      </c>
      <c r="I127" s="232">
        <v>2808</v>
      </c>
      <c r="J127" s="232">
        <v>2808</v>
      </c>
      <c r="K127" s="232">
        <v>2808</v>
      </c>
      <c r="L127" s="232">
        <v>3067.1999999999998</v>
      </c>
      <c r="M127" s="232">
        <v>1620</v>
      </c>
      <c r="N127" s="232">
        <v>3067.1999999999998</v>
      </c>
    </row>
    <row r="128">
      <c r="A128" s="226" t="s">
        <v>384</v>
      </c>
      <c r="B128" s="226" t="s">
        <v>385</v>
      </c>
    </row>
    <row r="129">
      <c r="A129" s="226" t="s">
        <v>388</v>
      </c>
      <c r="B129" s="226" t="s">
        <v>389</v>
      </c>
      <c r="C129" s="227">
        <v>0</v>
      </c>
      <c r="D129" s="227">
        <v>1891.8</v>
      </c>
      <c r="E129" s="227">
        <v>37.899999999999999</v>
      </c>
      <c r="F129" s="227">
        <v>199</v>
      </c>
      <c r="G129" s="227">
        <v>0</v>
      </c>
      <c r="H129" s="227">
        <v>946.79999999999995</v>
      </c>
      <c r="I129" s="227">
        <v>110</v>
      </c>
      <c r="J129" s="227">
        <v>0</v>
      </c>
      <c r="K129" s="227">
        <v>949.32000000000005</v>
      </c>
      <c r="L129" s="227">
        <v>0</v>
      </c>
      <c r="M129" s="227">
        <v>0</v>
      </c>
      <c r="N129" s="227">
        <v>0</v>
      </c>
    </row>
    <row r="130">
      <c r="A130" s="226" t="s">
        <v>392</v>
      </c>
      <c r="B130" s="226" t="s">
        <v>393</v>
      </c>
      <c r="C130" s="227">
        <v>8776</v>
      </c>
      <c r="D130" s="227">
        <v>5470</v>
      </c>
      <c r="E130" s="227">
        <v>5560</v>
      </c>
      <c r="F130" s="227">
        <v>5200</v>
      </c>
      <c r="G130" s="227">
        <v>5200</v>
      </c>
      <c r="H130" s="227">
        <v>5200</v>
      </c>
      <c r="I130" s="227">
        <v>5616</v>
      </c>
      <c r="J130" s="227">
        <v>5616</v>
      </c>
      <c r="K130" s="227">
        <v>5616</v>
      </c>
      <c r="L130" s="227">
        <v>5616</v>
      </c>
      <c r="M130" s="227">
        <v>4860</v>
      </c>
      <c r="N130" s="227">
        <v>6912</v>
      </c>
    </row>
    <row r="131">
      <c r="A131" s="226" t="s">
        <v>400</v>
      </c>
      <c r="B131" s="226" t="s">
        <v>401</v>
      </c>
      <c r="C131" s="227">
        <v>0</v>
      </c>
      <c r="D131" s="227">
        <v>0</v>
      </c>
      <c r="E131" s="227">
        <v>18723.150000000001</v>
      </c>
      <c r="F131" s="227">
        <v>706.98000000000002</v>
      </c>
      <c r="G131" s="227">
        <v>0</v>
      </c>
      <c r="H131" s="227">
        <v>0</v>
      </c>
      <c r="I131" s="227">
        <v>6860.3199999999997</v>
      </c>
      <c r="J131" s="227">
        <v>17547.439999999999</v>
      </c>
      <c r="K131" s="227">
        <v>14050.200000000001</v>
      </c>
      <c r="L131" s="227">
        <v>14242.200000000001</v>
      </c>
      <c r="M131" s="227">
        <v>17142.900000000001</v>
      </c>
      <c r="N131" s="227">
        <v>11823.040000000001</v>
      </c>
    </row>
    <row r="132">
      <c r="A132" s="231"/>
      <c r="B132" s="226" t="s">
        <v>385</v>
      </c>
      <c r="C132" s="232">
        <v>8776</v>
      </c>
      <c r="D132" s="232">
        <v>7361.8000000000002</v>
      </c>
      <c r="E132" s="232">
        <v>24321.049999999999</v>
      </c>
      <c r="F132" s="232">
        <v>6105.9799999999996</v>
      </c>
      <c r="G132" s="232">
        <v>5200</v>
      </c>
      <c r="H132" s="232">
        <v>6146.8000000000002</v>
      </c>
      <c r="I132" s="232">
        <v>12586.32</v>
      </c>
      <c r="J132" s="232">
        <v>23163.439999999999</v>
      </c>
      <c r="K132" s="232">
        <v>20615.52</v>
      </c>
      <c r="L132" s="232">
        <v>19858.200000000001</v>
      </c>
      <c r="M132" s="232">
        <v>22002.900000000001</v>
      </c>
      <c r="N132" s="232">
        <v>18735.040000000001</v>
      </c>
    </row>
    <row r="133">
      <c r="A133" s="226" t="s">
        <v>404</v>
      </c>
      <c r="B133" s="226" t="s">
        <v>405</v>
      </c>
    </row>
    <row r="134">
      <c r="A134" s="226" t="s">
        <v>606</v>
      </c>
      <c r="B134" s="226" t="s">
        <v>442</v>
      </c>
      <c r="C134" s="227">
        <v>0</v>
      </c>
      <c r="D134" s="227">
        <v>0</v>
      </c>
      <c r="E134" s="227">
        <v>0</v>
      </c>
      <c r="F134" s="227">
        <v>0</v>
      </c>
      <c r="G134" s="227">
        <v>0</v>
      </c>
      <c r="H134" s="227">
        <v>0</v>
      </c>
      <c r="I134" s="227">
        <v>0</v>
      </c>
      <c r="J134" s="227">
        <v>4870</v>
      </c>
      <c r="K134" s="227">
        <v>0</v>
      </c>
      <c r="L134" s="227">
        <v>2650</v>
      </c>
      <c r="M134" s="227">
        <v>0</v>
      </c>
      <c r="N134" s="227">
        <v>0</v>
      </c>
    </row>
    <row r="135">
      <c r="A135" s="226" t="s">
        <v>408</v>
      </c>
      <c r="B135" s="226" t="s">
        <v>409</v>
      </c>
      <c r="C135" s="227">
        <v>3439.6999999999998</v>
      </c>
      <c r="D135" s="227">
        <v>3439.6999999999998</v>
      </c>
      <c r="E135" s="227">
        <v>3504.5999999999999</v>
      </c>
      <c r="F135" s="227">
        <v>3504.5999999999999</v>
      </c>
      <c r="G135" s="227">
        <v>3504.5999999999999</v>
      </c>
      <c r="H135" s="227">
        <v>3504.5999999999999</v>
      </c>
      <c r="I135" s="227">
        <v>3504.5999999999999</v>
      </c>
      <c r="J135" s="227">
        <v>3504.5999999999999</v>
      </c>
      <c r="K135" s="227">
        <v>3504.5999999999999</v>
      </c>
      <c r="L135" s="227">
        <v>3504.5999999999999</v>
      </c>
      <c r="M135" s="227">
        <v>3504.5999999999999</v>
      </c>
      <c r="N135" s="227">
        <v>3504.5999999999999</v>
      </c>
    </row>
    <row r="136">
      <c r="A136" s="226" t="s">
        <v>412</v>
      </c>
      <c r="B136" s="226" t="s">
        <v>413</v>
      </c>
      <c r="C136" s="227">
        <v>0</v>
      </c>
      <c r="D136" s="227">
        <v>1710</v>
      </c>
      <c r="E136" s="227">
        <v>0</v>
      </c>
      <c r="F136" s="227">
        <v>0</v>
      </c>
      <c r="G136" s="227">
        <v>0</v>
      </c>
      <c r="H136" s="227">
        <v>0</v>
      </c>
      <c r="I136" s="227">
        <v>348.25</v>
      </c>
      <c r="J136" s="227">
        <v>260</v>
      </c>
      <c r="K136" s="227">
        <v>995</v>
      </c>
      <c r="L136" s="227">
        <v>260</v>
      </c>
      <c r="M136" s="227">
        <v>0</v>
      </c>
      <c r="N136" s="227">
        <v>0</v>
      </c>
    </row>
    <row r="137">
      <c r="A137" s="226" t="s">
        <v>641</v>
      </c>
      <c r="B137" s="226" t="s">
        <v>416</v>
      </c>
      <c r="C137" s="227">
        <v>0</v>
      </c>
      <c r="D137" s="227">
        <v>0</v>
      </c>
      <c r="E137" s="227">
        <v>0</v>
      </c>
      <c r="F137" s="227">
        <v>0</v>
      </c>
      <c r="G137" s="227">
        <v>0</v>
      </c>
      <c r="H137" s="227">
        <v>0</v>
      </c>
      <c r="I137" s="227">
        <v>0</v>
      </c>
      <c r="J137" s="227">
        <v>19</v>
      </c>
      <c r="K137" s="227">
        <v>0</v>
      </c>
      <c r="L137" s="227">
        <v>0</v>
      </c>
      <c r="M137" s="227">
        <v>300</v>
      </c>
      <c r="N137" s="227">
        <v>80</v>
      </c>
    </row>
    <row r="138">
      <c r="A138" s="226" t="s">
        <v>418</v>
      </c>
      <c r="B138" s="226" t="s">
        <v>419</v>
      </c>
      <c r="C138" s="227">
        <v>0</v>
      </c>
      <c r="D138" s="227">
        <v>0</v>
      </c>
      <c r="E138" s="227">
        <v>0</v>
      </c>
      <c r="F138" s="227">
        <v>4500</v>
      </c>
      <c r="G138" s="227">
        <v>59</v>
      </c>
      <c r="H138" s="227">
        <v>0</v>
      </c>
      <c r="I138" s="227">
        <v>0</v>
      </c>
      <c r="J138" s="227">
        <v>0</v>
      </c>
      <c r="K138" s="227">
        <v>0</v>
      </c>
      <c r="L138" s="227">
        <v>0</v>
      </c>
      <c r="M138" s="227">
        <v>330</v>
      </c>
      <c r="N138" s="227">
        <v>0</v>
      </c>
    </row>
    <row r="139">
      <c r="A139" s="226" t="s">
        <v>421</v>
      </c>
      <c r="B139" s="226" t="s">
        <v>422</v>
      </c>
      <c r="C139" s="227">
        <v>0</v>
      </c>
      <c r="D139" s="227">
        <v>0</v>
      </c>
      <c r="E139" s="227">
        <v>300</v>
      </c>
      <c r="F139" s="227">
        <v>1070</v>
      </c>
      <c r="G139" s="227">
        <v>320</v>
      </c>
      <c r="H139" s="227">
        <v>295</v>
      </c>
      <c r="I139" s="227">
        <v>4350</v>
      </c>
      <c r="J139" s="227">
        <v>715</v>
      </c>
      <c r="K139" s="227">
        <v>1295</v>
      </c>
      <c r="L139" s="227">
        <v>29.5</v>
      </c>
      <c r="M139" s="227">
        <v>588.28999999999996</v>
      </c>
      <c r="N139" s="227">
        <v>801</v>
      </c>
    </row>
    <row r="140">
      <c r="A140" s="226" t="s">
        <v>607</v>
      </c>
      <c r="B140" s="226" t="s">
        <v>461</v>
      </c>
      <c r="C140" s="227">
        <v>265</v>
      </c>
      <c r="D140" s="227">
        <v>901</v>
      </c>
      <c r="E140" s="227">
        <v>270</v>
      </c>
      <c r="F140" s="227">
        <v>270</v>
      </c>
      <c r="G140" s="227">
        <v>2214</v>
      </c>
      <c r="H140" s="227">
        <v>2214</v>
      </c>
      <c r="I140" s="227">
        <v>2214</v>
      </c>
      <c r="J140" s="227">
        <v>0</v>
      </c>
      <c r="K140" s="227">
        <v>2214</v>
      </c>
      <c r="L140" s="227">
        <v>2214</v>
      </c>
      <c r="M140" s="227">
        <v>2214</v>
      </c>
      <c r="N140" s="227">
        <v>1130</v>
      </c>
    </row>
    <row r="141">
      <c r="A141" s="226" t="s">
        <v>608</v>
      </c>
      <c r="B141" s="226" t="s">
        <v>465</v>
      </c>
      <c r="C141" s="227">
        <v>0</v>
      </c>
      <c r="D141" s="227">
        <v>1320</v>
      </c>
      <c r="E141" s="227">
        <v>380</v>
      </c>
      <c r="F141" s="227">
        <v>2644</v>
      </c>
      <c r="G141" s="227">
        <v>1145.0999999999999</v>
      </c>
      <c r="H141" s="227">
        <v>804</v>
      </c>
      <c r="I141" s="227">
        <v>97.5</v>
      </c>
      <c r="J141" s="227">
        <v>114</v>
      </c>
      <c r="K141" s="227">
        <v>14</v>
      </c>
      <c r="L141" s="227">
        <v>0</v>
      </c>
      <c r="M141" s="227">
        <v>2920</v>
      </c>
      <c r="N141" s="227">
        <v>820</v>
      </c>
    </row>
    <row r="142">
      <c r="A142" s="226" t="s">
        <v>424</v>
      </c>
      <c r="B142" s="226" t="s">
        <v>425</v>
      </c>
      <c r="C142" s="227">
        <v>10720</v>
      </c>
      <c r="D142" s="227">
        <v>0</v>
      </c>
      <c r="E142" s="227">
        <v>2580</v>
      </c>
      <c r="F142" s="227">
        <v>1750</v>
      </c>
      <c r="G142" s="227">
        <v>1500</v>
      </c>
      <c r="H142" s="227">
        <v>1500</v>
      </c>
      <c r="I142" s="227">
        <v>0</v>
      </c>
      <c r="J142" s="227">
        <v>0</v>
      </c>
      <c r="K142" s="227">
        <v>0</v>
      </c>
      <c r="L142" s="227">
        <v>0</v>
      </c>
      <c r="M142" s="227">
        <v>0</v>
      </c>
      <c r="N142" s="227">
        <v>0</v>
      </c>
    </row>
    <row r="143">
      <c r="A143" s="226" t="s">
        <v>609</v>
      </c>
      <c r="B143" s="226" t="s">
        <v>472</v>
      </c>
      <c r="C143" s="227">
        <v>0</v>
      </c>
      <c r="D143" s="227">
        <v>0</v>
      </c>
      <c r="E143" s="227">
        <v>3100</v>
      </c>
      <c r="F143" s="227">
        <v>2450</v>
      </c>
      <c r="G143" s="227">
        <v>12219</v>
      </c>
      <c r="H143" s="227">
        <v>4568</v>
      </c>
      <c r="I143" s="227">
        <v>5496</v>
      </c>
      <c r="J143" s="227">
        <v>5292</v>
      </c>
      <c r="K143" s="227">
        <v>4146</v>
      </c>
      <c r="L143" s="227">
        <v>0</v>
      </c>
      <c r="M143" s="227">
        <v>1500</v>
      </c>
      <c r="N143" s="227">
        <v>3996</v>
      </c>
    </row>
    <row r="144">
      <c r="A144" s="226" t="s">
        <v>427</v>
      </c>
      <c r="B144" s="226" t="s">
        <v>428</v>
      </c>
      <c r="C144" s="227">
        <v>120</v>
      </c>
      <c r="D144" s="227">
        <v>6850</v>
      </c>
      <c r="E144" s="227">
        <v>7850</v>
      </c>
      <c r="F144" s="227">
        <v>5400</v>
      </c>
      <c r="G144" s="227">
        <v>300</v>
      </c>
      <c r="H144" s="227">
        <v>300</v>
      </c>
      <c r="I144" s="227">
        <v>50162</v>
      </c>
      <c r="J144" s="227">
        <v>0</v>
      </c>
      <c r="K144" s="227">
        <v>3035.9899999999998</v>
      </c>
      <c r="L144" s="227">
        <v>0</v>
      </c>
      <c r="M144" s="227">
        <v>1130</v>
      </c>
      <c r="N144" s="227">
        <v>0</v>
      </c>
    </row>
    <row r="145">
      <c r="A145" s="226" t="s">
        <v>430</v>
      </c>
      <c r="B145" s="226" t="s">
        <v>431</v>
      </c>
      <c r="C145" s="227">
        <v>0</v>
      </c>
      <c r="D145" s="227">
        <v>0</v>
      </c>
      <c r="E145" s="227">
        <v>0</v>
      </c>
      <c r="F145" s="227">
        <v>4900</v>
      </c>
      <c r="G145" s="227">
        <v>0</v>
      </c>
      <c r="H145" s="227">
        <v>0</v>
      </c>
      <c r="I145" s="227">
        <v>20700</v>
      </c>
      <c r="J145" s="227">
        <v>0</v>
      </c>
      <c r="K145" s="227">
        <v>9360</v>
      </c>
      <c r="L145" s="227">
        <v>900</v>
      </c>
      <c r="M145" s="227">
        <v>1180</v>
      </c>
      <c r="N145" s="227">
        <v>1122</v>
      </c>
    </row>
    <row r="146">
      <c r="A146" s="226" t="s">
        <v>433</v>
      </c>
      <c r="B146" s="226" t="s">
        <v>434</v>
      </c>
      <c r="C146" s="227">
        <v>1960</v>
      </c>
      <c r="D146" s="227">
        <v>0</v>
      </c>
      <c r="E146" s="227">
        <v>680.5</v>
      </c>
      <c r="F146" s="227">
        <v>665.39999999999998</v>
      </c>
      <c r="G146" s="227">
        <v>4666.3999999999996</v>
      </c>
      <c r="H146" s="227">
        <v>9104.2999999999993</v>
      </c>
      <c r="I146" s="227">
        <v>4466.6000000000004</v>
      </c>
      <c r="J146" s="227">
        <v>6958.0500000000002</v>
      </c>
      <c r="K146" s="227">
        <v>4748.9499999999998</v>
      </c>
      <c r="L146" s="227">
        <v>8073.6999999999998</v>
      </c>
      <c r="M146" s="227">
        <v>792.89999999999998</v>
      </c>
      <c r="N146" s="227">
        <v>2856</v>
      </c>
    </row>
    <row r="147">
      <c r="A147" s="226" t="s">
        <v>436</v>
      </c>
      <c r="B147" s="226" t="s">
        <v>437</v>
      </c>
      <c r="C147" s="227">
        <v>0</v>
      </c>
      <c r="D147" s="227">
        <v>2300</v>
      </c>
      <c r="E147" s="227">
        <v>0</v>
      </c>
      <c r="F147" s="227">
        <v>0</v>
      </c>
      <c r="G147" s="227">
        <v>2148</v>
      </c>
      <c r="H147" s="227">
        <v>0</v>
      </c>
      <c r="I147" s="227">
        <v>3250</v>
      </c>
      <c r="J147" s="227">
        <v>0</v>
      </c>
      <c r="K147" s="227">
        <v>2000</v>
      </c>
      <c r="L147" s="227">
        <v>0</v>
      </c>
      <c r="M147" s="227">
        <v>0</v>
      </c>
      <c r="N147" s="227">
        <v>930</v>
      </c>
    </row>
    <row r="148">
      <c r="A148" s="226" t="s">
        <v>610</v>
      </c>
      <c r="B148" s="226" t="s">
        <v>488</v>
      </c>
      <c r="C148" s="227">
        <v>331</v>
      </c>
      <c r="D148" s="227">
        <v>331</v>
      </c>
      <c r="E148" s="227">
        <v>0</v>
      </c>
      <c r="F148" s="227">
        <v>662</v>
      </c>
      <c r="G148" s="227">
        <v>331</v>
      </c>
      <c r="H148" s="227">
        <v>331</v>
      </c>
      <c r="I148" s="227">
        <v>15331</v>
      </c>
      <c r="J148" s="227">
        <v>7931</v>
      </c>
      <c r="K148" s="227">
        <v>331</v>
      </c>
      <c r="L148" s="227">
        <v>331</v>
      </c>
      <c r="M148" s="227">
        <v>6381</v>
      </c>
      <c r="N148" s="227">
        <v>331</v>
      </c>
    </row>
    <row r="149">
      <c r="A149" s="226" t="s">
        <v>439</v>
      </c>
      <c r="B149" s="226" t="s">
        <v>440</v>
      </c>
      <c r="C149" s="227">
        <v>1475</v>
      </c>
      <c r="D149" s="227">
        <v>0</v>
      </c>
      <c r="E149" s="227">
        <v>280</v>
      </c>
      <c r="F149" s="227">
        <v>1455</v>
      </c>
      <c r="G149" s="227">
        <v>0</v>
      </c>
      <c r="H149" s="227">
        <v>3600</v>
      </c>
      <c r="I149" s="227">
        <v>0</v>
      </c>
      <c r="J149" s="227">
        <v>5350</v>
      </c>
      <c r="K149" s="227">
        <v>750</v>
      </c>
      <c r="L149" s="227">
        <v>1300</v>
      </c>
      <c r="M149" s="227">
        <v>1125</v>
      </c>
      <c r="N149" s="227">
        <v>0</v>
      </c>
    </row>
    <row r="150">
      <c r="A150" s="226" t="s">
        <v>443</v>
      </c>
      <c r="B150" s="226" t="s">
        <v>444</v>
      </c>
      <c r="C150" s="227">
        <v>330</v>
      </c>
      <c r="D150" s="227">
        <v>0</v>
      </c>
      <c r="E150" s="227">
        <v>1552</v>
      </c>
      <c r="F150" s="227">
        <v>647</v>
      </c>
      <c r="G150" s="227">
        <v>0</v>
      </c>
      <c r="H150" s="227">
        <v>0</v>
      </c>
      <c r="I150" s="227">
        <v>88</v>
      </c>
      <c r="J150" s="227">
        <v>220</v>
      </c>
      <c r="K150" s="227">
        <v>75</v>
      </c>
      <c r="L150" s="227">
        <v>0</v>
      </c>
      <c r="M150" s="227">
        <v>0</v>
      </c>
      <c r="N150" s="227">
        <v>0</v>
      </c>
    </row>
    <row r="151">
      <c r="A151" s="226" t="s">
        <v>446</v>
      </c>
      <c r="B151" s="226" t="s">
        <v>447</v>
      </c>
      <c r="C151" s="227">
        <v>3120</v>
      </c>
      <c r="D151" s="227">
        <v>0</v>
      </c>
      <c r="E151" s="227">
        <v>1720</v>
      </c>
      <c r="F151" s="227">
        <v>1740</v>
      </c>
      <c r="G151" s="227">
        <v>1500</v>
      </c>
      <c r="H151" s="227">
        <v>0</v>
      </c>
      <c r="I151" s="227">
        <v>300</v>
      </c>
      <c r="J151" s="227">
        <v>1480</v>
      </c>
      <c r="K151" s="227">
        <v>1500</v>
      </c>
      <c r="L151" s="227">
        <v>18610</v>
      </c>
      <c r="M151" s="227">
        <v>2270</v>
      </c>
      <c r="N151" s="227">
        <v>0</v>
      </c>
    </row>
    <row r="152">
      <c r="A152" s="226" t="s">
        <v>449</v>
      </c>
      <c r="B152" s="226" t="s">
        <v>450</v>
      </c>
      <c r="C152" s="227">
        <v>0</v>
      </c>
      <c r="D152" s="227">
        <v>0</v>
      </c>
      <c r="E152" s="227">
        <v>0</v>
      </c>
      <c r="F152" s="227">
        <v>0</v>
      </c>
      <c r="G152" s="227">
        <v>0</v>
      </c>
      <c r="H152" s="227">
        <v>0</v>
      </c>
      <c r="I152" s="227">
        <v>0</v>
      </c>
      <c r="J152" s="227">
        <v>0</v>
      </c>
      <c r="K152" s="227">
        <v>0</v>
      </c>
      <c r="L152" s="227">
        <v>190</v>
      </c>
      <c r="M152" s="227">
        <v>0</v>
      </c>
      <c r="N152" s="227">
        <v>4330</v>
      </c>
    </row>
    <row r="153">
      <c r="A153" s="231"/>
      <c r="B153" s="226" t="s">
        <v>405</v>
      </c>
      <c r="C153" s="232">
        <v>21760.700000000001</v>
      </c>
      <c r="D153" s="232">
        <v>16851.700000000001</v>
      </c>
      <c r="E153" s="232">
        <v>22217.099999999999</v>
      </c>
      <c r="F153" s="232">
        <v>31658</v>
      </c>
      <c r="G153" s="232">
        <v>29907.099999999999</v>
      </c>
      <c r="H153" s="232">
        <v>26220.900000000001</v>
      </c>
      <c r="I153" s="232">
        <v>110307.95</v>
      </c>
      <c r="J153" s="232">
        <v>36713.650000000001</v>
      </c>
      <c r="K153" s="232">
        <v>33969.540000000001</v>
      </c>
      <c r="L153" s="232">
        <v>38062.800000000003</v>
      </c>
      <c r="M153" s="232">
        <v>24235.790000000001</v>
      </c>
      <c r="N153" s="232">
        <v>19900.599999999999</v>
      </c>
    </row>
    <row r="154">
      <c r="A154" s="231"/>
      <c r="B154" s="226" t="s">
        <v>374</v>
      </c>
      <c r="C154" s="232">
        <v>33136.699999999997</v>
      </c>
      <c r="D154" s="232">
        <v>26813.5</v>
      </c>
      <c r="E154" s="232">
        <v>46538.150000000001</v>
      </c>
      <c r="F154" s="232">
        <v>40571.980000000003</v>
      </c>
      <c r="G154" s="232">
        <v>45115.099999999999</v>
      </c>
      <c r="H154" s="232">
        <v>35175.699999999997</v>
      </c>
      <c r="I154" s="232">
        <v>125702.27</v>
      </c>
      <c r="J154" s="232">
        <v>62685.089999999997</v>
      </c>
      <c r="K154" s="232">
        <v>57393.059999999998</v>
      </c>
      <c r="L154" s="232">
        <v>60988.199999999997</v>
      </c>
      <c r="M154" s="232">
        <v>47858.690000000002</v>
      </c>
      <c r="N154" s="232">
        <v>41702.839999999997</v>
      </c>
    </row>
    <row r="155">
      <c r="A155" s="226" t="s">
        <v>452</v>
      </c>
      <c r="B155" s="226" t="s">
        <v>453</v>
      </c>
    </row>
    <row r="156">
      <c r="A156" s="226" t="s">
        <v>455</v>
      </c>
      <c r="B156" s="226" t="s">
        <v>456</v>
      </c>
      <c r="C156" s="227">
        <v>0</v>
      </c>
      <c r="D156" s="227">
        <v>0</v>
      </c>
      <c r="E156" s="227">
        <v>0</v>
      </c>
      <c r="F156" s="227">
        <v>0</v>
      </c>
      <c r="G156" s="227">
        <v>0</v>
      </c>
      <c r="H156" s="227">
        <v>0</v>
      </c>
      <c r="I156" s="227">
        <v>0</v>
      </c>
      <c r="J156" s="227">
        <v>0</v>
      </c>
      <c r="K156" s="227">
        <v>0</v>
      </c>
      <c r="L156" s="227">
        <v>0</v>
      </c>
      <c r="M156" s="227">
        <v>2380</v>
      </c>
      <c r="N156" s="227">
        <v>0</v>
      </c>
    </row>
    <row r="157">
      <c r="A157" s="231"/>
      <c r="B157" s="226" t="s">
        <v>453</v>
      </c>
      <c r="C157" s="232">
        <v>0</v>
      </c>
      <c r="D157" s="232">
        <v>0</v>
      </c>
      <c r="E157" s="232">
        <v>0</v>
      </c>
      <c r="F157" s="232">
        <v>0</v>
      </c>
      <c r="G157" s="232">
        <v>0</v>
      </c>
      <c r="H157" s="232">
        <v>0</v>
      </c>
      <c r="I157" s="232">
        <v>0</v>
      </c>
      <c r="J157" s="232">
        <v>0</v>
      </c>
      <c r="K157" s="232">
        <v>0</v>
      </c>
      <c r="L157" s="232">
        <v>0</v>
      </c>
      <c r="M157" s="232">
        <v>2380</v>
      </c>
      <c r="N157" s="232">
        <v>0</v>
      </c>
    </row>
    <row r="158">
      <c r="A158" s="226" t="s">
        <v>458</v>
      </c>
      <c r="B158" s="226" t="s">
        <v>459</v>
      </c>
      <c r="C158" s="227">
        <v>24842.16</v>
      </c>
      <c r="D158" s="227">
        <v>23239.439999999999</v>
      </c>
      <c r="E158" s="227">
        <v>25310.880000000001</v>
      </c>
      <c r="F158" s="227">
        <v>24494.400000000001</v>
      </c>
      <c r="G158" s="227">
        <v>25310.880000000001</v>
      </c>
      <c r="H158" s="227">
        <v>24494.400000000001</v>
      </c>
      <c r="I158" s="227">
        <v>24494.400000000001</v>
      </c>
      <c r="J158" s="227">
        <v>25310.880000000001</v>
      </c>
      <c r="K158" s="227">
        <v>24494.400000000001</v>
      </c>
      <c r="L158" s="227">
        <v>25310.880000000001</v>
      </c>
      <c r="M158" s="227">
        <v>24494.400000000001</v>
      </c>
      <c r="N158" s="227">
        <v>24377.759999999998</v>
      </c>
    </row>
    <row r="159">
      <c r="A159" s="226" t="s">
        <v>462</v>
      </c>
      <c r="B159" s="226" t="s">
        <v>463</v>
      </c>
      <c r="C159" s="227">
        <v>0</v>
      </c>
      <c r="D159" s="227">
        <v>0</v>
      </c>
      <c r="E159" s="227">
        <v>0</v>
      </c>
      <c r="F159" s="227">
        <v>0</v>
      </c>
      <c r="G159" s="227">
        <v>0</v>
      </c>
      <c r="H159" s="227">
        <v>0</v>
      </c>
      <c r="I159" s="227">
        <v>0</v>
      </c>
      <c r="J159" s="227">
        <v>30</v>
      </c>
      <c r="K159" s="227">
        <v>0</v>
      </c>
      <c r="L159" s="227">
        <v>17</v>
      </c>
      <c r="M159" s="227">
        <v>100</v>
      </c>
      <c r="N159" s="227">
        <v>0</v>
      </c>
    </row>
    <row r="160">
      <c r="A160" s="226" t="s">
        <v>469</v>
      </c>
      <c r="B160" s="226" t="s">
        <v>470</v>
      </c>
      <c r="C160" s="227">
        <v>171</v>
      </c>
      <c r="D160" s="227">
        <v>230.02000000000001</v>
      </c>
      <c r="E160" s="227">
        <v>441</v>
      </c>
      <c r="F160" s="227">
        <v>314.69999999999999</v>
      </c>
      <c r="G160" s="227">
        <v>384.30000000000001</v>
      </c>
      <c r="H160" s="227">
        <v>297</v>
      </c>
      <c r="I160" s="227">
        <v>393.80000000000001</v>
      </c>
      <c r="J160" s="227">
        <v>200</v>
      </c>
      <c r="K160" s="227">
        <v>0</v>
      </c>
      <c r="L160" s="227">
        <v>0</v>
      </c>
      <c r="M160" s="227">
        <v>100</v>
      </c>
      <c r="N160" s="227">
        <v>0</v>
      </c>
    </row>
    <row r="161">
      <c r="A161" s="226" t="s">
        <v>473</v>
      </c>
      <c r="B161" s="226" t="s">
        <v>474</v>
      </c>
    </row>
    <row r="162">
      <c r="A162" s="226" t="s">
        <v>476</v>
      </c>
      <c r="B162" s="226" t="s">
        <v>477</v>
      </c>
      <c r="C162" s="227">
        <v>69025.75</v>
      </c>
      <c r="D162" s="227">
        <v>60818.900000000001</v>
      </c>
      <c r="E162" s="227">
        <v>63440</v>
      </c>
      <c r="F162" s="227">
        <v>63811.25</v>
      </c>
      <c r="G162" s="227">
        <v>61278.849999999999</v>
      </c>
      <c r="H162" s="227">
        <v>69579.899999999994</v>
      </c>
      <c r="I162" s="227">
        <v>62586.599999999999</v>
      </c>
      <c r="J162" s="227">
        <v>68917.149999999994</v>
      </c>
      <c r="K162" s="227">
        <v>68530.800000000003</v>
      </c>
      <c r="L162" s="227">
        <v>63911</v>
      </c>
      <c r="M162" s="227">
        <v>62605.050000000003</v>
      </c>
      <c r="N162" s="227">
        <v>64471.449999999997</v>
      </c>
    </row>
    <row r="163">
      <c r="A163" s="226" t="s">
        <v>479</v>
      </c>
      <c r="B163" s="226" t="s">
        <v>480</v>
      </c>
      <c r="C163" s="227">
        <v>12954.799999999999</v>
      </c>
      <c r="D163" s="227">
        <v>13006.549999999999</v>
      </c>
      <c r="E163" s="227">
        <v>13763.299999999999</v>
      </c>
      <c r="F163" s="227">
        <v>13019.450000000001</v>
      </c>
      <c r="G163" s="227">
        <v>13307.6</v>
      </c>
      <c r="H163" s="227">
        <v>11893.450000000001</v>
      </c>
      <c r="I163" s="227">
        <v>8203.7399999999998</v>
      </c>
      <c r="J163" s="227">
        <v>8635.9099999999999</v>
      </c>
      <c r="K163" s="227">
        <v>8438.9500000000007</v>
      </c>
      <c r="L163" s="227">
        <v>7830.3500000000004</v>
      </c>
      <c r="M163" s="227">
        <v>6236.8999999999996</v>
      </c>
      <c r="N163" s="227">
        <v>8056.75</v>
      </c>
    </row>
    <row r="164">
      <c r="A164" s="226" t="s">
        <v>482</v>
      </c>
      <c r="B164" s="226" t="s">
        <v>483</v>
      </c>
      <c r="C164" s="227">
        <v>2284.9200000000001</v>
      </c>
      <c r="D164" s="227">
        <v>2277.6500000000001</v>
      </c>
      <c r="E164" s="227">
        <v>2284.5</v>
      </c>
      <c r="F164" s="227">
        <v>2300.4000000000001</v>
      </c>
      <c r="G164" s="227">
        <v>2818.4000000000001</v>
      </c>
      <c r="H164" s="227">
        <v>2825.5</v>
      </c>
      <c r="I164" s="227">
        <v>2858.8000000000002</v>
      </c>
      <c r="J164" s="227">
        <v>2866.3499999999999</v>
      </c>
      <c r="K164" s="227">
        <v>2871.5</v>
      </c>
      <c r="L164" s="227">
        <v>2859.4000000000001</v>
      </c>
      <c r="M164" s="227">
        <v>2866.4499999999998</v>
      </c>
      <c r="N164" s="227">
        <v>2861.1999999999998</v>
      </c>
    </row>
    <row r="165">
      <c r="A165" s="226" t="s">
        <v>485</v>
      </c>
      <c r="B165" s="226" t="s">
        <v>486</v>
      </c>
      <c r="C165" s="227">
        <v>15643.950000000001</v>
      </c>
      <c r="D165" s="227">
        <v>5396.25</v>
      </c>
      <c r="E165" s="227">
        <v>5396.25</v>
      </c>
      <c r="F165" s="227">
        <v>5396.25</v>
      </c>
      <c r="G165" s="227">
        <v>5396.25</v>
      </c>
      <c r="H165" s="227">
        <v>5396.25</v>
      </c>
      <c r="I165" s="227">
        <v>6184.1999999999998</v>
      </c>
      <c r="J165" s="227">
        <v>6184.1999999999998</v>
      </c>
      <c r="K165" s="227">
        <v>6184.1999999999998</v>
      </c>
      <c r="L165" s="227">
        <v>6184.1999999999998</v>
      </c>
      <c r="M165" s="227">
        <v>6184.1999999999998</v>
      </c>
      <c r="N165" s="227">
        <v>6184.1999999999998</v>
      </c>
    </row>
    <row r="166">
      <c r="A166" s="226" t="s">
        <v>489</v>
      </c>
      <c r="B166" s="226" t="s">
        <v>490</v>
      </c>
      <c r="C166" s="227">
        <v>2772</v>
      </c>
      <c r="D166" s="227">
        <v>4536</v>
      </c>
      <c r="E166" s="227">
        <v>2016</v>
      </c>
      <c r="F166" s="227">
        <v>3024</v>
      </c>
      <c r="G166" s="227">
        <v>3276</v>
      </c>
      <c r="H166" s="227">
        <v>3276</v>
      </c>
      <c r="I166" s="227">
        <v>7534</v>
      </c>
      <c r="J166" s="227">
        <v>4284</v>
      </c>
      <c r="K166" s="227">
        <v>2016</v>
      </c>
      <c r="L166" s="227">
        <v>4032</v>
      </c>
      <c r="M166" s="227">
        <v>4788</v>
      </c>
      <c r="N166" s="227">
        <v>2520</v>
      </c>
    </row>
    <row r="167">
      <c r="A167" s="231"/>
      <c r="B167" s="226" t="s">
        <v>474</v>
      </c>
      <c r="C167" s="232">
        <v>102681.42</v>
      </c>
      <c r="D167" s="232">
        <v>86035.350000000006</v>
      </c>
      <c r="E167" s="232">
        <v>86900.050000000003</v>
      </c>
      <c r="F167" s="232">
        <v>87551.350000000006</v>
      </c>
      <c r="G167" s="232">
        <v>86077.100000000006</v>
      </c>
      <c r="H167" s="232">
        <v>92971.100000000006</v>
      </c>
      <c r="I167" s="232">
        <v>87367.339999999997</v>
      </c>
      <c r="J167" s="232">
        <v>90887.610000000001</v>
      </c>
      <c r="K167" s="232">
        <v>88041.449999999997</v>
      </c>
      <c r="L167" s="232">
        <v>84816.949999999997</v>
      </c>
      <c r="M167" s="232">
        <v>82680.600000000006</v>
      </c>
      <c r="N167" s="232">
        <v>84093.600000000006</v>
      </c>
    </row>
    <row r="168">
      <c r="A168" s="226" t="s">
        <v>492</v>
      </c>
      <c r="B168" s="226" t="s">
        <v>493</v>
      </c>
    </row>
    <row r="169">
      <c r="A169" s="226" t="s">
        <v>498</v>
      </c>
      <c r="B169" s="226" t="s">
        <v>499</v>
      </c>
      <c r="C169" s="227">
        <v>0</v>
      </c>
      <c r="D169" s="227">
        <v>0</v>
      </c>
      <c r="E169" s="227">
        <v>0</v>
      </c>
      <c r="F169" s="227">
        <v>0</v>
      </c>
      <c r="G169" s="227">
        <v>0</v>
      </c>
      <c r="H169" s="227">
        <v>2344.4299999999998</v>
      </c>
      <c r="I169" s="227">
        <v>758</v>
      </c>
      <c r="J169" s="227">
        <v>0</v>
      </c>
      <c r="K169" s="227">
        <v>0</v>
      </c>
      <c r="L169" s="227">
        <v>0</v>
      </c>
      <c r="M169" s="227">
        <v>0</v>
      </c>
      <c r="N169" s="227">
        <v>0</v>
      </c>
    </row>
    <row r="170">
      <c r="A170" s="226" t="s">
        <v>611</v>
      </c>
      <c r="B170" s="226" t="s">
        <v>535</v>
      </c>
      <c r="C170" s="227">
        <v>1540</v>
      </c>
      <c r="D170" s="227">
        <v>0</v>
      </c>
      <c r="E170" s="227">
        <v>0</v>
      </c>
      <c r="F170" s="227">
        <v>0</v>
      </c>
      <c r="G170" s="227">
        <v>830.85000000000002</v>
      </c>
      <c r="H170" s="227">
        <v>0</v>
      </c>
      <c r="I170" s="227">
        <v>0</v>
      </c>
      <c r="J170" s="227">
        <v>0</v>
      </c>
      <c r="K170" s="227">
        <v>0</v>
      </c>
      <c r="L170" s="227">
        <v>0</v>
      </c>
      <c r="M170" s="227">
        <v>1504.25</v>
      </c>
      <c r="N170" s="227">
        <v>0</v>
      </c>
    </row>
    <row r="171">
      <c r="A171" s="231"/>
      <c r="B171" s="226" t="s">
        <v>493</v>
      </c>
      <c r="C171" s="232">
        <v>1540</v>
      </c>
      <c r="D171" s="232">
        <v>0</v>
      </c>
      <c r="E171" s="232">
        <v>0</v>
      </c>
      <c r="F171" s="232">
        <v>0</v>
      </c>
      <c r="G171" s="232">
        <v>830.85000000000002</v>
      </c>
      <c r="H171" s="232">
        <v>2344.4299999999998</v>
      </c>
      <c r="I171" s="232">
        <v>758</v>
      </c>
      <c r="J171" s="232">
        <v>0</v>
      </c>
      <c r="K171" s="232">
        <v>0</v>
      </c>
      <c r="L171" s="232">
        <v>0</v>
      </c>
      <c r="M171" s="232">
        <v>1504.25</v>
      </c>
      <c r="N171" s="232">
        <v>0</v>
      </c>
    </row>
    <row r="172">
      <c r="A172" s="231"/>
      <c r="B172" s="226" t="s">
        <v>375</v>
      </c>
      <c r="C172" s="232">
        <v>227602.51999999999</v>
      </c>
      <c r="D172" s="232">
        <v>140937.23999999999</v>
      </c>
      <c r="E172" s="232">
        <v>170948.78</v>
      </c>
      <c r="F172" s="232">
        <v>162292.69</v>
      </c>
      <c r="G172" s="232">
        <v>168619.19</v>
      </c>
      <c r="H172" s="232">
        <v>166263.60000000001</v>
      </c>
      <c r="I172" s="232">
        <v>262687.96000000002</v>
      </c>
      <c r="J172" s="232">
        <v>190364.32999999999</v>
      </c>
      <c r="K172" s="232">
        <v>181808.91</v>
      </c>
      <c r="L172" s="232">
        <v>181719.17000000001</v>
      </c>
      <c r="M172" s="232">
        <v>172555.59</v>
      </c>
      <c r="N172" s="232">
        <v>223959.39000000001</v>
      </c>
    </row>
    <row r="173">
      <c r="A173" s="226" t="s">
        <v>501</v>
      </c>
      <c r="B173" s="226" t="s">
        <v>502</v>
      </c>
      <c r="C173" s="227">
        <v>0</v>
      </c>
      <c r="D173" s="227">
        <v>0</v>
      </c>
      <c r="E173" s="227">
        <v>93.799999999999997</v>
      </c>
      <c r="F173" s="227">
        <v>1909.3</v>
      </c>
      <c r="G173" s="227">
        <v>1465.5</v>
      </c>
      <c r="H173" s="227">
        <v>1710</v>
      </c>
      <c r="I173" s="227">
        <v>731</v>
      </c>
      <c r="J173" s="227">
        <v>1932</v>
      </c>
      <c r="K173" s="227">
        <v>700</v>
      </c>
      <c r="L173" s="227">
        <v>800</v>
      </c>
      <c r="M173" s="227">
        <v>1182</v>
      </c>
      <c r="N173" s="227">
        <v>800</v>
      </c>
    </row>
    <row r="174">
      <c r="A174" s="226" t="s">
        <v>507</v>
      </c>
      <c r="B174" s="226" t="s">
        <v>508</v>
      </c>
    </row>
    <row r="175">
      <c r="A175" s="226" t="s">
        <v>510</v>
      </c>
      <c r="B175" s="226" t="s">
        <v>511</v>
      </c>
      <c r="C175" s="227">
        <v>0</v>
      </c>
      <c r="D175" s="227">
        <v>0</v>
      </c>
      <c r="E175" s="227">
        <v>0</v>
      </c>
      <c r="F175" s="227">
        <v>0</v>
      </c>
      <c r="G175" s="227">
        <v>0</v>
      </c>
      <c r="H175" s="227">
        <v>0</v>
      </c>
      <c r="I175" s="227">
        <v>99132</v>
      </c>
      <c r="J175" s="227">
        <v>99132</v>
      </c>
      <c r="K175" s="227">
        <v>0</v>
      </c>
      <c r="L175" s="227">
        <v>0</v>
      </c>
      <c r="M175" s="227">
        <v>0</v>
      </c>
      <c r="N175" s="227">
        <v>0</v>
      </c>
    </row>
    <row r="176">
      <c r="A176" s="226" t="s">
        <v>513</v>
      </c>
      <c r="B176" s="226" t="s">
        <v>514</v>
      </c>
      <c r="C176" s="227">
        <v>0</v>
      </c>
      <c r="D176" s="227">
        <v>0</v>
      </c>
      <c r="E176" s="227">
        <v>0</v>
      </c>
      <c r="F176" s="227">
        <v>0</v>
      </c>
      <c r="G176" s="227">
        <v>29832</v>
      </c>
      <c r="H176" s="227">
        <v>1353</v>
      </c>
      <c r="I176" s="227">
        <v>0</v>
      </c>
      <c r="J176" s="227">
        <v>0</v>
      </c>
      <c r="K176" s="227">
        <v>0</v>
      </c>
      <c r="L176" s="227">
        <v>0</v>
      </c>
      <c r="M176" s="227">
        <v>0</v>
      </c>
      <c r="N176" s="227">
        <v>0</v>
      </c>
    </row>
    <row r="177">
      <c r="A177" s="231"/>
      <c r="B177" s="226" t="s">
        <v>508</v>
      </c>
      <c r="C177" s="232">
        <v>0</v>
      </c>
      <c r="D177" s="232">
        <v>0</v>
      </c>
      <c r="E177" s="232">
        <v>0</v>
      </c>
      <c r="F177" s="232">
        <v>0</v>
      </c>
      <c r="G177" s="232">
        <v>29832</v>
      </c>
      <c r="H177" s="232">
        <v>1353</v>
      </c>
      <c r="I177" s="232">
        <v>99132</v>
      </c>
      <c r="J177" s="232">
        <v>99132</v>
      </c>
      <c r="K177" s="232">
        <v>0</v>
      </c>
      <c r="L177" s="232">
        <v>0</v>
      </c>
      <c r="M177" s="232">
        <v>0</v>
      </c>
      <c r="N177" s="232">
        <v>0</v>
      </c>
    </row>
    <row r="178">
      <c r="A178" s="226" t="s">
        <v>612</v>
      </c>
      <c r="B178" s="226" t="s">
        <v>546</v>
      </c>
      <c r="C178" s="227">
        <v>6488</v>
      </c>
      <c r="D178" s="227">
        <v>2450</v>
      </c>
      <c r="E178" s="227">
        <v>1343.6500000000001</v>
      </c>
      <c r="F178" s="227">
        <v>0</v>
      </c>
      <c r="G178" s="227">
        <v>0</v>
      </c>
      <c r="H178" s="227">
        <v>0</v>
      </c>
      <c r="I178" s="227">
        <v>0</v>
      </c>
      <c r="J178" s="227">
        <v>0</v>
      </c>
      <c r="K178" s="227">
        <v>0</v>
      </c>
      <c r="L178" s="227">
        <v>0</v>
      </c>
      <c r="M178" s="227">
        <v>0</v>
      </c>
      <c r="N178" s="227">
        <v>0</v>
      </c>
    </row>
    <row r="179">
      <c r="A179" s="226" t="s">
        <v>516</v>
      </c>
      <c r="B179" s="226" t="s">
        <v>517</v>
      </c>
    </row>
    <row r="180">
      <c r="A180" s="226" t="s">
        <v>519</v>
      </c>
      <c r="B180" s="226" t="s">
        <v>520</v>
      </c>
      <c r="C180" s="227">
        <v>692</v>
      </c>
      <c r="D180" s="227">
        <v>0</v>
      </c>
      <c r="E180" s="227">
        <v>0</v>
      </c>
      <c r="F180" s="227">
        <v>301.5</v>
      </c>
      <c r="G180" s="227">
        <v>200</v>
      </c>
      <c r="H180" s="227">
        <v>0</v>
      </c>
      <c r="I180" s="227">
        <v>0</v>
      </c>
      <c r="J180" s="227">
        <v>48.600000000000001</v>
      </c>
      <c r="K180" s="227">
        <v>2250</v>
      </c>
      <c r="L180" s="227">
        <v>3041.54</v>
      </c>
      <c r="M180" s="227">
        <v>19428</v>
      </c>
      <c r="N180" s="227">
        <v>5280</v>
      </c>
    </row>
    <row r="181">
      <c r="A181" s="226" t="s">
        <v>522</v>
      </c>
      <c r="B181" s="226" t="s">
        <v>523</v>
      </c>
      <c r="C181" s="227">
        <v>0</v>
      </c>
      <c r="D181" s="227">
        <v>450</v>
      </c>
      <c r="E181" s="227">
        <v>120</v>
      </c>
      <c r="F181" s="227">
        <v>0</v>
      </c>
      <c r="G181" s="227">
        <v>0</v>
      </c>
      <c r="H181" s="227">
        <v>0</v>
      </c>
      <c r="I181" s="227">
        <v>0</v>
      </c>
      <c r="J181" s="227">
        <v>0</v>
      </c>
      <c r="K181" s="227">
        <v>0</v>
      </c>
      <c r="L181" s="227">
        <v>0</v>
      </c>
      <c r="M181" s="227">
        <v>0</v>
      </c>
      <c r="N181" s="227">
        <v>0</v>
      </c>
    </row>
    <row r="182">
      <c r="A182" s="231"/>
      <c r="B182" s="226" t="s">
        <v>517</v>
      </c>
      <c r="C182" s="232">
        <v>692</v>
      </c>
      <c r="D182" s="232">
        <v>450</v>
      </c>
      <c r="E182" s="232">
        <v>120</v>
      </c>
      <c r="F182" s="232">
        <v>301.5</v>
      </c>
      <c r="G182" s="232">
        <v>200</v>
      </c>
      <c r="H182" s="232">
        <v>0</v>
      </c>
      <c r="I182" s="232">
        <v>0</v>
      </c>
      <c r="J182" s="232">
        <v>48.600000000000001</v>
      </c>
      <c r="K182" s="232">
        <v>2250</v>
      </c>
      <c r="L182" s="232">
        <v>3041.54</v>
      </c>
      <c r="M182" s="232">
        <v>19428</v>
      </c>
      <c r="N182" s="232">
        <v>5280</v>
      </c>
    </row>
    <row r="183">
      <c r="A183" s="226" t="s">
        <v>525</v>
      </c>
      <c r="B183" s="226" t="s">
        <v>526</v>
      </c>
      <c r="C183" s="227">
        <v>1317.5</v>
      </c>
      <c r="D183" s="227">
        <v>204</v>
      </c>
      <c r="E183" s="227">
        <v>2076.5</v>
      </c>
      <c r="F183" s="227">
        <v>2228</v>
      </c>
      <c r="G183" s="227">
        <v>1809</v>
      </c>
      <c r="H183" s="227">
        <v>0</v>
      </c>
      <c r="I183" s="227">
        <v>1833.5</v>
      </c>
      <c r="J183" s="227">
        <v>2435</v>
      </c>
      <c r="K183" s="227">
        <v>726.5</v>
      </c>
      <c r="L183" s="227">
        <v>1194.5</v>
      </c>
      <c r="M183" s="227">
        <v>890.5</v>
      </c>
      <c r="N183" s="227">
        <v>1163.5</v>
      </c>
    </row>
    <row r="184">
      <c r="A184" s="231"/>
      <c r="C184" s="232">
        <v>539744.27000000002</v>
      </c>
      <c r="D184" s="232">
        <v>374025.78999999998</v>
      </c>
      <c r="E184" s="232">
        <v>426689.48999999999</v>
      </c>
      <c r="F184" s="232">
        <v>389462.20000000001</v>
      </c>
      <c r="G184" s="232">
        <v>445526.83000000002</v>
      </c>
      <c r="H184" s="232">
        <v>410105.42999999999</v>
      </c>
      <c r="I184" s="232">
        <v>642714.02000000002</v>
      </c>
      <c r="J184" s="232">
        <v>535633.34999999998</v>
      </c>
      <c r="K184" s="232">
        <v>412351.71999999997</v>
      </c>
      <c r="L184" s="232">
        <v>428792.47999999998</v>
      </c>
      <c r="M184" s="232">
        <v>413128.46000000002</v>
      </c>
      <c r="N184" s="232">
        <v>461471.31</v>
      </c>
    </row>
    <row r="185">
      <c r="A185" s="231" t="s">
        <v>552</v>
      </c>
      <c r="C185" s="232">
        <v>-321626.97999999998</v>
      </c>
      <c r="D185" s="232">
        <v>-30932.369999999999</v>
      </c>
      <c r="E185" s="232">
        <v>-182683.39000000001</v>
      </c>
      <c r="F185" s="232">
        <v>-119909.98</v>
      </c>
      <c r="G185" s="232">
        <v>-51389.120000000003</v>
      </c>
      <c r="H185" s="232">
        <v>-89360.149999999994</v>
      </c>
      <c r="I185" s="232">
        <v>-245235.85999999999</v>
      </c>
      <c r="J185" s="232">
        <v>-53667.870000000003</v>
      </c>
      <c r="K185" s="232">
        <v>-62246.059999999998</v>
      </c>
      <c r="L185" s="232">
        <v>-85816.880000000005</v>
      </c>
      <c r="M185" s="232">
        <v>-18168.779999999999</v>
      </c>
      <c r="N185" s="232">
        <v>-10942.07</v>
      </c>
    </row>
    <row r="186">
      <c r="A186" s="231" t="s">
        <v>536</v>
      </c>
      <c r="C186" s="232">
        <v>-321626.97999999998</v>
      </c>
      <c r="D186" s="232">
        <v>-30932.369999999999</v>
      </c>
      <c r="E186" s="232">
        <v>-182683.39000000001</v>
      </c>
      <c r="F186" s="232">
        <v>-119909.98</v>
      </c>
      <c r="G186" s="232">
        <v>-51389.120000000003</v>
      </c>
      <c r="H186" s="232">
        <v>-89360.149999999994</v>
      </c>
      <c r="I186" s="232">
        <v>-245235.85999999999</v>
      </c>
      <c r="J186" s="232">
        <v>-53667.870000000003</v>
      </c>
      <c r="K186" s="232">
        <v>-62246.059999999998</v>
      </c>
      <c r="L186" s="232">
        <v>-85816.880000000005</v>
      </c>
      <c r="M186" s="232">
        <v>-18168.779999999999</v>
      </c>
      <c r="N186" s="232">
        <v>-10942.07</v>
      </c>
    </row>
    <row r="187">
      <c r="A187" s="231" t="s">
        <v>544</v>
      </c>
      <c r="C187" s="232">
        <v>-321626.97999999998</v>
      </c>
      <c r="D187" s="232">
        <v>-30932.369999999999</v>
      </c>
      <c r="E187" s="232">
        <v>-182683.39000000001</v>
      </c>
      <c r="F187" s="232">
        <v>-119909.98</v>
      </c>
      <c r="G187" s="232">
        <v>-51389.120000000003</v>
      </c>
      <c r="H187" s="232">
        <v>-89360.149999999994</v>
      </c>
      <c r="I187" s="232">
        <v>-245235.85999999999</v>
      </c>
      <c r="J187" s="232">
        <v>-53667.870000000003</v>
      </c>
      <c r="K187" s="232">
        <v>-62246.059999999998</v>
      </c>
      <c r="L187" s="232">
        <v>-85816.880000000005</v>
      </c>
      <c r="M187" s="232">
        <v>-18168.779999999999</v>
      </c>
      <c r="N187" s="232">
        <v>-10942.07</v>
      </c>
    </row>
  </sheetData>
  <mergeCells count="14">
    <mergeCell ref="K1:K2"/>
    <mergeCell ref="L1:L2"/>
    <mergeCell ref="M1:M2"/>
    <mergeCell ref="N1:N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34998626667073579"/>
    <outlinePr applyStyles="0" summaryBelow="1" summaryRight="1" showOutlineSymbols="1"/>
    <pageSetUpPr autoPageBreaks="1" fitToPage="0"/>
  </sheetPr>
  <sheetViews>
    <sheetView topLeftCell="A55" zoomScale="55" workbookViewId="0">
      <selection activeCell="A86" activeCellId="0" sqref="A86"/>
    </sheetView>
  </sheetViews>
  <sheetFormatPr defaultColWidth="9" defaultRowHeight="14.5"/>
  <cols>
    <col customWidth="1" min="1" max="1" width="69.36328125"/>
    <col customWidth="1" min="2" max="2" width="12.90625"/>
    <col customWidth="1" min="3" max="3" width="16.36328125"/>
    <col customWidth="1" min="4" max="4" width="7.6328125"/>
    <col customWidth="1" min="5" max="5" width="16.36328125"/>
    <col customWidth="1" min="6" max="6" width="9.36328125"/>
  </cols>
  <sheetData>
    <row r="1" ht="24.5">
      <c r="A1" s="235" t="s">
        <v>642</v>
      </c>
    </row>
    <row r="2">
      <c r="A2" s="216" t="s">
        <v>553</v>
      </c>
      <c r="B2" s="216" t="s">
        <v>554</v>
      </c>
      <c r="C2" s="216" t="s">
        <v>643</v>
      </c>
      <c r="D2" s="216"/>
      <c r="E2" s="216" t="s">
        <v>644</v>
      </c>
      <c r="F2" s="216"/>
    </row>
    <row r="3">
      <c r="A3" s="216"/>
      <c r="B3" s="216"/>
      <c r="C3" s="218" t="s">
        <v>645</v>
      </c>
      <c r="D3" s="216" t="s">
        <v>646</v>
      </c>
      <c r="E3" s="218" t="s">
        <v>645</v>
      </c>
      <c r="F3" s="216" t="s">
        <v>646</v>
      </c>
    </row>
    <row r="4">
      <c r="A4" s="185" t="s">
        <v>647</v>
      </c>
      <c r="C4" s="219"/>
      <c r="E4" s="219"/>
    </row>
    <row r="5">
      <c r="A5" s="185" t="s">
        <v>648</v>
      </c>
      <c r="C5" s="219"/>
      <c r="E5" s="219"/>
    </row>
    <row r="6">
      <c r="A6" t="s">
        <v>649</v>
      </c>
      <c r="B6" t="s">
        <v>650</v>
      </c>
      <c r="C6" s="219">
        <v>1130227.3899999999</v>
      </c>
      <c r="D6">
        <v>17.239999999999998</v>
      </c>
      <c r="E6" s="219">
        <v>231122.91</v>
      </c>
      <c r="F6">
        <v>7.9400000000000004</v>
      </c>
    </row>
    <row r="7">
      <c r="A7" t="s">
        <v>651</v>
      </c>
      <c r="B7" t="s">
        <v>652</v>
      </c>
      <c r="C7" s="219">
        <v>-444414.32000000001</v>
      </c>
      <c r="D7">
        <v>-6.7800000000000002</v>
      </c>
      <c r="E7" s="219">
        <v>107783.99000000001</v>
      </c>
      <c r="F7">
        <v>3.7000000000000002</v>
      </c>
    </row>
    <row r="8">
      <c r="A8" t="s">
        <v>653</v>
      </c>
      <c r="B8" t="s">
        <v>654</v>
      </c>
      <c r="C8" s="219">
        <v>-550105.92000000004</v>
      </c>
      <c r="D8">
        <v>-8.3900000000000006</v>
      </c>
      <c r="E8" s="219">
        <v>2092.3899999999999</v>
      </c>
      <c r="F8">
        <v>7.0000000000000007e-02</v>
      </c>
    </row>
    <row r="9">
      <c r="A9" t="s">
        <v>655</v>
      </c>
      <c r="B9" t="s">
        <v>656</v>
      </c>
      <c r="C9" s="219">
        <v>-536394.10999999999</v>
      </c>
      <c r="D9">
        <v>-8.1799999999999997</v>
      </c>
      <c r="E9" s="219">
        <v>-1621.3499999999999</v>
      </c>
      <c r="F9">
        <v>-5.9999999999999998e-02</v>
      </c>
    </row>
    <row r="10">
      <c r="A10" t="s">
        <v>657</v>
      </c>
      <c r="B10" t="s">
        <v>658</v>
      </c>
      <c r="C10" s="219">
        <v>-70</v>
      </c>
      <c r="D10">
        <v>0</v>
      </c>
      <c r="E10" s="219">
        <v>70</v>
      </c>
      <c r="F10">
        <v>0</v>
      </c>
    </row>
    <row r="11">
      <c r="A11" t="s">
        <v>659</v>
      </c>
      <c r="B11" t="s">
        <v>660</v>
      </c>
      <c r="C11" s="219">
        <v>-562.45000000000005</v>
      </c>
      <c r="D11">
        <v>-1.e-02</v>
      </c>
      <c r="E11" s="219">
        <v>-231.96000000000001</v>
      </c>
      <c r="F11">
        <v>-1.e-02</v>
      </c>
    </row>
    <row r="12">
      <c r="A12" t="s">
        <v>661</v>
      </c>
      <c r="B12" t="s">
        <v>662</v>
      </c>
      <c r="C12" s="219">
        <v>3685.4400000000001</v>
      </c>
      <c r="D12">
        <v>5.9999999999999998e-02</v>
      </c>
      <c r="E12" s="219">
        <v>3875.6999999999998</v>
      </c>
      <c r="F12">
        <v>0.13</v>
      </c>
    </row>
    <row r="13">
      <c r="A13" t="s">
        <v>663</v>
      </c>
      <c r="B13" t="s">
        <v>664</v>
      </c>
      <c r="C13" s="219">
        <v>-16764.799999999999</v>
      </c>
      <c r="D13">
        <v>-0.26000000000000001</v>
      </c>
      <c r="E13" s="219">
        <v>0</v>
      </c>
      <c r="F13">
        <v>0</v>
      </c>
    </row>
    <row r="14">
      <c r="A14" t="s">
        <v>665</v>
      </c>
      <c r="B14" t="s">
        <v>666</v>
      </c>
      <c r="C14" s="219">
        <v>35191.599999999999</v>
      </c>
      <c r="D14">
        <v>0.54000000000000004</v>
      </c>
      <c r="E14" s="219">
        <v>35191.599999999999</v>
      </c>
      <c r="F14">
        <v>1.21</v>
      </c>
    </row>
    <row r="15">
      <c r="A15" t="s">
        <v>667</v>
      </c>
      <c r="B15" t="s">
        <v>668</v>
      </c>
      <c r="C15" s="219">
        <v>70500</v>
      </c>
      <c r="D15">
        <v>1.0800000000000001</v>
      </c>
      <c r="E15" s="219">
        <v>70500</v>
      </c>
      <c r="F15">
        <v>2.4199999999999999</v>
      </c>
    </row>
    <row r="16">
      <c r="A16" t="s">
        <v>669</v>
      </c>
      <c r="B16" t="s">
        <v>670</v>
      </c>
      <c r="C16" s="219">
        <v>55500</v>
      </c>
      <c r="D16">
        <v>0.84999999999999998</v>
      </c>
      <c r="E16" s="219">
        <v>55500</v>
      </c>
      <c r="F16">
        <v>1.9099999999999999</v>
      </c>
    </row>
    <row r="17">
      <c r="A17" t="s">
        <v>671</v>
      </c>
      <c r="B17" t="s">
        <v>672</v>
      </c>
      <c r="C17" s="219">
        <v>15000</v>
      </c>
      <c r="D17">
        <v>0.23000000000000001</v>
      </c>
      <c r="E17" s="219">
        <v>15000</v>
      </c>
      <c r="F17">
        <v>0.52000000000000002</v>
      </c>
    </row>
    <row r="18">
      <c r="A18" t="s">
        <v>673</v>
      </c>
      <c r="B18" t="s">
        <v>674</v>
      </c>
      <c r="C18" s="219">
        <v>0</v>
      </c>
      <c r="D18">
        <v>0</v>
      </c>
      <c r="E18" s="219">
        <v>0</v>
      </c>
      <c r="F18">
        <v>0</v>
      </c>
    </row>
    <row r="19">
      <c r="A19" t="s">
        <v>675</v>
      </c>
      <c r="B19" t="s">
        <v>676</v>
      </c>
      <c r="C19" s="219">
        <v>0</v>
      </c>
      <c r="D19">
        <v>0</v>
      </c>
      <c r="E19" s="219">
        <v>0</v>
      </c>
      <c r="F19">
        <v>0</v>
      </c>
    </row>
    <row r="20">
      <c r="A20" t="s">
        <v>677</v>
      </c>
      <c r="B20" t="s">
        <v>678</v>
      </c>
      <c r="C20" s="219">
        <v>0</v>
      </c>
      <c r="D20">
        <v>0</v>
      </c>
      <c r="E20" s="219">
        <v>0</v>
      </c>
      <c r="F20">
        <v>0</v>
      </c>
    </row>
    <row r="21">
      <c r="A21" t="s">
        <v>679</v>
      </c>
      <c r="B21" t="s">
        <v>680</v>
      </c>
      <c r="C21" s="219">
        <v>0</v>
      </c>
      <c r="D21">
        <v>0</v>
      </c>
      <c r="E21" s="219">
        <v>0</v>
      </c>
      <c r="F21">
        <v>0</v>
      </c>
    </row>
    <row r="22">
      <c r="A22" t="s">
        <v>681</v>
      </c>
      <c r="B22" t="s">
        <v>682</v>
      </c>
      <c r="C22" s="219">
        <v>35260.169999999998</v>
      </c>
      <c r="D22">
        <v>0.54000000000000004</v>
      </c>
      <c r="E22" s="219">
        <v>29957.93</v>
      </c>
      <c r="F22">
        <v>1.03</v>
      </c>
    </row>
    <row r="23">
      <c r="A23" t="s">
        <v>683</v>
      </c>
      <c r="B23" t="s">
        <v>684</v>
      </c>
      <c r="C23" s="219">
        <v>35260.169999999998</v>
      </c>
      <c r="D23">
        <v>0.54000000000000004</v>
      </c>
      <c r="E23" s="219">
        <v>29957.93</v>
      </c>
      <c r="F23">
        <v>1.03</v>
      </c>
    </row>
    <row r="24">
      <c r="A24" t="s">
        <v>685</v>
      </c>
      <c r="B24" t="s">
        <v>686</v>
      </c>
      <c r="C24" s="219">
        <v>-23309.040000000001</v>
      </c>
      <c r="D24">
        <v>-0.35999999999999999</v>
      </c>
      <c r="E24" s="219">
        <v>63173.760000000002</v>
      </c>
      <c r="F24">
        <v>2.1699999999999999</v>
      </c>
    </row>
    <row r="25">
      <c r="A25" t="s">
        <v>687</v>
      </c>
      <c r="B25" t="s">
        <v>688</v>
      </c>
      <c r="C25" s="219">
        <v>8000</v>
      </c>
      <c r="D25">
        <v>0.12</v>
      </c>
      <c r="E25" s="219">
        <v>8000</v>
      </c>
      <c r="F25">
        <v>0.27000000000000002</v>
      </c>
    </row>
    <row r="26">
      <c r="A26" t="s">
        <v>689</v>
      </c>
      <c r="B26" t="s">
        <v>690</v>
      </c>
      <c r="C26" s="219">
        <v>7000</v>
      </c>
      <c r="D26">
        <v>0.11</v>
      </c>
      <c r="E26" s="219">
        <v>7000</v>
      </c>
      <c r="F26">
        <v>0.23999999999999999</v>
      </c>
    </row>
    <row r="27">
      <c r="A27" t="s">
        <v>691</v>
      </c>
      <c r="B27" t="s">
        <v>692</v>
      </c>
      <c r="C27" s="219">
        <v>1000</v>
      </c>
      <c r="D27">
        <v>2.e-02</v>
      </c>
      <c r="E27" s="219">
        <v>1000</v>
      </c>
      <c r="F27">
        <v>2.9999999999999999e-02</v>
      </c>
    </row>
    <row r="28">
      <c r="A28" t="s">
        <v>693</v>
      </c>
      <c r="B28" t="s">
        <v>694</v>
      </c>
      <c r="C28" s="219">
        <v>-31309.040000000001</v>
      </c>
      <c r="D28">
        <v>-0.47999999999999998</v>
      </c>
      <c r="E28" s="219">
        <v>55173.760000000002</v>
      </c>
      <c r="F28">
        <v>1.8999999999999999</v>
      </c>
    </row>
    <row r="29">
      <c r="A29" t="s">
        <v>695</v>
      </c>
      <c r="B29" t="s">
        <v>696</v>
      </c>
      <c r="C29" s="219">
        <v>12921.01</v>
      </c>
      <c r="D29">
        <v>0.20000000000000001</v>
      </c>
      <c r="E29" s="219">
        <v>31331.310000000001</v>
      </c>
      <c r="F29">
        <v>1.0800000000000001</v>
      </c>
    </row>
    <row r="30">
      <c r="A30" t="s">
        <v>697</v>
      </c>
      <c r="B30" t="s">
        <v>698</v>
      </c>
      <c r="C30" s="219">
        <v>-43249.949999999997</v>
      </c>
      <c r="D30">
        <v>-0.66000000000000003</v>
      </c>
      <c r="E30" s="219">
        <v>23497.549999999999</v>
      </c>
      <c r="F30">
        <v>0.81000000000000005</v>
      </c>
    </row>
    <row r="31">
      <c r="A31" t="s">
        <v>699</v>
      </c>
      <c r="B31" t="s">
        <v>700</v>
      </c>
      <c r="C31" s="219">
        <v>-0.10000000000000001</v>
      </c>
      <c r="D31">
        <v>0</v>
      </c>
      <c r="E31" s="219">
        <v>-0.10000000000000001</v>
      </c>
      <c r="F31">
        <v>0</v>
      </c>
    </row>
    <row r="32">
      <c r="A32" t="s">
        <v>701</v>
      </c>
      <c r="B32" t="s">
        <v>702</v>
      </c>
      <c r="C32" s="219">
        <v>-980</v>
      </c>
      <c r="D32">
        <v>-1.e-02</v>
      </c>
      <c r="E32" s="219">
        <v>345</v>
      </c>
      <c r="F32">
        <v>1.e-02</v>
      </c>
    </row>
    <row r="33">
      <c r="A33" t="s">
        <v>703</v>
      </c>
      <c r="B33" t="s">
        <v>704</v>
      </c>
      <c r="C33" s="219">
        <v>0</v>
      </c>
      <c r="D33">
        <v>0</v>
      </c>
      <c r="E33" s="219">
        <v>0</v>
      </c>
      <c r="F33">
        <v>0</v>
      </c>
    </row>
    <row r="34">
      <c r="A34" t="s">
        <v>705</v>
      </c>
      <c r="B34" t="s">
        <v>706</v>
      </c>
      <c r="C34" s="219">
        <v>0</v>
      </c>
      <c r="D34">
        <v>0</v>
      </c>
      <c r="E34" s="219">
        <v>0</v>
      </c>
      <c r="F34">
        <v>0</v>
      </c>
    </row>
    <row r="35">
      <c r="A35" s="185"/>
      <c r="C35" s="236">
        <v>697764.19999999995</v>
      </c>
      <c r="D35">
        <v>10.65</v>
      </c>
      <c r="E35" s="236">
        <v>432038.59000000003</v>
      </c>
      <c r="F35">
        <v>14.85</v>
      </c>
    </row>
    <row r="36">
      <c r="A36" s="185" t="s">
        <v>707</v>
      </c>
      <c r="C36" s="219"/>
      <c r="E36" s="219"/>
    </row>
    <row r="37">
      <c r="A37" t="s">
        <v>708</v>
      </c>
      <c r="B37" t="s">
        <v>709</v>
      </c>
      <c r="C37" s="219">
        <v>5856259.6900000004</v>
      </c>
      <c r="D37">
        <v>89.349999999999994</v>
      </c>
      <c r="E37" s="219">
        <v>2477268.1600000001</v>
      </c>
      <c r="F37">
        <v>85.150000000000006</v>
      </c>
    </row>
    <row r="38">
      <c r="A38" t="s">
        <v>710</v>
      </c>
      <c r="B38" t="s">
        <v>711</v>
      </c>
      <c r="C38" s="219">
        <v>5373178.4800000004</v>
      </c>
      <c r="D38">
        <v>81.980000000000004</v>
      </c>
      <c r="E38" s="219">
        <v>3316260.1200000001</v>
      </c>
      <c r="F38">
        <v>113.98999999999999</v>
      </c>
    </row>
    <row r="39">
      <c r="A39" t="s">
        <v>712</v>
      </c>
      <c r="B39" t="s">
        <v>713</v>
      </c>
      <c r="C39" s="219">
        <v>-3050801.3100000001</v>
      </c>
      <c r="D39">
        <v>-46.549999999999997</v>
      </c>
      <c r="E39" s="219">
        <v>-3050801.3100000001</v>
      </c>
      <c r="F39">
        <v>-104.86</v>
      </c>
    </row>
    <row r="40">
      <c r="A40" t="s">
        <v>714</v>
      </c>
      <c r="B40" t="s">
        <v>715</v>
      </c>
      <c r="C40" s="219">
        <v>183630.29000000001</v>
      </c>
      <c r="D40">
        <v>2.7999999999999998</v>
      </c>
      <c r="E40" s="219">
        <v>176737.29000000001</v>
      </c>
      <c r="F40">
        <v>6.0700000000000003</v>
      </c>
    </row>
    <row r="41">
      <c r="A41" t="s">
        <v>716</v>
      </c>
      <c r="B41" t="s">
        <v>717</v>
      </c>
      <c r="C41" s="219">
        <v>-164969.70999999999</v>
      </c>
      <c r="D41">
        <v>-2.52</v>
      </c>
      <c r="E41" s="219">
        <v>-164969.70999999999</v>
      </c>
      <c r="F41">
        <v>-5.6699999999999999</v>
      </c>
    </row>
    <row r="42">
      <c r="A42" t="s">
        <v>718</v>
      </c>
      <c r="B42" t="s">
        <v>719</v>
      </c>
      <c r="C42" s="219">
        <v>703112.58999999997</v>
      </c>
      <c r="D42">
        <v>10.73</v>
      </c>
      <c r="E42" s="219">
        <v>645309.58999999997</v>
      </c>
      <c r="F42">
        <v>22.18</v>
      </c>
    </row>
    <row r="43">
      <c r="A43" t="s">
        <v>720</v>
      </c>
      <c r="B43" t="s">
        <v>721</v>
      </c>
      <c r="C43" s="219">
        <v>-541077.29000000004</v>
      </c>
      <c r="D43">
        <v>-8.2599999999999998</v>
      </c>
      <c r="E43" s="219">
        <v>-541077.29000000004</v>
      </c>
      <c r="F43">
        <v>-18.600000000000001</v>
      </c>
    </row>
    <row r="44">
      <c r="A44" t="s">
        <v>722</v>
      </c>
      <c r="B44" t="s">
        <v>723</v>
      </c>
      <c r="C44" s="219">
        <v>249610.69</v>
      </c>
      <c r="D44">
        <v>3.8100000000000001</v>
      </c>
      <c r="E44" s="219">
        <v>249610.69</v>
      </c>
      <c r="F44">
        <v>8.5800000000000001</v>
      </c>
    </row>
    <row r="45">
      <c r="A45" t="s">
        <v>724</v>
      </c>
      <c r="B45" t="s">
        <v>725</v>
      </c>
      <c r="C45" s="219">
        <v>-249610.69</v>
      </c>
      <c r="D45">
        <v>-3.8100000000000001</v>
      </c>
      <c r="E45" s="219">
        <v>-249610.69</v>
      </c>
      <c r="F45">
        <v>-8.5800000000000001</v>
      </c>
    </row>
    <row r="46">
      <c r="A46" t="s">
        <v>726</v>
      </c>
      <c r="B46" t="s">
        <v>727</v>
      </c>
      <c r="C46" s="219">
        <v>5304779.0599999996</v>
      </c>
      <c r="D46">
        <v>80.939999999999998</v>
      </c>
      <c r="E46" s="219">
        <v>5238533.29</v>
      </c>
      <c r="F46">
        <v>180.06</v>
      </c>
    </row>
    <row r="47">
      <c r="A47" t="s">
        <v>728</v>
      </c>
      <c r="B47" t="s">
        <v>729</v>
      </c>
      <c r="C47" s="219">
        <v>-4539446.1299999999</v>
      </c>
      <c r="D47">
        <v>-69.260000000000005</v>
      </c>
      <c r="E47" s="219">
        <v>-4539446.1299999999</v>
      </c>
      <c r="F47">
        <v>-156.03</v>
      </c>
    </row>
    <row r="48">
      <c r="A48" t="s">
        <v>730</v>
      </c>
      <c r="B48" t="s">
        <v>731</v>
      </c>
      <c r="C48" s="219">
        <v>8554276.1099999994</v>
      </c>
      <c r="D48">
        <v>130.52000000000001</v>
      </c>
      <c r="E48" s="219">
        <v>7363905.21</v>
      </c>
      <c r="F48">
        <v>253.12</v>
      </c>
    </row>
    <row r="49">
      <c r="A49" t="s">
        <v>732</v>
      </c>
      <c r="B49" t="s">
        <v>733</v>
      </c>
      <c r="C49" s="219">
        <v>-5967182.9000000004</v>
      </c>
      <c r="D49">
        <v>-91.049999999999997</v>
      </c>
      <c r="E49" s="219">
        <v>-5967182.9000000004</v>
      </c>
      <c r="F49">
        <v>-205.11000000000001</v>
      </c>
    </row>
    <row r="50">
      <c r="A50" t="s">
        <v>734</v>
      </c>
      <c r="B50" t="s">
        <v>735</v>
      </c>
      <c r="C50" s="219">
        <v>225959.94</v>
      </c>
      <c r="D50">
        <v>3.4500000000000002</v>
      </c>
      <c r="E50" s="219">
        <v>225199.44</v>
      </c>
      <c r="F50">
        <v>7.7400000000000002</v>
      </c>
    </row>
    <row r="51">
      <c r="A51" t="s">
        <v>736</v>
      </c>
      <c r="B51" t="s">
        <v>737</v>
      </c>
      <c r="C51" s="219">
        <v>-225199.44</v>
      </c>
      <c r="D51">
        <v>-3.4399999999999999</v>
      </c>
      <c r="E51" s="219">
        <v>-225199.44</v>
      </c>
      <c r="F51">
        <v>-7.7400000000000002</v>
      </c>
    </row>
    <row r="52">
      <c r="A52" s="185"/>
      <c r="C52" s="236">
        <v>5856259.6900000004</v>
      </c>
      <c r="D52">
        <v>89.349999999999994</v>
      </c>
      <c r="E52" s="236">
        <v>2477268.1600000001</v>
      </c>
      <c r="F52">
        <v>85.150000000000006</v>
      </c>
    </row>
    <row r="53">
      <c r="A53" s="185" t="s">
        <v>738</v>
      </c>
      <c r="C53" s="219"/>
      <c r="E53" s="219"/>
    </row>
    <row r="54">
      <c r="A54" t="s">
        <v>739</v>
      </c>
      <c r="B54" t="s">
        <v>740</v>
      </c>
      <c r="C54" s="219">
        <v>0</v>
      </c>
      <c r="D54">
        <v>0</v>
      </c>
      <c r="E54" s="219">
        <v>0</v>
      </c>
      <c r="F54">
        <v>0</v>
      </c>
    </row>
    <row r="55">
      <c r="A55" s="185"/>
      <c r="C55" s="236">
        <v>0</v>
      </c>
      <c r="D55">
        <v>0</v>
      </c>
      <c r="E55" s="236">
        <v>0</v>
      </c>
      <c r="F55">
        <v>0</v>
      </c>
    </row>
    <row r="56">
      <c r="A56" s="185" t="s">
        <v>741</v>
      </c>
      <c r="C56" s="236">
        <v>6554023.8899999997</v>
      </c>
      <c r="D56">
        <v>100</v>
      </c>
      <c r="E56" s="236">
        <v>2909306.75</v>
      </c>
      <c r="F56">
        <v>100</v>
      </c>
    </row>
    <row r="57">
      <c r="A57" s="185" t="s">
        <v>742</v>
      </c>
      <c r="C57" s="219"/>
      <c r="E57" s="219"/>
    </row>
    <row r="58">
      <c r="A58" s="185" t="s">
        <v>743</v>
      </c>
      <c r="C58" s="219"/>
      <c r="E58" s="219"/>
    </row>
    <row r="59">
      <c r="A59" t="s">
        <v>744</v>
      </c>
      <c r="B59" t="s">
        <v>745</v>
      </c>
      <c r="C59" s="219">
        <v>161386.04999999999</v>
      </c>
      <c r="D59">
        <v>2.46</v>
      </c>
      <c r="E59" s="219">
        <v>333369.59000000003</v>
      </c>
      <c r="F59">
        <v>11.460000000000001</v>
      </c>
    </row>
    <row r="60">
      <c r="A60" t="s">
        <v>746</v>
      </c>
      <c r="B60" t="s">
        <v>747</v>
      </c>
      <c r="C60" s="219">
        <v>1005.6</v>
      </c>
      <c r="D60">
        <v>2.e-02</v>
      </c>
      <c r="E60" s="219">
        <v>1025.5999999999999</v>
      </c>
      <c r="F60">
        <v>4.0000000000000001e-02</v>
      </c>
    </row>
    <row r="61">
      <c r="A61" t="s">
        <v>748</v>
      </c>
      <c r="B61" t="s">
        <v>749</v>
      </c>
      <c r="C61" s="219">
        <v>6650</v>
      </c>
      <c r="D61">
        <v>0.10000000000000001</v>
      </c>
      <c r="E61" s="219">
        <v>6670</v>
      </c>
      <c r="F61">
        <v>0.23000000000000001</v>
      </c>
    </row>
    <row r="62">
      <c r="A62" t="s">
        <v>750</v>
      </c>
      <c r="B62" t="s">
        <v>751</v>
      </c>
      <c r="C62" s="219">
        <v>4530</v>
      </c>
      <c r="D62">
        <v>7.0000000000000007e-02</v>
      </c>
      <c r="E62" s="219">
        <v>4430</v>
      </c>
      <c r="F62">
        <v>0.14999999999999999</v>
      </c>
    </row>
    <row r="63">
      <c r="A63" t="s">
        <v>752</v>
      </c>
      <c r="B63" t="s">
        <v>753</v>
      </c>
      <c r="C63" s="219">
        <v>1040</v>
      </c>
      <c r="D63">
        <v>2.e-02</v>
      </c>
      <c r="E63" s="219">
        <v>1160</v>
      </c>
      <c r="F63">
        <v>4.0000000000000001e-02</v>
      </c>
    </row>
    <row r="64">
      <c r="A64" t="s">
        <v>754</v>
      </c>
      <c r="B64" t="s">
        <v>755</v>
      </c>
      <c r="C64" s="219">
        <v>1080</v>
      </c>
      <c r="D64">
        <v>2.e-02</v>
      </c>
      <c r="E64" s="219">
        <v>1080</v>
      </c>
      <c r="F64">
        <v>4.0000000000000001e-02</v>
      </c>
    </row>
    <row r="65">
      <c r="A65" t="s">
        <v>756</v>
      </c>
      <c r="B65" t="s">
        <v>757</v>
      </c>
      <c r="C65" s="219">
        <v>0</v>
      </c>
      <c r="D65">
        <v>0</v>
      </c>
      <c r="E65" s="219">
        <v>0</v>
      </c>
      <c r="F65">
        <v>0</v>
      </c>
    </row>
    <row r="66">
      <c r="A66" t="s">
        <v>758</v>
      </c>
      <c r="B66" t="s">
        <v>759</v>
      </c>
      <c r="C66" s="219">
        <v>-17490</v>
      </c>
      <c r="D66">
        <v>-0.27000000000000002</v>
      </c>
      <c r="E66" s="219">
        <v>-17490</v>
      </c>
      <c r="F66">
        <v>-0.59999999999999998</v>
      </c>
    </row>
    <row r="67">
      <c r="A67" t="s">
        <v>760</v>
      </c>
      <c r="B67" t="s">
        <v>761</v>
      </c>
      <c r="C67" s="219">
        <v>11845.6</v>
      </c>
      <c r="D67">
        <v>0.17999999999999999</v>
      </c>
      <c r="E67" s="219">
        <v>11845.6</v>
      </c>
      <c r="F67">
        <v>0.40999999999999998</v>
      </c>
    </row>
    <row r="68">
      <c r="A68" t="s">
        <v>762</v>
      </c>
      <c r="B68" t="s">
        <v>763</v>
      </c>
      <c r="C68" s="219">
        <v>35728017.899999999</v>
      </c>
      <c r="D68">
        <v>545.13</v>
      </c>
      <c r="E68" s="219">
        <v>31193245.75</v>
      </c>
      <c r="F68">
        <v>1072.1900000000001</v>
      </c>
    </row>
    <row r="69">
      <c r="A69" t="s">
        <v>764</v>
      </c>
      <c r="B69" t="s">
        <v>765</v>
      </c>
      <c r="C69" s="219">
        <v>-2854727.8799999999</v>
      </c>
      <c r="D69">
        <v>-43.560000000000002</v>
      </c>
      <c r="E69" s="219">
        <v>-6677415.9800000004</v>
      </c>
      <c r="F69">
        <v>-229.52000000000001</v>
      </c>
    </row>
    <row r="70">
      <c r="A70" t="s">
        <v>766</v>
      </c>
      <c r="B70" t="s">
        <v>767</v>
      </c>
      <c r="C70" s="219">
        <v>38582745.780000001</v>
      </c>
      <c r="D70">
        <v>588.69000000000005</v>
      </c>
      <c r="E70" s="219">
        <v>37870661.729999997</v>
      </c>
      <c r="F70">
        <v>1301.71</v>
      </c>
    </row>
    <row r="71">
      <c r="A71" t="s">
        <v>768</v>
      </c>
      <c r="B71" t="s">
        <v>769</v>
      </c>
      <c r="C71" s="219">
        <v>2255514.46</v>
      </c>
      <c r="D71">
        <v>34.409999999999997</v>
      </c>
      <c r="E71" s="219">
        <v>2255514.46</v>
      </c>
      <c r="F71">
        <v>77.530000000000001</v>
      </c>
    </row>
    <row r="72">
      <c r="A72" t="s">
        <v>770</v>
      </c>
      <c r="B72" t="s">
        <v>771</v>
      </c>
      <c r="C72" s="219">
        <v>1729343</v>
      </c>
      <c r="D72">
        <v>26.390000000000001</v>
      </c>
      <c r="E72" s="219">
        <v>1729343</v>
      </c>
      <c r="F72">
        <v>59.439999999999998</v>
      </c>
    </row>
    <row r="73">
      <c r="A73" t="s">
        <v>772</v>
      </c>
      <c r="B73" t="s">
        <v>773</v>
      </c>
      <c r="C73" s="219">
        <v>507343</v>
      </c>
      <c r="D73">
        <v>7.7400000000000002</v>
      </c>
      <c r="E73" s="219">
        <v>507343</v>
      </c>
      <c r="F73">
        <v>17.440000000000001</v>
      </c>
    </row>
    <row r="74">
      <c r="A74" t="s">
        <v>774</v>
      </c>
      <c r="B74" t="s">
        <v>775</v>
      </c>
      <c r="C74" s="219">
        <v>1222000</v>
      </c>
      <c r="D74">
        <v>18.649999999999999</v>
      </c>
      <c r="E74" s="219">
        <v>1222000</v>
      </c>
      <c r="F74">
        <v>42</v>
      </c>
    </row>
    <row r="75" s="223" customFormat="1">
      <c r="A75" s="223" t="s">
        <v>776</v>
      </c>
      <c r="B75" s="223" t="s">
        <v>777</v>
      </c>
      <c r="C75" s="237">
        <v>576</v>
      </c>
      <c r="D75" s="223">
        <v>1.e-02</v>
      </c>
      <c r="E75" s="237">
        <v>0</v>
      </c>
      <c r="F75" s="223">
        <v>0</v>
      </c>
    </row>
    <row r="76" s="223" customFormat="1">
      <c r="A76" s="223" t="s">
        <v>778</v>
      </c>
      <c r="B76" s="223" t="s">
        <v>779</v>
      </c>
      <c r="C76" s="237">
        <v>74299.899999999994</v>
      </c>
      <c r="D76" s="223">
        <v>1.1299999999999999</v>
      </c>
      <c r="E76" s="237">
        <v>70030.539999999994</v>
      </c>
      <c r="F76" s="223">
        <v>2.4100000000000001</v>
      </c>
    </row>
    <row r="77">
      <c r="A77" t="s">
        <v>780</v>
      </c>
      <c r="B77" t="s">
        <v>781</v>
      </c>
      <c r="C77" s="219">
        <v>3319.9400000000001</v>
      </c>
      <c r="D77">
        <v>5.0000000000000003e-02</v>
      </c>
      <c r="E77" s="219">
        <v>2064.96</v>
      </c>
      <c r="F77">
        <v>7.0000000000000007e-02</v>
      </c>
    </row>
    <row r="78">
      <c r="A78" t="s">
        <v>782</v>
      </c>
      <c r="B78" t="s">
        <v>783</v>
      </c>
      <c r="C78" s="219">
        <v>0</v>
      </c>
      <c r="D78">
        <v>0</v>
      </c>
      <c r="E78" s="219">
        <v>0</v>
      </c>
      <c r="F78">
        <v>0</v>
      </c>
    </row>
    <row r="79">
      <c r="A79" s="185"/>
      <c r="C79" s="236">
        <v>39953462.850000001</v>
      </c>
      <c r="D79">
        <v>609.60000000000002</v>
      </c>
      <c r="E79" s="236">
        <v>35584593.899999999</v>
      </c>
      <c r="F79">
        <v>1223.1300000000001</v>
      </c>
    </row>
    <row r="80">
      <c r="A80" s="185" t="s">
        <v>784</v>
      </c>
      <c r="C80" s="219"/>
      <c r="E80" s="219"/>
    </row>
    <row r="81">
      <c r="A81" s="185"/>
      <c r="C81" s="236">
        <v>0</v>
      </c>
      <c r="D81">
        <v>0</v>
      </c>
      <c r="E81" s="236">
        <v>0</v>
      </c>
      <c r="F81">
        <v>0</v>
      </c>
    </row>
    <row r="82">
      <c r="A82" s="185" t="s">
        <v>785</v>
      </c>
      <c r="C82" s="219"/>
      <c r="E82" s="219"/>
    </row>
    <row r="83">
      <c r="A83" s="185"/>
      <c r="C83" s="236">
        <v>0</v>
      </c>
      <c r="D83">
        <v>0</v>
      </c>
      <c r="E83" s="236">
        <v>0</v>
      </c>
      <c r="F83">
        <v>0</v>
      </c>
    </row>
    <row r="84">
      <c r="A84" s="185" t="s">
        <v>786</v>
      </c>
      <c r="C84" s="219"/>
      <c r="E84" s="219"/>
    </row>
    <row r="85">
      <c r="A85" t="s">
        <v>787</v>
      </c>
      <c r="B85" t="s">
        <v>788</v>
      </c>
      <c r="C85" s="219">
        <v>0</v>
      </c>
      <c r="D85">
        <v>0</v>
      </c>
      <c r="E85" s="219">
        <v>0</v>
      </c>
      <c r="F85">
        <v>0</v>
      </c>
    </row>
    <row r="86">
      <c r="A86" s="185"/>
      <c r="C86" s="236">
        <v>0</v>
      </c>
      <c r="D86">
        <v>0</v>
      </c>
      <c r="E86" s="236">
        <v>0</v>
      </c>
      <c r="F86">
        <v>0</v>
      </c>
    </row>
    <row r="87">
      <c r="A87" s="185" t="s">
        <v>789</v>
      </c>
      <c r="C87" s="219"/>
      <c r="E87" s="219"/>
    </row>
    <row r="88">
      <c r="A88" t="s">
        <v>790</v>
      </c>
      <c r="B88" t="s">
        <v>791</v>
      </c>
      <c r="C88" s="219">
        <v>-33327919.940000001</v>
      </c>
      <c r="D88">
        <v>-508.50999999999999</v>
      </c>
      <c r="E88" s="219">
        <v>-32386794.25</v>
      </c>
      <c r="F88">
        <v>-1113.21</v>
      </c>
    </row>
    <row r="89">
      <c r="A89" t="s">
        <v>792</v>
      </c>
      <c r="B89" t="s">
        <v>793</v>
      </c>
      <c r="C89" s="219">
        <v>0</v>
      </c>
      <c r="D89">
        <v>0</v>
      </c>
      <c r="E89" s="219">
        <v>0</v>
      </c>
      <c r="F89">
        <v>0</v>
      </c>
    </row>
    <row r="90">
      <c r="A90" t="s">
        <v>794</v>
      </c>
      <c r="C90" s="219">
        <v>-71519.020000000004</v>
      </c>
      <c r="D90">
        <v>-1.0900000000000001</v>
      </c>
      <c r="E90" s="219">
        <v>-288492.90000000002</v>
      </c>
      <c r="F90">
        <v>-9.9199999999999999</v>
      </c>
    </row>
    <row r="91">
      <c r="A91" s="185"/>
      <c r="C91" s="236">
        <v>-33399438.960000001</v>
      </c>
      <c r="D91">
        <v>-509.60000000000002</v>
      </c>
      <c r="E91" s="236">
        <v>-32675287.149999999</v>
      </c>
      <c r="F91">
        <v>-1123.1300000000001</v>
      </c>
    </row>
    <row r="92">
      <c r="A92" s="185" t="s">
        <v>795</v>
      </c>
      <c r="C92" s="236">
        <v>6554023.8899999997</v>
      </c>
      <c r="D92">
        <v>100</v>
      </c>
      <c r="E92" s="236">
        <v>2909306.75</v>
      </c>
      <c r="F92">
        <v>100</v>
      </c>
    </row>
  </sheetData>
  <mergeCells count="4">
    <mergeCell ref="C2:D2"/>
    <mergeCell ref="E2:F2"/>
    <mergeCell ref="A2:A3"/>
    <mergeCell ref="B2:B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topLeftCell="A20" zoomScale="70" workbookViewId="0">
      <selection activeCell="E48" activeCellId="0" sqref="E48"/>
    </sheetView>
  </sheetViews>
  <sheetFormatPr defaultRowHeight="14.25"/>
  <cols>
    <col customWidth="1" min="1" max="1" width="10.7265625"/>
    <col bestFit="1" customWidth="1" min="2" max="2" width="104.57421875"/>
    <col customWidth="1" min="3" max="15" width="11.453125"/>
  </cols>
  <sheetData>
    <row r="2">
      <c r="A2" s="164" t="s">
        <v>796</v>
      </c>
    </row>
    <row r="3">
      <c r="A3" s="164"/>
    </row>
    <row r="4">
      <c r="A4" s="238"/>
      <c r="B4" s="238"/>
      <c r="C4" s="239">
        <v>2026</v>
      </c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</row>
    <row r="5">
      <c r="A5" s="238" t="s">
        <v>797</v>
      </c>
      <c r="B5" s="238" t="s">
        <v>798</v>
      </c>
      <c r="C5" s="239" t="s">
        <v>616</v>
      </c>
      <c r="D5" s="239" t="s">
        <v>617</v>
      </c>
      <c r="E5" s="239" t="s">
        <v>618</v>
      </c>
      <c r="F5" s="239" t="s">
        <v>619</v>
      </c>
      <c r="G5" s="239" t="s">
        <v>620</v>
      </c>
      <c r="H5" s="239" t="s">
        <v>621</v>
      </c>
      <c r="I5" s="239" t="s">
        <v>622</v>
      </c>
      <c r="J5" s="239" t="s">
        <v>623</v>
      </c>
      <c r="K5" s="239" t="s">
        <v>624</v>
      </c>
      <c r="L5" s="239" t="s">
        <v>625</v>
      </c>
      <c r="M5" s="239" t="s">
        <v>626</v>
      </c>
      <c r="N5" s="239" t="s">
        <v>627</v>
      </c>
      <c r="O5" s="239" t="s">
        <v>12</v>
      </c>
    </row>
    <row r="6">
      <c r="A6" s="224"/>
      <c r="B6" s="224"/>
      <c r="C6" s="229" t="s">
        <v>799</v>
      </c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</row>
    <row r="7">
      <c r="A7" s="240" t="s">
        <v>200</v>
      </c>
      <c r="B7" s="240"/>
      <c r="O7" s="241"/>
    </row>
    <row r="8">
      <c r="B8" s="224" t="s">
        <v>800</v>
      </c>
      <c r="C8" s="242">
        <v>-1940</v>
      </c>
      <c r="D8" s="242">
        <v>-1940</v>
      </c>
      <c r="E8" s="242">
        <v>-1940</v>
      </c>
      <c r="F8" s="242">
        <v>-1940</v>
      </c>
      <c r="G8" s="242">
        <v>-1940</v>
      </c>
      <c r="H8" s="242">
        <v>-1940</v>
      </c>
      <c r="I8" s="242"/>
      <c r="J8" s="242"/>
      <c r="K8" s="242"/>
      <c r="L8" s="242"/>
      <c r="M8" s="242"/>
      <c r="N8" s="242"/>
      <c r="O8" s="241">
        <f>SUM(C8:N8)</f>
        <v>-11640</v>
      </c>
    </row>
    <row r="9">
      <c r="A9" s="243">
        <v>46083</v>
      </c>
      <c r="B9" s="224" t="s">
        <v>801</v>
      </c>
      <c r="C9" s="242"/>
      <c r="D9" s="242"/>
      <c r="E9" s="242">
        <v>1940</v>
      </c>
      <c r="F9" s="242"/>
      <c r="G9" s="242"/>
      <c r="H9" s="242"/>
      <c r="I9" s="242"/>
      <c r="J9" s="242"/>
      <c r="K9" s="242"/>
      <c r="L9" s="242"/>
      <c r="M9" s="242"/>
      <c r="N9" s="242"/>
      <c r="O9" s="241">
        <f>SUM(C9:N9)</f>
        <v>1940</v>
      </c>
    </row>
    <row r="10">
      <c r="A10" s="243">
        <v>46083</v>
      </c>
      <c r="B10" s="224" t="s">
        <v>802</v>
      </c>
      <c r="C10" s="242"/>
      <c r="D10" s="242"/>
      <c r="E10" s="242">
        <v>1940</v>
      </c>
      <c r="F10" s="242"/>
      <c r="G10" s="242"/>
      <c r="H10" s="242"/>
      <c r="I10" s="242"/>
      <c r="J10" s="242"/>
      <c r="K10" s="242"/>
      <c r="L10" s="242"/>
      <c r="M10" s="242"/>
      <c r="N10" s="242"/>
      <c r="O10" s="241">
        <f t="shared" ref="O10:O23" si="388">SUM(C10:N10)</f>
        <v>1940</v>
      </c>
    </row>
    <row r="11">
      <c r="A11" s="243">
        <v>46146</v>
      </c>
      <c r="B11" s="224" t="s">
        <v>803</v>
      </c>
      <c r="C11" s="242"/>
      <c r="D11" s="242"/>
      <c r="E11" s="242"/>
      <c r="F11" s="242"/>
      <c r="G11" s="242">
        <v>1940</v>
      </c>
      <c r="H11" s="242"/>
      <c r="I11" s="242"/>
      <c r="J11" s="242"/>
      <c r="K11" s="242"/>
      <c r="L11" s="242"/>
      <c r="M11" s="242"/>
      <c r="N11" s="242"/>
      <c r="O11" s="241">
        <f t="shared" si="388"/>
        <v>1940</v>
      </c>
    </row>
    <row r="12">
      <c r="A12" s="243">
        <v>46146</v>
      </c>
      <c r="B12" s="224" t="s">
        <v>804</v>
      </c>
      <c r="C12" s="242"/>
      <c r="D12" s="242"/>
      <c r="E12" s="242"/>
      <c r="F12" s="242"/>
      <c r="G12" s="242">
        <v>1940</v>
      </c>
      <c r="H12" s="242"/>
      <c r="I12" s="242"/>
      <c r="J12" s="242"/>
      <c r="K12" s="242"/>
      <c r="L12" s="242"/>
      <c r="M12" s="242"/>
      <c r="N12" s="242"/>
      <c r="O12" s="241">
        <f t="shared" si="388"/>
        <v>1940</v>
      </c>
    </row>
    <row r="13">
      <c r="A13" s="243"/>
      <c r="B13" s="224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1"/>
    </row>
    <row r="14"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1"/>
    </row>
    <row r="15"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1"/>
    </row>
    <row r="16">
      <c r="A16" s="240" t="s">
        <v>805</v>
      </c>
      <c r="B16" s="240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</row>
    <row r="17">
      <c r="B17" s="224" t="s">
        <v>800</v>
      </c>
      <c r="C17" s="242">
        <v>-19537.59</v>
      </c>
      <c r="D17" s="242">
        <v>-11241.18</v>
      </c>
      <c r="E17" s="242">
        <v>-8667.7099999999991</v>
      </c>
      <c r="F17" s="242">
        <v>-9638.3500000000004</v>
      </c>
      <c r="G17" s="242">
        <v>-16125.719999999999</v>
      </c>
      <c r="H17" s="242">
        <v>-11908.780000000001</v>
      </c>
      <c r="I17" s="242"/>
      <c r="J17" s="242"/>
      <c r="K17" s="242"/>
      <c r="L17" s="242"/>
      <c r="M17" s="242"/>
      <c r="N17" s="242"/>
      <c r="O17" s="241">
        <f t="shared" ref="O17:O22" si="389">SUM(C17:N17)</f>
        <v>-77119.330000000002</v>
      </c>
    </row>
    <row r="18">
      <c r="A18" s="243">
        <v>46056</v>
      </c>
      <c r="B18" s="224" t="s">
        <v>806</v>
      </c>
      <c r="C18" s="242"/>
      <c r="D18" s="242">
        <v>19537.59</v>
      </c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1">
        <f t="shared" si="389"/>
        <v>19537.59</v>
      </c>
    </row>
    <row r="19">
      <c r="A19" s="243">
        <v>46084</v>
      </c>
      <c r="B19" s="224" t="s">
        <v>807</v>
      </c>
      <c r="C19" s="242"/>
      <c r="D19" s="242"/>
      <c r="E19" s="242">
        <v>11241.18</v>
      </c>
      <c r="F19" s="242"/>
      <c r="G19" s="242"/>
      <c r="H19" s="242"/>
      <c r="I19" s="242"/>
      <c r="J19" s="242"/>
      <c r="K19" s="242"/>
      <c r="L19" s="242"/>
      <c r="M19" s="242"/>
      <c r="N19" s="242"/>
      <c r="O19" s="241">
        <f t="shared" si="389"/>
        <v>11241.18</v>
      </c>
    </row>
    <row r="20">
      <c r="A20" s="243">
        <v>46115</v>
      </c>
      <c r="B20" s="224" t="s">
        <v>808</v>
      </c>
      <c r="C20" s="242"/>
      <c r="D20" s="242"/>
      <c r="E20" s="242"/>
      <c r="F20" s="242">
        <v>8667.7099999999991</v>
      </c>
      <c r="G20" s="242"/>
      <c r="H20" s="242"/>
      <c r="I20" s="242"/>
      <c r="J20" s="242"/>
      <c r="K20" s="242"/>
      <c r="L20" s="242"/>
      <c r="M20" s="242"/>
      <c r="N20" s="242"/>
      <c r="O20" s="241">
        <f t="shared" si="389"/>
        <v>8667.7099999999991</v>
      </c>
    </row>
    <row r="21">
      <c r="A21" s="243">
        <v>46145</v>
      </c>
      <c r="B21" s="224" t="s">
        <v>809</v>
      </c>
      <c r="C21" s="242"/>
      <c r="D21" s="242"/>
      <c r="E21" s="242"/>
      <c r="F21" s="242"/>
      <c r="G21" s="242">
        <v>9638.3500000000004</v>
      </c>
      <c r="H21" s="242"/>
      <c r="I21" s="242"/>
      <c r="J21" s="242"/>
      <c r="K21" s="242"/>
      <c r="L21" s="242"/>
      <c r="M21" s="242"/>
      <c r="N21" s="242"/>
      <c r="O21" s="241">
        <f t="shared" si="389"/>
        <v>9638.3500000000004</v>
      </c>
    </row>
    <row r="22">
      <c r="A22" s="243">
        <v>46176</v>
      </c>
      <c r="B22" s="224" t="s">
        <v>810</v>
      </c>
      <c r="C22" s="241"/>
      <c r="D22" s="241"/>
      <c r="E22" s="241"/>
      <c r="F22" s="241"/>
      <c r="G22" s="241"/>
      <c r="H22" s="241">
        <v>16125.719999999999</v>
      </c>
      <c r="I22" s="241"/>
      <c r="J22" s="241"/>
      <c r="K22" s="241"/>
      <c r="L22" s="241"/>
      <c r="M22" s="241"/>
      <c r="N22" s="241"/>
      <c r="O22" s="241">
        <f t="shared" si="389"/>
        <v>16125.719999999999</v>
      </c>
    </row>
    <row r="23">
      <c r="A23" s="243">
        <v>46206</v>
      </c>
      <c r="B23" s="224" t="s">
        <v>811</v>
      </c>
      <c r="C23" s="241"/>
      <c r="D23" s="241"/>
      <c r="E23" s="241"/>
      <c r="F23" s="241"/>
      <c r="G23" s="241"/>
      <c r="H23" s="241"/>
      <c r="I23" s="241">
        <v>11908.780000000001</v>
      </c>
      <c r="J23" s="241"/>
      <c r="K23" s="241"/>
      <c r="L23" s="241"/>
      <c r="M23" s="241"/>
      <c r="N23" s="241"/>
      <c r="O23" s="241">
        <f t="shared" si="388"/>
        <v>11908.780000000001</v>
      </c>
    </row>
    <row r="24"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</row>
    <row r="25">
      <c r="A25" s="240" t="s">
        <v>406</v>
      </c>
      <c r="B25" s="240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</row>
    <row r="26">
      <c r="B26" s="224" t="s">
        <v>800</v>
      </c>
      <c r="C26" s="242">
        <v>-4870.6099999999997</v>
      </c>
      <c r="D26" s="242">
        <v>-4870.6099999999997</v>
      </c>
      <c r="E26" s="242">
        <v>-4870.6099999999997</v>
      </c>
      <c r="F26" s="242">
        <v>-4870.6099999999997</v>
      </c>
      <c r="G26" s="242">
        <v>-4870.6099999999997</v>
      </c>
      <c r="H26" s="242">
        <v>-4870.6099999999997</v>
      </c>
      <c r="I26" s="242">
        <v>-4870.6099999999997</v>
      </c>
      <c r="J26" s="242">
        <v>-4870.6099999999997</v>
      </c>
      <c r="K26" s="242">
        <v>-4870.6099999999997</v>
      </c>
      <c r="L26" s="242">
        <v>-4870.6099999999997</v>
      </c>
      <c r="M26" s="242">
        <v>-4870.6099999999997</v>
      </c>
      <c r="N26" s="242">
        <v>-4870.5600000000004</v>
      </c>
      <c r="O26" s="241">
        <f t="shared" ref="O26:O53" si="390">SUM(C26:N26)</f>
        <v>-58447.269999999997</v>
      </c>
    </row>
    <row r="27">
      <c r="A27" s="243">
        <v>46024</v>
      </c>
      <c r="B27" s="224" t="s">
        <v>812</v>
      </c>
      <c r="C27" s="242">
        <v>58447.269999999997</v>
      </c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1">
        <f>SUM(C27:N27)</f>
        <v>58447.269999999997</v>
      </c>
    </row>
    <row r="28"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</row>
    <row r="29"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</row>
    <row r="30">
      <c r="A30" s="240" t="s">
        <v>813</v>
      </c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</row>
    <row r="31">
      <c r="B31" s="224" t="s">
        <v>800</v>
      </c>
      <c r="C31" s="242">
        <v>-5400</v>
      </c>
      <c r="D31" s="242">
        <v>-5400</v>
      </c>
      <c r="E31" s="242">
        <v>-5400</v>
      </c>
      <c r="F31" s="242">
        <v>-5400</v>
      </c>
      <c r="G31" s="242">
        <v>-5400</v>
      </c>
      <c r="H31" s="242">
        <v>-5400</v>
      </c>
      <c r="I31" s="242"/>
      <c r="J31" s="242"/>
      <c r="K31" s="242"/>
      <c r="L31" s="242"/>
      <c r="M31" s="242"/>
      <c r="N31" s="242"/>
      <c r="O31" s="241">
        <f t="shared" si="390"/>
        <v>-32400</v>
      </c>
    </row>
    <row r="32">
      <c r="A32" s="243">
        <v>46059</v>
      </c>
      <c r="B32" s="224" t="s">
        <v>814</v>
      </c>
      <c r="C32" s="242"/>
      <c r="D32" s="242">
        <v>5400</v>
      </c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1">
        <f t="shared" si="390"/>
        <v>5400</v>
      </c>
    </row>
    <row r="33">
      <c r="A33" s="243">
        <v>46085</v>
      </c>
      <c r="B33" s="224" t="s">
        <v>815</v>
      </c>
      <c r="C33" s="242"/>
      <c r="D33" s="242"/>
      <c r="E33" s="242">
        <v>5400</v>
      </c>
      <c r="F33" s="242"/>
      <c r="G33" s="242"/>
      <c r="H33" s="242"/>
      <c r="I33" s="242"/>
      <c r="J33" s="242"/>
      <c r="K33" s="242"/>
      <c r="L33" s="242"/>
      <c r="M33" s="242"/>
      <c r="N33" s="242"/>
      <c r="O33" s="241">
        <f t="shared" si="390"/>
        <v>5400</v>
      </c>
    </row>
    <row r="34">
      <c r="A34" s="243">
        <v>46118</v>
      </c>
      <c r="B34" s="224" t="s">
        <v>816</v>
      </c>
      <c r="C34" s="242"/>
      <c r="D34" s="242"/>
      <c r="E34" s="242"/>
      <c r="F34" s="242">
        <v>5400</v>
      </c>
      <c r="G34" s="242"/>
      <c r="H34" s="242"/>
      <c r="I34" s="242"/>
      <c r="J34" s="242"/>
      <c r="K34" s="242"/>
      <c r="L34" s="242"/>
      <c r="M34" s="242"/>
      <c r="N34" s="242"/>
      <c r="O34" s="241">
        <f t="shared" si="390"/>
        <v>5400</v>
      </c>
    </row>
    <row r="35">
      <c r="A35" s="243">
        <v>46146</v>
      </c>
      <c r="B35" s="224" t="s">
        <v>817</v>
      </c>
      <c r="C35" s="242"/>
      <c r="D35" s="242"/>
      <c r="E35" s="242"/>
      <c r="F35" s="242"/>
      <c r="G35" s="242">
        <v>5400</v>
      </c>
      <c r="H35" s="242"/>
      <c r="I35" s="242"/>
      <c r="J35" s="242"/>
      <c r="K35" s="242"/>
      <c r="L35" s="242"/>
      <c r="M35" s="242"/>
      <c r="N35" s="242"/>
      <c r="O35" s="241">
        <f t="shared" si="390"/>
        <v>5400</v>
      </c>
    </row>
    <row r="36">
      <c r="A36" s="243">
        <v>46176</v>
      </c>
      <c r="B36" s="224" t="s">
        <v>818</v>
      </c>
      <c r="C36" s="241"/>
      <c r="D36" s="241"/>
      <c r="E36" s="241"/>
      <c r="F36" s="241"/>
      <c r="G36" s="241"/>
      <c r="H36" s="242">
        <v>5400</v>
      </c>
      <c r="I36" s="241"/>
      <c r="J36" s="241"/>
      <c r="K36" s="241"/>
      <c r="L36" s="241"/>
      <c r="M36" s="241"/>
      <c r="N36" s="241"/>
      <c r="O36" s="241">
        <f t="shared" si="390"/>
        <v>5400</v>
      </c>
    </row>
    <row r="37">
      <c r="A37" s="243">
        <v>46205</v>
      </c>
      <c r="B37" s="224" t="s">
        <v>819</v>
      </c>
      <c r="C37" s="241"/>
      <c r="D37" s="241"/>
      <c r="E37" s="241"/>
      <c r="F37" s="241"/>
      <c r="G37" s="241"/>
      <c r="H37" s="242"/>
      <c r="I37" s="241">
        <v>5400</v>
      </c>
      <c r="J37" s="241"/>
      <c r="K37" s="241"/>
      <c r="L37" s="241"/>
      <c r="M37" s="241"/>
      <c r="N37" s="241"/>
      <c r="O37" s="241">
        <f t="shared" si="390"/>
        <v>5400</v>
      </c>
    </row>
    <row r="38"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</row>
    <row r="39"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</row>
    <row r="40">
      <c r="A40" s="240" t="s">
        <v>438</v>
      </c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>
        <f t="shared" si="390"/>
        <v>0</v>
      </c>
    </row>
    <row r="41">
      <c r="B41" s="224" t="s">
        <v>800</v>
      </c>
      <c r="C41" s="242">
        <v>-2673</v>
      </c>
      <c r="D41" s="242">
        <v>-2673</v>
      </c>
      <c r="E41" s="242">
        <v>-2673</v>
      </c>
      <c r="F41" s="242">
        <v>-2673</v>
      </c>
      <c r="G41" s="242">
        <v>-2673</v>
      </c>
      <c r="H41" s="242">
        <v>-2673</v>
      </c>
      <c r="I41" s="242">
        <v>-2673</v>
      </c>
      <c r="J41" s="242">
        <v>-2673</v>
      </c>
      <c r="K41" s="242">
        <v>-2673</v>
      </c>
      <c r="L41" s="242">
        <v>-2673</v>
      </c>
      <c r="M41" s="242">
        <v>-2673</v>
      </c>
      <c r="N41" s="242">
        <v>-2673</v>
      </c>
      <c r="O41" s="241">
        <f t="shared" si="390"/>
        <v>-32076</v>
      </c>
    </row>
    <row r="42">
      <c r="A42" s="243">
        <v>46146</v>
      </c>
      <c r="B42" s="224" t="s">
        <v>820</v>
      </c>
      <c r="C42" s="242"/>
      <c r="D42" s="242"/>
      <c r="E42" s="242"/>
      <c r="F42" s="242"/>
      <c r="G42" s="242">
        <v>16038</v>
      </c>
      <c r="H42" s="242"/>
      <c r="I42" s="242">
        <v>16038</v>
      </c>
      <c r="J42" s="242"/>
      <c r="K42" s="242"/>
      <c r="L42" s="242"/>
      <c r="M42" s="242"/>
      <c r="N42" s="242"/>
      <c r="O42" s="241">
        <f t="shared" si="390"/>
        <v>32076</v>
      </c>
    </row>
    <row r="43"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</row>
    <row r="44"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</row>
    <row r="45">
      <c r="A45" s="240" t="s">
        <v>548</v>
      </c>
      <c r="B45" s="240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>
        <f t="shared" si="390"/>
        <v>0</v>
      </c>
    </row>
    <row r="46">
      <c r="B46" s="224" t="s">
        <v>800</v>
      </c>
      <c r="C46" s="242">
        <v>-880</v>
      </c>
      <c r="D46" s="242">
        <v>-440</v>
      </c>
      <c r="E46" s="242">
        <v>-440</v>
      </c>
      <c r="F46" s="242">
        <v>-440</v>
      </c>
      <c r="G46" s="242">
        <v>-440</v>
      </c>
      <c r="H46" s="242">
        <v>-440</v>
      </c>
      <c r="I46" s="242">
        <v>-440</v>
      </c>
      <c r="J46" s="242">
        <v>-440</v>
      </c>
      <c r="K46" s="242">
        <v>-440</v>
      </c>
      <c r="L46" s="242">
        <v>-440</v>
      </c>
      <c r="M46" s="242">
        <v>-440</v>
      </c>
      <c r="N46" s="242">
        <v>0</v>
      </c>
      <c r="O46" s="241">
        <f t="shared" si="390"/>
        <v>-5280</v>
      </c>
    </row>
    <row r="47">
      <c r="A47" s="243">
        <v>46148</v>
      </c>
      <c r="B47" s="224" t="s">
        <v>821</v>
      </c>
      <c r="C47" s="242"/>
      <c r="D47" s="242"/>
      <c r="E47" s="242"/>
      <c r="F47" s="242"/>
      <c r="G47" s="242">
        <v>5280</v>
      </c>
      <c r="H47" s="242"/>
      <c r="I47" s="242"/>
      <c r="J47" s="242"/>
      <c r="K47" s="242"/>
      <c r="L47" s="242"/>
      <c r="M47" s="242"/>
      <c r="N47" s="242"/>
      <c r="O47" s="241">
        <f t="shared" si="390"/>
        <v>5280</v>
      </c>
    </row>
    <row r="48"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</row>
    <row r="49">
      <c r="A49" s="240" t="s">
        <v>540</v>
      </c>
      <c r="B49" s="240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>
        <f t="shared" si="390"/>
        <v>0</v>
      </c>
    </row>
    <row r="50">
      <c r="B50" s="224" t="s">
        <v>800</v>
      </c>
      <c r="C50" s="242">
        <v>-16522</v>
      </c>
      <c r="D50" s="242">
        <v>-16522</v>
      </c>
      <c r="E50" s="242">
        <v>-16522</v>
      </c>
      <c r="F50" s="242">
        <v>-16522</v>
      </c>
      <c r="G50" s="242">
        <v>-16522</v>
      </c>
      <c r="H50" s="242">
        <v>-16522</v>
      </c>
      <c r="I50" s="242">
        <v>0</v>
      </c>
      <c r="J50" s="242">
        <v>0</v>
      </c>
      <c r="K50" s="242">
        <v>0</v>
      </c>
      <c r="L50" s="242">
        <v>0</v>
      </c>
      <c r="M50" s="242">
        <v>0</v>
      </c>
      <c r="N50" s="242">
        <v>0</v>
      </c>
      <c r="O50" s="241">
        <f t="shared" si="390"/>
        <v>-99132</v>
      </c>
    </row>
    <row r="51">
      <c r="A51" s="243">
        <v>46204</v>
      </c>
      <c r="B51" s="224" t="s">
        <v>822</v>
      </c>
      <c r="C51" s="242"/>
      <c r="D51" s="242"/>
      <c r="E51" s="242"/>
      <c r="F51" s="242"/>
      <c r="G51" s="242"/>
      <c r="H51" s="242"/>
      <c r="I51" s="242">
        <v>99132</v>
      </c>
      <c r="J51" s="242"/>
      <c r="K51" s="242"/>
      <c r="L51" s="242"/>
      <c r="M51" s="242"/>
      <c r="N51" s="242"/>
      <c r="O51" s="241">
        <f t="shared" si="390"/>
        <v>99132</v>
      </c>
    </row>
    <row r="52">
      <c r="B52" s="224" t="s">
        <v>800</v>
      </c>
      <c r="C52" s="242">
        <v>-2598.75</v>
      </c>
      <c r="D52" s="242">
        <v>-2598.75</v>
      </c>
      <c r="E52" s="242">
        <v>-2598.75</v>
      </c>
      <c r="F52" s="242">
        <v>-2598.75</v>
      </c>
      <c r="G52" s="242">
        <v>-2598.75</v>
      </c>
      <c r="H52" s="242">
        <v>-2598.75</v>
      </c>
      <c r="I52" s="242">
        <v>-2598.75</v>
      </c>
      <c r="J52" s="242">
        <v>-2598.75</v>
      </c>
      <c r="K52" s="242">
        <v>-2598.75</v>
      </c>
      <c r="L52" s="242">
        <v>-2598.75</v>
      </c>
      <c r="M52" s="242">
        <v>-2598.75</v>
      </c>
      <c r="N52" s="242">
        <v>-2598.75</v>
      </c>
      <c r="O52" s="241">
        <f t="shared" si="390"/>
        <v>-31185</v>
      </c>
    </row>
    <row r="53">
      <c r="A53" s="243">
        <v>46204</v>
      </c>
      <c r="B53" s="224" t="s">
        <v>823</v>
      </c>
      <c r="C53" s="242"/>
      <c r="D53" s="242"/>
      <c r="E53" s="242"/>
      <c r="F53" s="242"/>
      <c r="G53" s="242"/>
      <c r="H53" s="242"/>
      <c r="I53" s="242">
        <v>31185</v>
      </c>
      <c r="J53" s="242"/>
      <c r="K53" s="242"/>
      <c r="L53" s="242"/>
      <c r="M53" s="242"/>
      <c r="N53" s="242"/>
      <c r="O53" s="241">
        <f t="shared" si="390"/>
        <v>31185</v>
      </c>
    </row>
  </sheetData>
  <mergeCells count="8">
    <mergeCell ref="C4:O4"/>
    <mergeCell ref="A7:B7"/>
    <mergeCell ref="A16:B16"/>
    <mergeCell ref="A25:B25"/>
    <mergeCell ref="A30:B30"/>
    <mergeCell ref="A40:B40"/>
    <mergeCell ref="A45:B45"/>
    <mergeCell ref="A49:B4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Green</dc:creator>
  <cp:revision>2</cp:revision>
  <dcterms:created xsi:type="dcterms:W3CDTF">2022-09-20T09:08:00Z</dcterms:created>
  <dcterms:modified xsi:type="dcterms:W3CDTF">2026-08-10T07:01:24Z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5D967AEBBE20400D9D9EF8F9CA07A539_13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